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dd57f5b42290a60/Desktop/"/>
    </mc:Choice>
  </mc:AlternateContent>
  <xr:revisionPtr revIDLastSave="11" documentId="8_{1DA6AF65-02EA-462B-8B4A-A21F4E89E551}" xr6:coauthVersionLast="47" xr6:coauthVersionMax="47" xr10:uidLastSave="{01DD303D-62CA-4BB3-A315-567EC354A90D}"/>
  <bookViews>
    <workbookView xWindow="3204" yWindow="3204" windowWidth="17280" windowHeight="9960" xr2:uid="{00000000-000D-0000-FFFF-FFFF00000000}"/>
  </bookViews>
  <sheets>
    <sheet name="Dashboard" sheetId="6" r:id="rId1"/>
    <sheet name="Summary" sheetId="4" r:id="rId2"/>
    <sheet name="Data_Audit" sheetId="3" r:id="rId3"/>
    <sheet name="Data_Quality_Rules" sheetId="2" r:id="rId4"/>
    <sheet name="Raw_data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6" l="1"/>
  <c r="F22" i="6"/>
  <c r="F19" i="6"/>
  <c r="B9" i="4"/>
  <c r="AK8" i="3"/>
  <c r="AK3" i="3"/>
  <c r="AK4" i="3"/>
  <c r="AK5" i="3"/>
  <c r="AK6" i="3"/>
  <c r="AK7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K844" i="3"/>
  <c r="AK845" i="3"/>
  <c r="AK846" i="3"/>
  <c r="AK847" i="3"/>
  <c r="AK848" i="3"/>
  <c r="AK849" i="3"/>
  <c r="AK850" i="3"/>
  <c r="AK851" i="3"/>
  <c r="AK852" i="3"/>
  <c r="AK853" i="3"/>
  <c r="AK854" i="3"/>
  <c r="AK855" i="3"/>
  <c r="AK856" i="3"/>
  <c r="AK857" i="3"/>
  <c r="AK858" i="3"/>
  <c r="AK859" i="3"/>
  <c r="AK860" i="3"/>
  <c r="AK861" i="3"/>
  <c r="AK862" i="3"/>
  <c r="AK863" i="3"/>
  <c r="AK864" i="3"/>
  <c r="AK865" i="3"/>
  <c r="AK866" i="3"/>
  <c r="AK867" i="3"/>
  <c r="AK868" i="3"/>
  <c r="AK869" i="3"/>
  <c r="AK870" i="3"/>
  <c r="AK871" i="3"/>
  <c r="AK872" i="3"/>
  <c r="AK873" i="3"/>
  <c r="AK874" i="3"/>
  <c r="AK875" i="3"/>
  <c r="AK876" i="3"/>
  <c r="AK877" i="3"/>
  <c r="AK878" i="3"/>
  <c r="AK879" i="3"/>
  <c r="AK880" i="3"/>
  <c r="AK881" i="3"/>
  <c r="AK882" i="3"/>
  <c r="AK883" i="3"/>
  <c r="AK884" i="3"/>
  <c r="AK885" i="3"/>
  <c r="AK886" i="3"/>
  <c r="AK887" i="3"/>
  <c r="AK888" i="3"/>
  <c r="AK889" i="3"/>
  <c r="AK890" i="3"/>
  <c r="AK891" i="3"/>
  <c r="AK892" i="3"/>
  <c r="AK893" i="3"/>
  <c r="AK894" i="3"/>
  <c r="AK895" i="3"/>
  <c r="AK896" i="3"/>
  <c r="AK897" i="3"/>
  <c r="AK898" i="3"/>
  <c r="AK899" i="3"/>
  <c r="AK900" i="3"/>
  <c r="AK901" i="3"/>
  <c r="AK902" i="3"/>
  <c r="AK903" i="3"/>
  <c r="AK904" i="3"/>
  <c r="AK905" i="3"/>
  <c r="AK906" i="3"/>
  <c r="AK907" i="3"/>
  <c r="AK908" i="3"/>
  <c r="AK909" i="3"/>
  <c r="AK910" i="3"/>
  <c r="AK911" i="3"/>
  <c r="AK912" i="3"/>
  <c r="AK913" i="3"/>
  <c r="AK914" i="3"/>
  <c r="AK915" i="3"/>
  <c r="AK916" i="3"/>
  <c r="AK917" i="3"/>
  <c r="AK918" i="3"/>
  <c r="AK919" i="3"/>
  <c r="AK920" i="3"/>
  <c r="AK921" i="3"/>
  <c r="AK922" i="3"/>
  <c r="AK923" i="3"/>
  <c r="AK924" i="3"/>
  <c r="AK925" i="3"/>
  <c r="AK926" i="3"/>
  <c r="AK927" i="3"/>
  <c r="AK928" i="3"/>
  <c r="AK929" i="3"/>
  <c r="AK930" i="3"/>
  <c r="AK931" i="3"/>
  <c r="AK932" i="3"/>
  <c r="AK933" i="3"/>
  <c r="AK934" i="3"/>
  <c r="AK935" i="3"/>
  <c r="AK936" i="3"/>
  <c r="AK937" i="3"/>
  <c r="AK938" i="3"/>
  <c r="AK939" i="3"/>
  <c r="AK940" i="3"/>
  <c r="AK941" i="3"/>
  <c r="AK942" i="3"/>
  <c r="AK943" i="3"/>
  <c r="AK944" i="3"/>
  <c r="AK945" i="3"/>
  <c r="AK946" i="3"/>
  <c r="AK947" i="3"/>
  <c r="AK948" i="3"/>
  <c r="AK949" i="3"/>
  <c r="AK950" i="3"/>
  <c r="AK951" i="3"/>
  <c r="AK952" i="3"/>
  <c r="AK953" i="3"/>
  <c r="AK954" i="3"/>
  <c r="AK955" i="3"/>
  <c r="AK956" i="3"/>
  <c r="AK957" i="3"/>
  <c r="AK958" i="3"/>
  <c r="AK959" i="3"/>
  <c r="AK960" i="3"/>
  <c r="AK961" i="3"/>
  <c r="AK962" i="3"/>
  <c r="AK963" i="3"/>
  <c r="AK964" i="3"/>
  <c r="AK965" i="3"/>
  <c r="AK966" i="3"/>
  <c r="AK967" i="3"/>
  <c r="AK968" i="3"/>
  <c r="AK969" i="3"/>
  <c r="AK970" i="3"/>
  <c r="AK971" i="3"/>
  <c r="AK972" i="3"/>
  <c r="AK973" i="3"/>
  <c r="AK974" i="3"/>
  <c r="AK975" i="3"/>
  <c r="AK976" i="3"/>
  <c r="AK977" i="3"/>
  <c r="AK978" i="3"/>
  <c r="AK979" i="3"/>
  <c r="AK980" i="3"/>
  <c r="AK981" i="3"/>
  <c r="AK982" i="3"/>
  <c r="AK983" i="3"/>
  <c r="AK984" i="3"/>
  <c r="AK985" i="3"/>
  <c r="AK986" i="3"/>
  <c r="AK987" i="3"/>
  <c r="AK988" i="3"/>
  <c r="AK989" i="3"/>
  <c r="AK990" i="3"/>
  <c r="AK991" i="3"/>
  <c r="AK992" i="3"/>
  <c r="AK993" i="3"/>
  <c r="AK994" i="3"/>
  <c r="AK995" i="3"/>
  <c r="AK996" i="3"/>
  <c r="AK997" i="3"/>
  <c r="AK998" i="3"/>
  <c r="AK999" i="3"/>
  <c r="AK1000" i="3"/>
  <c r="AK1001" i="3"/>
  <c r="AK1002" i="3"/>
  <c r="AK1003" i="3"/>
  <c r="AK1004" i="3"/>
  <c r="AK1005" i="3"/>
  <c r="AK1006" i="3"/>
  <c r="AK1007" i="3"/>
  <c r="AK1008" i="3"/>
  <c r="AK1009" i="3"/>
  <c r="AK1010" i="3"/>
  <c r="AK1011" i="3"/>
  <c r="AK1012" i="3"/>
  <c r="AK1013" i="3"/>
  <c r="AK1014" i="3"/>
  <c r="AK1015" i="3"/>
  <c r="AK1016" i="3"/>
  <c r="AK1017" i="3"/>
  <c r="AK1018" i="3"/>
  <c r="AK1019" i="3"/>
  <c r="AK1020" i="3"/>
  <c r="AK1021" i="3"/>
  <c r="AK1022" i="3"/>
  <c r="AK1023" i="3"/>
  <c r="AK1024" i="3"/>
  <c r="AK1025" i="3"/>
  <c r="AK1026" i="3"/>
  <c r="AK1027" i="3"/>
  <c r="AK1028" i="3"/>
  <c r="AK1029" i="3"/>
  <c r="AK1030" i="3"/>
  <c r="AK1031" i="3"/>
  <c r="AK1032" i="3"/>
  <c r="AK1033" i="3"/>
  <c r="AK1034" i="3"/>
  <c r="AK1035" i="3"/>
  <c r="AK1036" i="3"/>
  <c r="AK1037" i="3"/>
  <c r="AK1038" i="3"/>
  <c r="AK1039" i="3"/>
  <c r="AK1040" i="3"/>
  <c r="AK1041" i="3"/>
  <c r="AK1042" i="3"/>
  <c r="AK1043" i="3"/>
  <c r="AK1044" i="3"/>
  <c r="AK1045" i="3"/>
  <c r="AK1046" i="3"/>
  <c r="AK1047" i="3"/>
  <c r="AK1048" i="3"/>
  <c r="AK1049" i="3"/>
  <c r="AK1050" i="3"/>
  <c r="AK1051" i="3"/>
  <c r="AK1052" i="3"/>
  <c r="AK1053" i="3"/>
  <c r="AK1054" i="3"/>
  <c r="AK1055" i="3"/>
  <c r="AK1056" i="3"/>
  <c r="AK1057" i="3"/>
  <c r="AK1058" i="3"/>
  <c r="AK1059" i="3"/>
  <c r="AK1060" i="3"/>
  <c r="AK1061" i="3"/>
  <c r="AK1062" i="3"/>
  <c r="AK1063" i="3"/>
  <c r="AK1064" i="3"/>
  <c r="AK1065" i="3"/>
  <c r="AK1066" i="3"/>
  <c r="AK1067" i="3"/>
  <c r="AK1068" i="3"/>
  <c r="AK1069" i="3"/>
  <c r="AK1070" i="3"/>
  <c r="AK1071" i="3"/>
  <c r="AK1072" i="3"/>
  <c r="AK1073" i="3"/>
  <c r="AK1074" i="3"/>
  <c r="AK1075" i="3"/>
  <c r="AK1076" i="3"/>
  <c r="AK1077" i="3"/>
  <c r="AK1078" i="3"/>
  <c r="AK1079" i="3"/>
  <c r="AK1080" i="3"/>
  <c r="AK1081" i="3"/>
  <c r="AK1082" i="3"/>
  <c r="AK1083" i="3"/>
  <c r="AK1084" i="3"/>
  <c r="AK1085" i="3"/>
  <c r="AK1086" i="3"/>
  <c r="AK1087" i="3"/>
  <c r="AK1088" i="3"/>
  <c r="AK1089" i="3"/>
  <c r="AK1090" i="3"/>
  <c r="AK1091" i="3"/>
  <c r="AK1092" i="3"/>
  <c r="AK1093" i="3"/>
  <c r="AK1094" i="3"/>
  <c r="AK1095" i="3"/>
  <c r="AK1096" i="3"/>
  <c r="AK1097" i="3"/>
  <c r="AK1098" i="3"/>
  <c r="AK1099" i="3"/>
  <c r="AK1100" i="3"/>
  <c r="AK1101" i="3"/>
  <c r="AK1102" i="3"/>
  <c r="AK1103" i="3"/>
  <c r="AK1104" i="3"/>
  <c r="AK1105" i="3"/>
  <c r="AK1106" i="3"/>
  <c r="AK1107" i="3"/>
  <c r="AK1108" i="3"/>
  <c r="AK1109" i="3"/>
  <c r="AK1110" i="3"/>
  <c r="AK1111" i="3"/>
  <c r="AK1112" i="3"/>
  <c r="AK1113" i="3"/>
  <c r="AK1114" i="3"/>
  <c r="AK1115" i="3"/>
  <c r="AK1116" i="3"/>
  <c r="AK1117" i="3"/>
  <c r="AK1118" i="3"/>
  <c r="AK1119" i="3"/>
  <c r="AK1120" i="3"/>
  <c r="AK1121" i="3"/>
  <c r="AK1122" i="3"/>
  <c r="AK1123" i="3"/>
  <c r="AK1124" i="3"/>
  <c r="AK1125" i="3"/>
  <c r="AK1126" i="3"/>
  <c r="AK1127" i="3"/>
  <c r="AK1128" i="3"/>
  <c r="AK1129" i="3"/>
  <c r="AK1130" i="3"/>
  <c r="AK1131" i="3"/>
  <c r="AK1132" i="3"/>
  <c r="AK1133" i="3"/>
  <c r="AK1134" i="3"/>
  <c r="AK1135" i="3"/>
  <c r="AK1136" i="3"/>
  <c r="AK1137" i="3"/>
  <c r="AK1138" i="3"/>
  <c r="AK1139" i="3"/>
  <c r="AK1140" i="3"/>
  <c r="AK1141" i="3"/>
  <c r="AK1142" i="3"/>
  <c r="AK1143" i="3"/>
  <c r="AK1144" i="3"/>
  <c r="AK1145" i="3"/>
  <c r="AK1146" i="3"/>
  <c r="AK1147" i="3"/>
  <c r="AK1148" i="3"/>
  <c r="AK1149" i="3"/>
  <c r="AK1150" i="3"/>
  <c r="AK1151" i="3"/>
  <c r="AK1152" i="3"/>
  <c r="AK1153" i="3"/>
  <c r="AK1154" i="3"/>
  <c r="AK1155" i="3"/>
  <c r="AK1156" i="3"/>
  <c r="AK1157" i="3"/>
  <c r="AK1158" i="3"/>
  <c r="AK1159" i="3"/>
  <c r="AK1160" i="3"/>
  <c r="AK1161" i="3"/>
  <c r="AK1162" i="3"/>
  <c r="AK1163" i="3"/>
  <c r="AK1164" i="3"/>
  <c r="AK1165" i="3"/>
  <c r="AK1166" i="3"/>
  <c r="AK1167" i="3"/>
  <c r="AK1168" i="3"/>
  <c r="AK1169" i="3"/>
  <c r="AK1170" i="3"/>
  <c r="AK1171" i="3"/>
  <c r="AK1172" i="3"/>
  <c r="AK1173" i="3"/>
  <c r="AK1174" i="3"/>
  <c r="AK1175" i="3"/>
  <c r="AK1176" i="3"/>
  <c r="AK1177" i="3"/>
  <c r="AK1178" i="3"/>
  <c r="AK1179" i="3"/>
  <c r="AK1180" i="3"/>
  <c r="AK1181" i="3"/>
  <c r="AK1182" i="3"/>
  <c r="AK1183" i="3"/>
  <c r="AK1184" i="3"/>
  <c r="AK1185" i="3"/>
  <c r="AK1186" i="3"/>
  <c r="AK1187" i="3"/>
  <c r="AK1188" i="3"/>
  <c r="AK1189" i="3"/>
  <c r="AK1190" i="3"/>
  <c r="AK1191" i="3"/>
  <c r="AK1192" i="3"/>
  <c r="AK1193" i="3"/>
  <c r="AK1194" i="3"/>
  <c r="AK1195" i="3"/>
  <c r="AK1196" i="3"/>
  <c r="AK1197" i="3"/>
  <c r="AK1198" i="3"/>
  <c r="AK1199" i="3"/>
  <c r="AK1200" i="3"/>
  <c r="AK1201" i="3"/>
  <c r="AK1202" i="3"/>
  <c r="AK1203" i="3"/>
  <c r="AK1204" i="3"/>
  <c r="AK1205" i="3"/>
  <c r="AK1206" i="3"/>
  <c r="AK1207" i="3"/>
  <c r="AK1208" i="3"/>
  <c r="AK1209" i="3"/>
  <c r="AK1210" i="3"/>
  <c r="AK1211" i="3"/>
  <c r="AK1212" i="3"/>
  <c r="AK1213" i="3"/>
  <c r="AK1214" i="3"/>
  <c r="AK1215" i="3"/>
  <c r="AK1216" i="3"/>
  <c r="AK1217" i="3"/>
  <c r="AK1218" i="3"/>
  <c r="AK1219" i="3"/>
  <c r="AK1220" i="3"/>
  <c r="AK1221" i="3"/>
  <c r="AK1222" i="3"/>
  <c r="AK1223" i="3"/>
  <c r="AK1224" i="3"/>
  <c r="AK1225" i="3"/>
  <c r="AK1226" i="3"/>
  <c r="AK1227" i="3"/>
  <c r="AK1228" i="3"/>
  <c r="AK1229" i="3"/>
  <c r="AK1230" i="3"/>
  <c r="AK1231" i="3"/>
  <c r="AK1232" i="3"/>
  <c r="AK1233" i="3"/>
  <c r="AK1234" i="3"/>
  <c r="AK1235" i="3"/>
  <c r="AK1236" i="3"/>
  <c r="AK1237" i="3"/>
  <c r="AK1238" i="3"/>
  <c r="AK1239" i="3"/>
  <c r="AK1240" i="3"/>
  <c r="AK1241" i="3"/>
  <c r="AK1242" i="3"/>
  <c r="AK1243" i="3"/>
  <c r="AK1244" i="3"/>
  <c r="AK1245" i="3"/>
  <c r="AK1246" i="3"/>
  <c r="AK1247" i="3"/>
  <c r="AK1248" i="3"/>
  <c r="AK1249" i="3"/>
  <c r="AK1250" i="3"/>
  <c r="AK1251" i="3"/>
  <c r="AK1252" i="3"/>
  <c r="AK1253" i="3"/>
  <c r="AK1254" i="3"/>
  <c r="AK1255" i="3"/>
  <c r="AK1256" i="3"/>
  <c r="AK1257" i="3"/>
  <c r="AK1258" i="3"/>
  <c r="AK1259" i="3"/>
  <c r="AK1260" i="3"/>
  <c r="AK1261" i="3"/>
  <c r="AK1262" i="3"/>
  <c r="AK1263" i="3"/>
  <c r="AK1264" i="3"/>
  <c r="AK1265" i="3"/>
  <c r="AK1266" i="3"/>
  <c r="AK1267" i="3"/>
  <c r="AK1268" i="3"/>
  <c r="AK1269" i="3"/>
  <c r="AK1270" i="3"/>
  <c r="AK1271" i="3"/>
  <c r="AK1272" i="3"/>
  <c r="AK1273" i="3"/>
  <c r="AK1274" i="3"/>
  <c r="AK1275" i="3"/>
  <c r="AK1276" i="3"/>
  <c r="AK1277" i="3"/>
  <c r="AK1278" i="3"/>
  <c r="AK1279" i="3"/>
  <c r="AK1280" i="3"/>
  <c r="AK1281" i="3"/>
  <c r="AK1282" i="3"/>
  <c r="AK1283" i="3"/>
  <c r="AK1284" i="3"/>
  <c r="AK1285" i="3"/>
  <c r="AK1286" i="3"/>
  <c r="AK1287" i="3"/>
  <c r="AK1288" i="3"/>
  <c r="AK1289" i="3"/>
  <c r="AK1290" i="3"/>
  <c r="AK1291" i="3"/>
  <c r="AK1292" i="3"/>
  <c r="AK1293" i="3"/>
  <c r="AK1294" i="3"/>
  <c r="AK1295" i="3"/>
  <c r="AK1296" i="3"/>
  <c r="AK1297" i="3"/>
  <c r="AK1298" i="3"/>
  <c r="AK1299" i="3"/>
  <c r="AK1300" i="3"/>
  <c r="AK1301" i="3"/>
  <c r="AK1302" i="3"/>
  <c r="AK1303" i="3"/>
  <c r="AK1304" i="3"/>
  <c r="AK1305" i="3"/>
  <c r="AK1306" i="3"/>
  <c r="AK1307" i="3"/>
  <c r="AK1308" i="3"/>
  <c r="AK1309" i="3"/>
  <c r="AK1310" i="3"/>
  <c r="AK1311" i="3"/>
  <c r="AK1312" i="3"/>
  <c r="AK1313" i="3"/>
  <c r="AK1314" i="3"/>
  <c r="AK1315" i="3"/>
  <c r="AK1316" i="3"/>
  <c r="AK1317" i="3"/>
  <c r="AK1318" i="3"/>
  <c r="AK1319" i="3"/>
  <c r="AK1320" i="3"/>
  <c r="AK1321" i="3"/>
  <c r="AK1322" i="3"/>
  <c r="AK1323" i="3"/>
  <c r="AK1324" i="3"/>
  <c r="AK1325" i="3"/>
  <c r="AK1326" i="3"/>
  <c r="AK1327" i="3"/>
  <c r="AK1328" i="3"/>
  <c r="AK1329" i="3"/>
  <c r="AK1330" i="3"/>
  <c r="AK1331" i="3"/>
  <c r="AK1332" i="3"/>
  <c r="AK1333" i="3"/>
  <c r="AK1334" i="3"/>
  <c r="AK1335" i="3"/>
  <c r="AK1336" i="3"/>
  <c r="AK1337" i="3"/>
  <c r="AK1338" i="3"/>
  <c r="AK1339" i="3"/>
  <c r="AK1340" i="3"/>
  <c r="AK1341" i="3"/>
  <c r="AK1342" i="3"/>
  <c r="AK1343" i="3"/>
  <c r="AK1344" i="3"/>
  <c r="AK1345" i="3"/>
  <c r="AK1346" i="3"/>
  <c r="AK1347" i="3"/>
  <c r="AK1348" i="3"/>
  <c r="AK1349" i="3"/>
  <c r="AK1350" i="3"/>
  <c r="AK1351" i="3"/>
  <c r="AK1352" i="3"/>
  <c r="AK1353" i="3"/>
  <c r="AK1354" i="3"/>
  <c r="AK1355" i="3"/>
  <c r="AK1356" i="3"/>
  <c r="AK1357" i="3"/>
  <c r="AK1358" i="3"/>
  <c r="AK1359" i="3"/>
  <c r="AK1360" i="3"/>
  <c r="AK1361" i="3"/>
  <c r="AK1362" i="3"/>
  <c r="AK1363" i="3"/>
  <c r="AK1364" i="3"/>
  <c r="AK1365" i="3"/>
  <c r="AK1366" i="3"/>
  <c r="AK1367" i="3"/>
  <c r="AK1368" i="3"/>
  <c r="AK1369" i="3"/>
  <c r="AK1370" i="3"/>
  <c r="AK1371" i="3"/>
  <c r="AK1372" i="3"/>
  <c r="AK1373" i="3"/>
  <c r="AK1374" i="3"/>
  <c r="AK1375" i="3"/>
  <c r="AK1376" i="3"/>
  <c r="AK1377" i="3"/>
  <c r="AK1378" i="3"/>
  <c r="AK1379" i="3"/>
  <c r="AK1380" i="3"/>
  <c r="AK1381" i="3"/>
  <c r="AK1382" i="3"/>
  <c r="AK1383" i="3"/>
  <c r="AK1384" i="3"/>
  <c r="AK1385" i="3"/>
  <c r="AK1386" i="3"/>
  <c r="AK1387" i="3"/>
  <c r="AK1388" i="3"/>
  <c r="AK1389" i="3"/>
  <c r="AK1390" i="3"/>
  <c r="AK1391" i="3"/>
  <c r="AK1392" i="3"/>
  <c r="AK1393" i="3"/>
  <c r="AK1394" i="3"/>
  <c r="AK1395" i="3"/>
  <c r="AK1396" i="3"/>
  <c r="AK1397" i="3"/>
  <c r="AK1398" i="3"/>
  <c r="AK1399" i="3"/>
  <c r="AK1400" i="3"/>
  <c r="AK1401" i="3"/>
  <c r="AK1402" i="3"/>
  <c r="AK1403" i="3"/>
  <c r="AK1404" i="3"/>
  <c r="AK1405" i="3"/>
  <c r="AK1406" i="3"/>
  <c r="AK1407" i="3"/>
  <c r="AK1408" i="3"/>
  <c r="AK1409" i="3"/>
  <c r="AK1410" i="3"/>
  <c r="AK1411" i="3"/>
  <c r="AK1412" i="3"/>
  <c r="AK1413" i="3"/>
  <c r="AK1414" i="3"/>
  <c r="AK1415" i="3"/>
  <c r="AK1416" i="3"/>
  <c r="AK1417" i="3"/>
  <c r="AK1418" i="3"/>
  <c r="AK1419" i="3"/>
  <c r="AK1420" i="3"/>
  <c r="AK1421" i="3"/>
  <c r="AK1422" i="3"/>
  <c r="AK1423" i="3"/>
  <c r="AK1424" i="3"/>
  <c r="AK1425" i="3"/>
  <c r="AK1426" i="3"/>
  <c r="AK1427" i="3"/>
  <c r="AK1428" i="3"/>
  <c r="AK1429" i="3"/>
  <c r="AK1430" i="3"/>
  <c r="AK1431" i="3"/>
  <c r="AK1432" i="3"/>
  <c r="AK1433" i="3"/>
  <c r="AK1434" i="3"/>
  <c r="AK1435" i="3"/>
  <c r="AK1436" i="3"/>
  <c r="AK1437" i="3"/>
  <c r="AK1438" i="3"/>
  <c r="AK1439" i="3"/>
  <c r="AK1440" i="3"/>
  <c r="AK1441" i="3"/>
  <c r="AK1442" i="3"/>
  <c r="AK1443" i="3"/>
  <c r="AK1444" i="3"/>
  <c r="AK1445" i="3"/>
  <c r="AK1446" i="3"/>
  <c r="AK1447" i="3"/>
  <c r="AK1448" i="3"/>
  <c r="AK1449" i="3"/>
  <c r="AK1450" i="3"/>
  <c r="AK1451" i="3"/>
  <c r="AK1452" i="3"/>
  <c r="AK1453" i="3"/>
  <c r="AK1454" i="3"/>
  <c r="AK1455" i="3"/>
  <c r="AK1456" i="3"/>
  <c r="AK1457" i="3"/>
  <c r="AK1458" i="3"/>
  <c r="AK1459" i="3"/>
  <c r="AK1460" i="3"/>
  <c r="AK1461" i="3"/>
  <c r="AK1462" i="3"/>
  <c r="AK1463" i="3"/>
  <c r="AK1464" i="3"/>
  <c r="AK1465" i="3"/>
  <c r="AK1466" i="3"/>
  <c r="AK1467" i="3"/>
  <c r="AK1468" i="3"/>
  <c r="AK1469" i="3"/>
  <c r="AK1470" i="3"/>
  <c r="AK1471" i="3"/>
  <c r="AK1472" i="3"/>
  <c r="AK1473" i="3"/>
  <c r="AK1474" i="3"/>
  <c r="AK1475" i="3"/>
  <c r="AK1476" i="3"/>
  <c r="AK1477" i="3"/>
  <c r="AK1478" i="3"/>
  <c r="AK1479" i="3"/>
  <c r="AK1480" i="3"/>
  <c r="AK1481" i="3"/>
  <c r="AK1482" i="3"/>
  <c r="AK1483" i="3"/>
  <c r="AK1484" i="3"/>
  <c r="AK1485" i="3"/>
  <c r="AK1486" i="3"/>
  <c r="AK1487" i="3"/>
  <c r="AK1488" i="3"/>
  <c r="AK1489" i="3"/>
  <c r="AK1490" i="3"/>
  <c r="AK1491" i="3"/>
  <c r="AK1492" i="3"/>
  <c r="AK1493" i="3"/>
  <c r="AK1494" i="3"/>
  <c r="AK1495" i="3"/>
  <c r="AK1496" i="3"/>
  <c r="AK1497" i="3"/>
  <c r="AK1498" i="3"/>
  <c r="AK1499" i="3"/>
  <c r="AK1500" i="3"/>
  <c r="AK1501" i="3"/>
  <c r="AK1502" i="3"/>
  <c r="AK1503" i="3"/>
  <c r="AK1504" i="3"/>
  <c r="AK1505" i="3"/>
  <c r="AK1506" i="3"/>
  <c r="AK1507" i="3"/>
  <c r="AK1508" i="3"/>
  <c r="AK1509" i="3"/>
  <c r="AK1510" i="3"/>
  <c r="AK1511" i="3"/>
  <c r="AK1512" i="3"/>
  <c r="AK1513" i="3"/>
  <c r="AK1514" i="3"/>
  <c r="AK1515" i="3"/>
  <c r="AK1516" i="3"/>
  <c r="AK1517" i="3"/>
  <c r="AK1518" i="3"/>
  <c r="AK1519" i="3"/>
  <c r="AK1520" i="3"/>
  <c r="AK1521" i="3"/>
  <c r="AK1522" i="3"/>
  <c r="AK1523" i="3"/>
  <c r="AK1524" i="3"/>
  <c r="AK1525" i="3"/>
  <c r="AK1526" i="3"/>
  <c r="AK1527" i="3"/>
  <c r="AK1528" i="3"/>
  <c r="AK1529" i="3"/>
  <c r="AK1530" i="3"/>
  <c r="AK1531" i="3"/>
  <c r="AK1532" i="3"/>
  <c r="AK1533" i="3"/>
  <c r="AK1534" i="3"/>
  <c r="AK1535" i="3"/>
  <c r="AK1536" i="3"/>
  <c r="AK1537" i="3"/>
  <c r="AK1538" i="3"/>
  <c r="AK1539" i="3"/>
  <c r="AK1540" i="3"/>
  <c r="AK1541" i="3"/>
  <c r="AK1542" i="3"/>
  <c r="AK1543" i="3"/>
  <c r="AK1544" i="3"/>
  <c r="AK1545" i="3"/>
  <c r="AK1546" i="3"/>
  <c r="AK1547" i="3"/>
  <c r="AK1548" i="3"/>
  <c r="AK1549" i="3"/>
  <c r="AK1550" i="3"/>
  <c r="AK1551" i="3"/>
  <c r="AK1552" i="3"/>
  <c r="AK1553" i="3"/>
  <c r="AK1554" i="3"/>
  <c r="AK1555" i="3"/>
  <c r="AK1556" i="3"/>
  <c r="AK1557" i="3"/>
  <c r="AK1558" i="3"/>
  <c r="AK1559" i="3"/>
  <c r="AK1560" i="3"/>
  <c r="AK1561" i="3"/>
  <c r="AK1562" i="3"/>
  <c r="AK1563" i="3"/>
  <c r="AK1564" i="3"/>
  <c r="AK1565" i="3"/>
  <c r="AK1566" i="3"/>
  <c r="AK1567" i="3"/>
  <c r="AK1568" i="3"/>
  <c r="AK1569" i="3"/>
  <c r="AK1570" i="3"/>
  <c r="AK1571" i="3"/>
  <c r="AK1572" i="3"/>
  <c r="AK1573" i="3"/>
  <c r="AK1574" i="3"/>
  <c r="AK1575" i="3"/>
  <c r="AK1576" i="3"/>
  <c r="AK1577" i="3"/>
  <c r="AK1578" i="3"/>
  <c r="AK1579" i="3"/>
  <c r="AK1580" i="3"/>
  <c r="AK1581" i="3"/>
  <c r="AK1582" i="3"/>
  <c r="AK1583" i="3"/>
  <c r="AK1584" i="3"/>
  <c r="AK1585" i="3"/>
  <c r="AK1586" i="3"/>
  <c r="AK1587" i="3"/>
  <c r="AK1588" i="3"/>
  <c r="AK1589" i="3"/>
  <c r="AK1590" i="3"/>
  <c r="AK1591" i="3"/>
  <c r="AK1592" i="3"/>
  <c r="AK1593" i="3"/>
  <c r="AK1594" i="3"/>
  <c r="AK1595" i="3"/>
  <c r="AK1596" i="3"/>
  <c r="AK1597" i="3"/>
  <c r="AK1598" i="3"/>
  <c r="AK1599" i="3"/>
  <c r="AK1600" i="3"/>
  <c r="AK1601" i="3"/>
  <c r="AK1602" i="3"/>
  <c r="AK1603" i="3"/>
  <c r="AK1604" i="3"/>
  <c r="AK1605" i="3"/>
  <c r="AK1606" i="3"/>
  <c r="AK1607" i="3"/>
  <c r="AK1608" i="3"/>
  <c r="AK1609" i="3"/>
  <c r="AK1610" i="3"/>
  <c r="AK1611" i="3"/>
  <c r="AK1612" i="3"/>
  <c r="AK1613" i="3"/>
  <c r="AK1614" i="3"/>
  <c r="AK1615" i="3"/>
  <c r="AK1616" i="3"/>
  <c r="AK1617" i="3"/>
  <c r="AK1618" i="3"/>
  <c r="AK1619" i="3"/>
  <c r="AK1620" i="3"/>
  <c r="AK1621" i="3"/>
  <c r="AK1622" i="3"/>
  <c r="AK1623" i="3"/>
  <c r="AK1624" i="3"/>
  <c r="AK1625" i="3"/>
  <c r="AK1626" i="3"/>
  <c r="AK1627" i="3"/>
  <c r="AK1628" i="3"/>
  <c r="AK1629" i="3"/>
  <c r="AK1630" i="3"/>
  <c r="AK1631" i="3"/>
  <c r="AK1632" i="3"/>
  <c r="AK1633" i="3"/>
  <c r="AK1634" i="3"/>
  <c r="AK1635" i="3"/>
  <c r="AK1636" i="3"/>
  <c r="AK1637" i="3"/>
  <c r="AK1638" i="3"/>
  <c r="AK1639" i="3"/>
  <c r="AK1640" i="3"/>
  <c r="AK1641" i="3"/>
  <c r="AK1642" i="3"/>
  <c r="AK1643" i="3"/>
  <c r="AK1644" i="3"/>
  <c r="AK1645" i="3"/>
  <c r="AK1646" i="3"/>
  <c r="AK1647" i="3"/>
  <c r="AK1648" i="3"/>
  <c r="AK1649" i="3"/>
  <c r="AK1650" i="3"/>
  <c r="AK1651" i="3"/>
  <c r="AK1652" i="3"/>
  <c r="AK1653" i="3"/>
  <c r="AK1654" i="3"/>
  <c r="AK1655" i="3"/>
  <c r="AK1656" i="3"/>
  <c r="AK1657" i="3"/>
  <c r="AK1658" i="3"/>
  <c r="AK1659" i="3"/>
  <c r="AK1660" i="3"/>
  <c r="AK1661" i="3"/>
  <c r="AK1662" i="3"/>
  <c r="AK1663" i="3"/>
  <c r="AK1664" i="3"/>
  <c r="AK1665" i="3"/>
  <c r="AK1666" i="3"/>
  <c r="AK1667" i="3"/>
  <c r="AK1668" i="3"/>
  <c r="AK1669" i="3"/>
  <c r="AK1670" i="3"/>
  <c r="AK1671" i="3"/>
  <c r="AK1672" i="3"/>
  <c r="AK1673" i="3"/>
  <c r="AK1674" i="3"/>
  <c r="AK1675" i="3"/>
  <c r="AK1676" i="3"/>
  <c r="AK1677" i="3"/>
  <c r="AK1678" i="3"/>
  <c r="AK1679" i="3"/>
  <c r="AK1680" i="3"/>
  <c r="AK1681" i="3"/>
  <c r="AK1682" i="3"/>
  <c r="AK1683" i="3"/>
  <c r="AK1684" i="3"/>
  <c r="AK1685" i="3"/>
  <c r="AK1686" i="3"/>
  <c r="AK1687" i="3"/>
  <c r="AK1688" i="3"/>
  <c r="AK1689" i="3"/>
  <c r="AK1690" i="3"/>
  <c r="AK1691" i="3"/>
  <c r="AK1692" i="3"/>
  <c r="AK1693" i="3"/>
  <c r="AK1694" i="3"/>
  <c r="AK1695" i="3"/>
  <c r="AK1696" i="3"/>
  <c r="AK1697" i="3"/>
  <c r="AK1698" i="3"/>
  <c r="AK1699" i="3"/>
  <c r="AK1700" i="3"/>
  <c r="AK1701" i="3"/>
  <c r="AK1702" i="3"/>
  <c r="AK1703" i="3"/>
  <c r="AK1704" i="3"/>
  <c r="AK1705" i="3"/>
  <c r="AK1706" i="3"/>
  <c r="AK1707" i="3"/>
  <c r="AK1708" i="3"/>
  <c r="AK1709" i="3"/>
  <c r="AK1710" i="3"/>
  <c r="AK1711" i="3"/>
  <c r="AK1712" i="3"/>
  <c r="AK1713" i="3"/>
  <c r="AK1714" i="3"/>
  <c r="AK1715" i="3"/>
  <c r="AK1716" i="3"/>
  <c r="AK1717" i="3"/>
  <c r="AK1718" i="3"/>
  <c r="AK1719" i="3"/>
  <c r="AK1720" i="3"/>
  <c r="AK1721" i="3"/>
  <c r="AK1722" i="3"/>
  <c r="AK1723" i="3"/>
  <c r="AK1724" i="3"/>
  <c r="AK1725" i="3"/>
  <c r="AK1726" i="3"/>
  <c r="AK1727" i="3"/>
  <c r="AK1728" i="3"/>
  <c r="AK1729" i="3"/>
  <c r="AK1730" i="3"/>
  <c r="AK1731" i="3"/>
  <c r="AK1732" i="3"/>
  <c r="AK1733" i="3"/>
  <c r="AK1734" i="3"/>
  <c r="AK1735" i="3"/>
  <c r="AK1736" i="3"/>
  <c r="AK1737" i="3"/>
  <c r="AK1738" i="3"/>
  <c r="AK1739" i="3"/>
  <c r="AK1740" i="3"/>
  <c r="AK1741" i="3"/>
  <c r="AK1742" i="3"/>
  <c r="AK1743" i="3"/>
  <c r="AK1744" i="3"/>
  <c r="AK1745" i="3"/>
  <c r="AK1746" i="3"/>
  <c r="AK1747" i="3"/>
  <c r="AK1748" i="3"/>
  <c r="AK1749" i="3"/>
  <c r="AK1750" i="3"/>
  <c r="AK1751" i="3"/>
  <c r="AK1752" i="3"/>
  <c r="AK1753" i="3"/>
  <c r="AK1754" i="3"/>
  <c r="AK1755" i="3"/>
  <c r="AK1756" i="3"/>
  <c r="AK1757" i="3"/>
  <c r="AK1758" i="3"/>
  <c r="AK1759" i="3"/>
  <c r="AK1760" i="3"/>
  <c r="AK1761" i="3"/>
  <c r="AK1762" i="3"/>
  <c r="AK1763" i="3"/>
  <c r="AK1764" i="3"/>
  <c r="AK1765" i="3"/>
  <c r="AK1766" i="3"/>
  <c r="AK1767" i="3"/>
  <c r="AK1768" i="3"/>
  <c r="AK1769" i="3"/>
  <c r="AK1770" i="3"/>
  <c r="AK1771" i="3"/>
  <c r="AK1772" i="3"/>
  <c r="AK1773" i="3"/>
  <c r="AK1774" i="3"/>
  <c r="AK1775" i="3"/>
  <c r="AK1776" i="3"/>
  <c r="AK1777" i="3"/>
  <c r="AK1778" i="3"/>
  <c r="AK1779" i="3"/>
  <c r="AK1780" i="3"/>
  <c r="AK1781" i="3"/>
  <c r="AK1782" i="3"/>
  <c r="AK1783" i="3"/>
  <c r="AK1784" i="3"/>
  <c r="AK1785" i="3"/>
  <c r="AK1786" i="3"/>
  <c r="AK1787" i="3"/>
  <c r="AK1788" i="3"/>
  <c r="AK1789" i="3"/>
  <c r="AK1790" i="3"/>
  <c r="AK1791" i="3"/>
  <c r="AK1792" i="3"/>
  <c r="AK1793" i="3"/>
  <c r="AK1794" i="3"/>
  <c r="AK1795" i="3"/>
  <c r="AK1796" i="3"/>
  <c r="AK1797" i="3"/>
  <c r="AK1798" i="3"/>
  <c r="AK1799" i="3"/>
  <c r="AK1800" i="3"/>
  <c r="AK1801" i="3"/>
  <c r="AK1802" i="3"/>
  <c r="AK1803" i="3"/>
  <c r="AK1804" i="3"/>
  <c r="AK1805" i="3"/>
  <c r="AK1806" i="3"/>
  <c r="AK1807" i="3"/>
  <c r="AK1808" i="3"/>
  <c r="AK1809" i="3"/>
  <c r="AK1810" i="3"/>
  <c r="AK1811" i="3"/>
  <c r="AK1812" i="3"/>
  <c r="AK1813" i="3"/>
  <c r="AK1814" i="3"/>
  <c r="AK1815" i="3"/>
  <c r="AK1816" i="3"/>
  <c r="AK1817" i="3"/>
  <c r="AK1818" i="3"/>
  <c r="AK1819" i="3"/>
  <c r="AK1820" i="3"/>
  <c r="AK1821" i="3"/>
  <c r="AK1822" i="3"/>
  <c r="AK1823" i="3"/>
  <c r="AK1824" i="3"/>
  <c r="AK1825" i="3"/>
  <c r="AK1826" i="3"/>
  <c r="AK1827" i="3"/>
  <c r="AK1828" i="3"/>
  <c r="AK1829" i="3"/>
  <c r="AK1830" i="3"/>
  <c r="AK1831" i="3"/>
  <c r="AK1832" i="3"/>
  <c r="AK1833" i="3"/>
  <c r="AK1834" i="3"/>
  <c r="AK1835" i="3"/>
  <c r="AK1836" i="3"/>
  <c r="AK1837" i="3"/>
  <c r="AK1838" i="3"/>
  <c r="AK1839" i="3"/>
  <c r="AK1840" i="3"/>
  <c r="AK1841" i="3"/>
  <c r="AK1842" i="3"/>
  <c r="AK1843" i="3"/>
  <c r="AK1844" i="3"/>
  <c r="AK1845" i="3"/>
  <c r="AK1846" i="3"/>
  <c r="AK1847" i="3"/>
  <c r="AK1848" i="3"/>
  <c r="AK1849" i="3"/>
  <c r="AK1850" i="3"/>
  <c r="AK1851" i="3"/>
  <c r="AK1852" i="3"/>
  <c r="AK1853" i="3"/>
  <c r="AK1854" i="3"/>
  <c r="AK1855" i="3"/>
  <c r="AK1856" i="3"/>
  <c r="AK1857" i="3"/>
  <c r="AK1858" i="3"/>
  <c r="AK1859" i="3"/>
  <c r="AK1860" i="3"/>
  <c r="AK1861" i="3"/>
  <c r="AK1862" i="3"/>
  <c r="AK1863" i="3"/>
  <c r="AK1864" i="3"/>
  <c r="AK1865" i="3"/>
  <c r="AK1866" i="3"/>
  <c r="AK1867" i="3"/>
  <c r="AK1868" i="3"/>
  <c r="AK1869" i="3"/>
  <c r="AK1870" i="3"/>
  <c r="AK1871" i="3"/>
  <c r="AK1872" i="3"/>
  <c r="AK1873" i="3"/>
  <c r="AK1874" i="3"/>
  <c r="AK1875" i="3"/>
  <c r="AK1876" i="3"/>
  <c r="AK1877" i="3"/>
  <c r="AK1878" i="3"/>
  <c r="AK1879" i="3"/>
  <c r="AK1880" i="3"/>
  <c r="AK1881" i="3"/>
  <c r="AK1882" i="3"/>
  <c r="AK1883" i="3"/>
  <c r="AK1884" i="3"/>
  <c r="AK1885" i="3"/>
  <c r="AK1886" i="3"/>
  <c r="AK1887" i="3"/>
  <c r="AK1888" i="3"/>
  <c r="AK1889" i="3"/>
  <c r="AK1890" i="3"/>
  <c r="AK1891" i="3"/>
  <c r="AK1892" i="3"/>
  <c r="AK1893" i="3"/>
  <c r="AK1894" i="3"/>
  <c r="AK1895" i="3"/>
  <c r="AK1896" i="3"/>
  <c r="AK1897" i="3"/>
  <c r="AK1898" i="3"/>
  <c r="AK1899" i="3"/>
  <c r="AK1900" i="3"/>
  <c r="AK1901" i="3"/>
  <c r="AK1902" i="3"/>
  <c r="AK1903" i="3"/>
  <c r="AK1904" i="3"/>
  <c r="AK1905" i="3"/>
  <c r="AK1906" i="3"/>
  <c r="AK1907" i="3"/>
  <c r="AK1908" i="3"/>
  <c r="AK1909" i="3"/>
  <c r="AK1910" i="3"/>
  <c r="AK1911" i="3"/>
  <c r="AK1912" i="3"/>
  <c r="AK1913" i="3"/>
  <c r="AK1914" i="3"/>
  <c r="AK1915" i="3"/>
  <c r="AK1916" i="3"/>
  <c r="AK1917" i="3"/>
  <c r="AK1918" i="3"/>
  <c r="AK1919" i="3"/>
  <c r="AK1920" i="3"/>
  <c r="AK1921" i="3"/>
  <c r="AK1922" i="3"/>
  <c r="AK1923" i="3"/>
  <c r="AK1924" i="3"/>
  <c r="AK1925" i="3"/>
  <c r="AK1926" i="3"/>
  <c r="AK1927" i="3"/>
  <c r="AK1928" i="3"/>
  <c r="AK1929" i="3"/>
  <c r="AK1930" i="3"/>
  <c r="AK1931" i="3"/>
  <c r="AK1932" i="3"/>
  <c r="AK1933" i="3"/>
  <c r="AK1934" i="3"/>
  <c r="AK1935" i="3"/>
  <c r="AK1936" i="3"/>
  <c r="AK1937" i="3"/>
  <c r="AK1938" i="3"/>
  <c r="AK1939" i="3"/>
  <c r="AK1940" i="3"/>
  <c r="AK1941" i="3"/>
  <c r="AK1942" i="3"/>
  <c r="AK1943" i="3"/>
  <c r="AK1944" i="3"/>
  <c r="AK1945" i="3"/>
  <c r="AK1946" i="3"/>
  <c r="AK1947" i="3"/>
  <c r="AK1948" i="3"/>
  <c r="AK1949" i="3"/>
  <c r="AK1950" i="3"/>
  <c r="AK1951" i="3"/>
  <c r="AK1952" i="3"/>
  <c r="AK1953" i="3"/>
  <c r="AK1954" i="3"/>
  <c r="AK1955" i="3"/>
  <c r="AK1956" i="3"/>
  <c r="AK1957" i="3"/>
  <c r="AK1958" i="3"/>
  <c r="AK1959" i="3"/>
  <c r="AK1960" i="3"/>
  <c r="AK1961" i="3"/>
  <c r="AK1962" i="3"/>
  <c r="AK1963" i="3"/>
  <c r="AK1964" i="3"/>
  <c r="AK1965" i="3"/>
  <c r="AK1966" i="3"/>
  <c r="AK1967" i="3"/>
  <c r="AK1968" i="3"/>
  <c r="AK1969" i="3"/>
  <c r="AK1970" i="3"/>
  <c r="AK1971" i="3"/>
  <c r="AK1972" i="3"/>
  <c r="AK1973" i="3"/>
  <c r="AK1974" i="3"/>
  <c r="AK1975" i="3"/>
  <c r="AK1976" i="3"/>
  <c r="AK1977" i="3"/>
  <c r="AK1978" i="3"/>
  <c r="AK1979" i="3"/>
  <c r="AK1980" i="3"/>
  <c r="AK1981" i="3"/>
  <c r="AK1982" i="3"/>
  <c r="AK1983" i="3"/>
  <c r="AK1984" i="3"/>
  <c r="AK1985" i="3"/>
  <c r="AK1986" i="3"/>
  <c r="AK1987" i="3"/>
  <c r="AK1988" i="3"/>
  <c r="AK1989" i="3"/>
  <c r="AK1990" i="3"/>
  <c r="AK1991" i="3"/>
  <c r="AK1992" i="3"/>
  <c r="AK1993" i="3"/>
  <c r="AK1994" i="3"/>
  <c r="AK1995" i="3"/>
  <c r="AK1996" i="3"/>
  <c r="AK1997" i="3"/>
  <c r="AK1998" i="3"/>
  <c r="AK1999" i="3"/>
  <c r="AK2000" i="3"/>
  <c r="AK2001" i="3"/>
  <c r="AK2002" i="3"/>
  <c r="AK2003" i="3"/>
  <c r="AK2004" i="3"/>
  <c r="AK2005" i="3"/>
  <c r="AK2006" i="3"/>
  <c r="AK2007" i="3"/>
  <c r="AK2008" i="3"/>
  <c r="AK2009" i="3"/>
  <c r="AK2010" i="3"/>
  <c r="AK2011" i="3"/>
  <c r="AK2012" i="3"/>
  <c r="AK2013" i="3"/>
  <c r="AK2014" i="3"/>
  <c r="AK2015" i="3"/>
  <c r="AK2016" i="3"/>
  <c r="AK2017" i="3"/>
  <c r="AK2018" i="3"/>
  <c r="AK2019" i="3"/>
  <c r="AK2020" i="3"/>
  <c r="AK2021" i="3"/>
  <c r="AK2022" i="3"/>
  <c r="AK2023" i="3"/>
  <c r="AK2024" i="3"/>
  <c r="AK2025" i="3"/>
  <c r="AK2026" i="3"/>
  <c r="AK2027" i="3"/>
  <c r="AK2028" i="3"/>
  <c r="AK2029" i="3"/>
  <c r="AK2030" i="3"/>
  <c r="AK2031" i="3"/>
  <c r="AK2032" i="3"/>
  <c r="AK2033" i="3"/>
  <c r="AK2034" i="3"/>
  <c r="AK2035" i="3"/>
  <c r="AK2036" i="3"/>
  <c r="AK2037" i="3"/>
  <c r="AK2038" i="3"/>
  <c r="AK2039" i="3"/>
  <c r="AK2040" i="3"/>
  <c r="AK2041" i="3"/>
  <c r="AK2042" i="3"/>
  <c r="AK2043" i="3"/>
  <c r="AK2044" i="3"/>
  <c r="AK2045" i="3"/>
  <c r="AK2046" i="3"/>
  <c r="AK2047" i="3"/>
  <c r="AK2048" i="3"/>
  <c r="AK2049" i="3"/>
  <c r="AK2050" i="3"/>
  <c r="AK2051" i="3"/>
  <c r="AK2052" i="3"/>
  <c r="AK2053" i="3"/>
  <c r="AK2054" i="3"/>
  <c r="AK2055" i="3"/>
  <c r="AK2056" i="3"/>
  <c r="AK2057" i="3"/>
  <c r="AK2058" i="3"/>
  <c r="AK2059" i="3"/>
  <c r="AK2060" i="3"/>
  <c r="AK2061" i="3"/>
  <c r="AK2062" i="3"/>
  <c r="AK2063" i="3"/>
  <c r="AK2064" i="3"/>
  <c r="AK2065" i="3"/>
  <c r="AK2066" i="3"/>
  <c r="AK2067" i="3"/>
  <c r="AK2068" i="3"/>
  <c r="AK2069" i="3"/>
  <c r="AK2070" i="3"/>
  <c r="AK2071" i="3"/>
  <c r="AK2072" i="3"/>
  <c r="AK2073" i="3"/>
  <c r="AK2074" i="3"/>
  <c r="AK2075" i="3"/>
  <c r="AK2076" i="3"/>
  <c r="AK2077" i="3"/>
  <c r="AK2078" i="3"/>
  <c r="AK2079" i="3"/>
  <c r="AK2080" i="3"/>
  <c r="AK2081" i="3"/>
  <c r="AK2082" i="3"/>
  <c r="AK2083" i="3"/>
  <c r="AK2084" i="3"/>
  <c r="AK2085" i="3"/>
  <c r="AK2086" i="3"/>
  <c r="AK2087" i="3"/>
  <c r="AK2088" i="3"/>
  <c r="AK2089" i="3"/>
  <c r="AK2090" i="3"/>
  <c r="AK2091" i="3"/>
  <c r="AK2092" i="3"/>
  <c r="AK2093" i="3"/>
  <c r="AK2094" i="3"/>
  <c r="AK2095" i="3"/>
  <c r="AK2096" i="3"/>
  <c r="AK2097" i="3"/>
  <c r="AK2098" i="3"/>
  <c r="AK2099" i="3"/>
  <c r="AK2100" i="3"/>
  <c r="AK2101" i="3"/>
  <c r="AK2102" i="3"/>
  <c r="AK2103" i="3"/>
  <c r="AK2104" i="3"/>
  <c r="AK2105" i="3"/>
  <c r="AK2106" i="3"/>
  <c r="AK2107" i="3"/>
  <c r="AK2108" i="3"/>
  <c r="AK2109" i="3"/>
  <c r="AK2110" i="3"/>
  <c r="AK2111" i="3"/>
  <c r="AK2112" i="3"/>
  <c r="AK2113" i="3"/>
  <c r="AK2114" i="3"/>
  <c r="AK2115" i="3"/>
  <c r="AK2116" i="3"/>
  <c r="AK2117" i="3"/>
  <c r="AK2118" i="3"/>
  <c r="AK2119" i="3"/>
  <c r="AK2120" i="3"/>
  <c r="AK2121" i="3"/>
  <c r="AK2122" i="3"/>
  <c r="AK2123" i="3"/>
  <c r="AK2124" i="3"/>
  <c r="AK2125" i="3"/>
  <c r="AK2126" i="3"/>
  <c r="AK2127" i="3"/>
  <c r="AK2128" i="3"/>
  <c r="AK2129" i="3"/>
  <c r="AK2130" i="3"/>
  <c r="AK2131" i="3"/>
  <c r="AK2132" i="3"/>
  <c r="AK2133" i="3"/>
  <c r="AK2134" i="3"/>
  <c r="AK2135" i="3"/>
  <c r="AK2136" i="3"/>
  <c r="AK2137" i="3"/>
  <c r="AK2138" i="3"/>
  <c r="AK2139" i="3"/>
  <c r="AK2140" i="3"/>
  <c r="AK2141" i="3"/>
  <c r="AK2142" i="3"/>
  <c r="AK2143" i="3"/>
  <c r="AK2144" i="3"/>
  <c r="AK2145" i="3"/>
  <c r="AK2146" i="3"/>
  <c r="AK2147" i="3"/>
  <c r="AK2148" i="3"/>
  <c r="AK2149" i="3"/>
  <c r="AK2150" i="3"/>
  <c r="AK2151" i="3"/>
  <c r="AK2152" i="3"/>
  <c r="AK2153" i="3"/>
  <c r="AK2154" i="3"/>
  <c r="AK2155" i="3"/>
  <c r="AK2156" i="3"/>
  <c r="AK2157" i="3"/>
  <c r="AK2158" i="3"/>
  <c r="AK2159" i="3"/>
  <c r="AK2160" i="3"/>
  <c r="AK2161" i="3"/>
  <c r="AK2162" i="3"/>
  <c r="AK2163" i="3"/>
  <c r="AK2164" i="3"/>
  <c r="AK2165" i="3"/>
  <c r="AK2166" i="3"/>
  <c r="AK2167" i="3"/>
  <c r="AK2168" i="3"/>
  <c r="AK2169" i="3"/>
  <c r="AK2170" i="3"/>
  <c r="AK2171" i="3"/>
  <c r="AK2172" i="3"/>
  <c r="AK2173" i="3"/>
  <c r="AK2174" i="3"/>
  <c r="AK2175" i="3"/>
  <c r="AK2176" i="3"/>
  <c r="AK2177" i="3"/>
  <c r="AK2178" i="3"/>
  <c r="AK2179" i="3"/>
  <c r="AK2180" i="3"/>
  <c r="AK2181" i="3"/>
  <c r="AK2182" i="3"/>
  <c r="AK2183" i="3"/>
  <c r="AK2184" i="3"/>
  <c r="AK2185" i="3"/>
  <c r="AK2186" i="3"/>
  <c r="AK2187" i="3"/>
  <c r="AK2188" i="3"/>
  <c r="AK2189" i="3"/>
  <c r="AK2190" i="3"/>
  <c r="AK2191" i="3"/>
  <c r="AK2192" i="3"/>
  <c r="AK2193" i="3"/>
  <c r="AK2194" i="3"/>
  <c r="AK2195" i="3"/>
  <c r="AK2196" i="3"/>
  <c r="AK2197" i="3"/>
  <c r="AK2198" i="3"/>
  <c r="AK2199" i="3"/>
  <c r="AK2200" i="3"/>
  <c r="AK2201" i="3"/>
  <c r="AK2202" i="3"/>
  <c r="AK2203" i="3"/>
  <c r="AK2204" i="3"/>
  <c r="AK2205" i="3"/>
  <c r="AK2206" i="3"/>
  <c r="AK2207" i="3"/>
  <c r="AK2208" i="3"/>
  <c r="AK2209" i="3"/>
  <c r="AK2210" i="3"/>
  <c r="AK2211" i="3"/>
  <c r="AK2212" i="3"/>
  <c r="AK2213" i="3"/>
  <c r="AK2214" i="3"/>
  <c r="AK2215" i="3"/>
  <c r="AK2216" i="3"/>
  <c r="AK2217" i="3"/>
  <c r="AK2218" i="3"/>
  <c r="AK2219" i="3"/>
  <c r="AK2220" i="3"/>
  <c r="AK2221" i="3"/>
  <c r="AK2222" i="3"/>
  <c r="AK2223" i="3"/>
  <c r="AK2224" i="3"/>
  <c r="AK2225" i="3"/>
  <c r="AK2226" i="3"/>
  <c r="AK2227" i="3"/>
  <c r="AK2228" i="3"/>
  <c r="AK2229" i="3"/>
  <c r="AK2230" i="3"/>
  <c r="AK2231" i="3"/>
  <c r="AK2232" i="3"/>
  <c r="AK2233" i="3"/>
  <c r="AK2234" i="3"/>
  <c r="AK2235" i="3"/>
  <c r="AK2236" i="3"/>
  <c r="AK2237" i="3"/>
  <c r="AK2238" i="3"/>
  <c r="AK2239" i="3"/>
  <c r="AK2240" i="3"/>
  <c r="AK2241" i="3"/>
  <c r="AK2" i="3"/>
  <c r="C10" i="4"/>
  <c r="C19" i="4"/>
  <c r="C20" i="4"/>
  <c r="C21" i="4"/>
  <c r="C22" i="4"/>
  <c r="C23" i="4"/>
  <c r="B4" i="4"/>
  <c r="C13" i="4" s="1"/>
  <c r="B16" i="4"/>
  <c r="B23" i="4"/>
  <c r="B22" i="4"/>
  <c r="B21" i="4"/>
  <c r="B20" i="4"/>
  <c r="B19" i="4"/>
  <c r="B18" i="4"/>
  <c r="B17" i="4"/>
  <c r="B15" i="4"/>
  <c r="B14" i="4"/>
  <c r="B13" i="4"/>
  <c r="B12" i="4"/>
  <c r="B11" i="4"/>
  <c r="B10" i="4"/>
  <c r="AS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S1001" i="3"/>
  <c r="AS1002" i="3"/>
  <c r="AS1003" i="3"/>
  <c r="AS1004" i="3"/>
  <c r="AS1005" i="3"/>
  <c r="AS1006" i="3"/>
  <c r="AS1007" i="3"/>
  <c r="AS1008" i="3"/>
  <c r="AS1009" i="3"/>
  <c r="AS1010" i="3"/>
  <c r="AS1011" i="3"/>
  <c r="AS1012" i="3"/>
  <c r="AS1013" i="3"/>
  <c r="AS1014" i="3"/>
  <c r="AS1015" i="3"/>
  <c r="AS1016" i="3"/>
  <c r="AS1017" i="3"/>
  <c r="AS1018" i="3"/>
  <c r="AS1019" i="3"/>
  <c r="AS1020" i="3"/>
  <c r="AS1021" i="3"/>
  <c r="AS1022" i="3"/>
  <c r="AS1023" i="3"/>
  <c r="AS1024" i="3"/>
  <c r="AS1025" i="3"/>
  <c r="AS1026" i="3"/>
  <c r="AS1027" i="3"/>
  <c r="AS1028" i="3"/>
  <c r="AS1029" i="3"/>
  <c r="AS1030" i="3"/>
  <c r="AS1031" i="3"/>
  <c r="AS1032" i="3"/>
  <c r="AS1033" i="3"/>
  <c r="AS1034" i="3"/>
  <c r="AS1035" i="3"/>
  <c r="AS1036" i="3"/>
  <c r="AS1037" i="3"/>
  <c r="AS1038" i="3"/>
  <c r="AS1039" i="3"/>
  <c r="AS1040" i="3"/>
  <c r="AS1041" i="3"/>
  <c r="AS1042" i="3"/>
  <c r="AS1043" i="3"/>
  <c r="AS1044" i="3"/>
  <c r="AS1045" i="3"/>
  <c r="AS1046" i="3"/>
  <c r="AS1047" i="3"/>
  <c r="AS1048" i="3"/>
  <c r="AS1049" i="3"/>
  <c r="AS1050" i="3"/>
  <c r="AS1051" i="3"/>
  <c r="AS1052" i="3"/>
  <c r="AS1053" i="3"/>
  <c r="AS1054" i="3"/>
  <c r="AS1055" i="3"/>
  <c r="AS1056" i="3"/>
  <c r="AS1057" i="3"/>
  <c r="AS1058" i="3"/>
  <c r="AS1059" i="3"/>
  <c r="AS1060" i="3"/>
  <c r="AS1061" i="3"/>
  <c r="AS1062" i="3"/>
  <c r="AS1063" i="3"/>
  <c r="AS1064" i="3"/>
  <c r="AS1065" i="3"/>
  <c r="AS1066" i="3"/>
  <c r="AS1067" i="3"/>
  <c r="AS1068" i="3"/>
  <c r="AS1069" i="3"/>
  <c r="AS1070" i="3"/>
  <c r="AS1071" i="3"/>
  <c r="AS1072" i="3"/>
  <c r="AS1073" i="3"/>
  <c r="AS1074" i="3"/>
  <c r="AS1075" i="3"/>
  <c r="AS1076" i="3"/>
  <c r="AS1077" i="3"/>
  <c r="AS1078" i="3"/>
  <c r="AS1079" i="3"/>
  <c r="AS1080" i="3"/>
  <c r="AS1081" i="3"/>
  <c r="AS1082" i="3"/>
  <c r="AS1083" i="3"/>
  <c r="AS1084" i="3"/>
  <c r="AS1085" i="3"/>
  <c r="AS1086" i="3"/>
  <c r="AS1087" i="3"/>
  <c r="AS1088" i="3"/>
  <c r="AS1089" i="3"/>
  <c r="AS1090" i="3"/>
  <c r="AS1091" i="3"/>
  <c r="AS1092" i="3"/>
  <c r="AS1093" i="3"/>
  <c r="AS1094" i="3"/>
  <c r="AS1095" i="3"/>
  <c r="AS1096" i="3"/>
  <c r="AS1097" i="3"/>
  <c r="AS1098" i="3"/>
  <c r="AS1099" i="3"/>
  <c r="AS1100" i="3"/>
  <c r="AS1101" i="3"/>
  <c r="AS1102" i="3"/>
  <c r="AS1103" i="3"/>
  <c r="AS1104" i="3"/>
  <c r="AS1105" i="3"/>
  <c r="AS1106" i="3"/>
  <c r="AS1107" i="3"/>
  <c r="AS1108" i="3"/>
  <c r="AS1109" i="3"/>
  <c r="AS1110" i="3"/>
  <c r="AS1111" i="3"/>
  <c r="AS1112" i="3"/>
  <c r="AS1113" i="3"/>
  <c r="AS1114" i="3"/>
  <c r="AS1115" i="3"/>
  <c r="AS1116" i="3"/>
  <c r="AS1117" i="3"/>
  <c r="AS1118" i="3"/>
  <c r="AS1119" i="3"/>
  <c r="AS1120" i="3"/>
  <c r="AS1121" i="3"/>
  <c r="AS1122" i="3"/>
  <c r="AS1123" i="3"/>
  <c r="AS1124" i="3"/>
  <c r="AS1125" i="3"/>
  <c r="AS1126" i="3"/>
  <c r="AS1127" i="3"/>
  <c r="AS1128" i="3"/>
  <c r="AS1129" i="3"/>
  <c r="AS1130" i="3"/>
  <c r="AS1131" i="3"/>
  <c r="AS1132" i="3"/>
  <c r="AS1133" i="3"/>
  <c r="AS1134" i="3"/>
  <c r="AS1135" i="3"/>
  <c r="AS1136" i="3"/>
  <c r="AS1137" i="3"/>
  <c r="AS1138" i="3"/>
  <c r="AS1139" i="3"/>
  <c r="AS1140" i="3"/>
  <c r="AS1141" i="3"/>
  <c r="AS1142" i="3"/>
  <c r="AS1143" i="3"/>
  <c r="AS1144" i="3"/>
  <c r="AS1145" i="3"/>
  <c r="AS1146" i="3"/>
  <c r="AS1147" i="3"/>
  <c r="AS1148" i="3"/>
  <c r="AS1149" i="3"/>
  <c r="AS1150" i="3"/>
  <c r="AS1151" i="3"/>
  <c r="AS1152" i="3"/>
  <c r="AS1153" i="3"/>
  <c r="AS1154" i="3"/>
  <c r="AS1155" i="3"/>
  <c r="AS1156" i="3"/>
  <c r="AS1157" i="3"/>
  <c r="AS1158" i="3"/>
  <c r="AS1159" i="3"/>
  <c r="AS1160" i="3"/>
  <c r="AS1161" i="3"/>
  <c r="AS1162" i="3"/>
  <c r="AS1163" i="3"/>
  <c r="AS1164" i="3"/>
  <c r="AS1165" i="3"/>
  <c r="AS1166" i="3"/>
  <c r="AS1167" i="3"/>
  <c r="AS1168" i="3"/>
  <c r="AS1169" i="3"/>
  <c r="AS1170" i="3"/>
  <c r="AS1171" i="3"/>
  <c r="AS1172" i="3"/>
  <c r="AS1173" i="3"/>
  <c r="AS1174" i="3"/>
  <c r="AS1175" i="3"/>
  <c r="AS1176" i="3"/>
  <c r="AS1177" i="3"/>
  <c r="AS1178" i="3"/>
  <c r="AS1179" i="3"/>
  <c r="AS1180" i="3"/>
  <c r="AS1181" i="3"/>
  <c r="AS1182" i="3"/>
  <c r="AS1183" i="3"/>
  <c r="AS1184" i="3"/>
  <c r="AS1185" i="3"/>
  <c r="AS1186" i="3"/>
  <c r="AS1187" i="3"/>
  <c r="AS1188" i="3"/>
  <c r="AS1189" i="3"/>
  <c r="AS1190" i="3"/>
  <c r="AS1191" i="3"/>
  <c r="AS1192" i="3"/>
  <c r="AS1193" i="3"/>
  <c r="AS1194" i="3"/>
  <c r="AS1195" i="3"/>
  <c r="AS1196" i="3"/>
  <c r="AS1197" i="3"/>
  <c r="AS1198" i="3"/>
  <c r="AS1199" i="3"/>
  <c r="AS1200" i="3"/>
  <c r="AS1201" i="3"/>
  <c r="AS1202" i="3"/>
  <c r="AS1203" i="3"/>
  <c r="AS1204" i="3"/>
  <c r="AS1205" i="3"/>
  <c r="AS1206" i="3"/>
  <c r="AS1207" i="3"/>
  <c r="AS1208" i="3"/>
  <c r="AS1209" i="3"/>
  <c r="AS1210" i="3"/>
  <c r="AS1211" i="3"/>
  <c r="AS1212" i="3"/>
  <c r="AS1213" i="3"/>
  <c r="AS1214" i="3"/>
  <c r="AS1215" i="3"/>
  <c r="AS1216" i="3"/>
  <c r="AS1217" i="3"/>
  <c r="AS1218" i="3"/>
  <c r="AS1219" i="3"/>
  <c r="AS1220" i="3"/>
  <c r="AS1221" i="3"/>
  <c r="AS1222" i="3"/>
  <c r="AS1223" i="3"/>
  <c r="AS1224" i="3"/>
  <c r="AS1225" i="3"/>
  <c r="AS1226" i="3"/>
  <c r="AS1227" i="3"/>
  <c r="AS1228" i="3"/>
  <c r="AS1229" i="3"/>
  <c r="AS1230" i="3"/>
  <c r="AS1231" i="3"/>
  <c r="AS1232" i="3"/>
  <c r="AS1233" i="3"/>
  <c r="AS1234" i="3"/>
  <c r="AS1235" i="3"/>
  <c r="AS1236" i="3"/>
  <c r="AS1237" i="3"/>
  <c r="AS1238" i="3"/>
  <c r="AS1239" i="3"/>
  <c r="AS1240" i="3"/>
  <c r="AS1241" i="3"/>
  <c r="AS1242" i="3"/>
  <c r="AS1243" i="3"/>
  <c r="AS1244" i="3"/>
  <c r="AS1245" i="3"/>
  <c r="AS1246" i="3"/>
  <c r="AS1247" i="3"/>
  <c r="AS1248" i="3"/>
  <c r="AS1249" i="3"/>
  <c r="AS1250" i="3"/>
  <c r="AS1251" i="3"/>
  <c r="AS1252" i="3"/>
  <c r="AS1253" i="3"/>
  <c r="AS1254" i="3"/>
  <c r="AS1255" i="3"/>
  <c r="AS1256" i="3"/>
  <c r="AS1257" i="3"/>
  <c r="AS1258" i="3"/>
  <c r="AS1259" i="3"/>
  <c r="AS1260" i="3"/>
  <c r="AS1261" i="3"/>
  <c r="AS1262" i="3"/>
  <c r="AS1263" i="3"/>
  <c r="AS1264" i="3"/>
  <c r="AS1265" i="3"/>
  <c r="AS1266" i="3"/>
  <c r="AS1267" i="3"/>
  <c r="AS1268" i="3"/>
  <c r="AS1269" i="3"/>
  <c r="AS1270" i="3"/>
  <c r="AS1271" i="3"/>
  <c r="AS1272" i="3"/>
  <c r="AS1273" i="3"/>
  <c r="AS1274" i="3"/>
  <c r="AS1275" i="3"/>
  <c r="AS1276" i="3"/>
  <c r="AS1277" i="3"/>
  <c r="AS1278" i="3"/>
  <c r="AS1279" i="3"/>
  <c r="AS1280" i="3"/>
  <c r="AS1281" i="3"/>
  <c r="AS1282" i="3"/>
  <c r="AS1283" i="3"/>
  <c r="AS1284" i="3"/>
  <c r="AS1285" i="3"/>
  <c r="AS1286" i="3"/>
  <c r="AS1287" i="3"/>
  <c r="AS1288" i="3"/>
  <c r="AS1289" i="3"/>
  <c r="AS1290" i="3"/>
  <c r="AS1291" i="3"/>
  <c r="AS1292" i="3"/>
  <c r="AS1293" i="3"/>
  <c r="AS1294" i="3"/>
  <c r="AS1295" i="3"/>
  <c r="AS1296" i="3"/>
  <c r="AS1297" i="3"/>
  <c r="AS1298" i="3"/>
  <c r="AS1299" i="3"/>
  <c r="AS1300" i="3"/>
  <c r="AS1301" i="3"/>
  <c r="AS1302" i="3"/>
  <c r="AS1303" i="3"/>
  <c r="AS1304" i="3"/>
  <c r="AS1305" i="3"/>
  <c r="AS1306" i="3"/>
  <c r="AS1307" i="3"/>
  <c r="AS1308" i="3"/>
  <c r="AS1309" i="3"/>
  <c r="AS1310" i="3"/>
  <c r="AS1311" i="3"/>
  <c r="AS1312" i="3"/>
  <c r="AS1313" i="3"/>
  <c r="AS1314" i="3"/>
  <c r="AS1315" i="3"/>
  <c r="AS1316" i="3"/>
  <c r="AS1317" i="3"/>
  <c r="AS1318" i="3"/>
  <c r="AS1319" i="3"/>
  <c r="AS1320" i="3"/>
  <c r="AS1321" i="3"/>
  <c r="AS1322" i="3"/>
  <c r="AS1323" i="3"/>
  <c r="AS1324" i="3"/>
  <c r="AS1325" i="3"/>
  <c r="AS1326" i="3"/>
  <c r="AS1327" i="3"/>
  <c r="AS1328" i="3"/>
  <c r="AS1329" i="3"/>
  <c r="AS1330" i="3"/>
  <c r="AS1331" i="3"/>
  <c r="AS1332" i="3"/>
  <c r="AS1333" i="3"/>
  <c r="AS1334" i="3"/>
  <c r="AS1335" i="3"/>
  <c r="AS1336" i="3"/>
  <c r="AS1337" i="3"/>
  <c r="AS1338" i="3"/>
  <c r="AS1339" i="3"/>
  <c r="AS1340" i="3"/>
  <c r="AS1341" i="3"/>
  <c r="AS1342" i="3"/>
  <c r="AS1343" i="3"/>
  <c r="AS1344" i="3"/>
  <c r="AS1345" i="3"/>
  <c r="AS1346" i="3"/>
  <c r="AS1347" i="3"/>
  <c r="AS1348" i="3"/>
  <c r="AS1349" i="3"/>
  <c r="AS1350" i="3"/>
  <c r="AS1351" i="3"/>
  <c r="AS1352" i="3"/>
  <c r="AS1353" i="3"/>
  <c r="AS1354" i="3"/>
  <c r="AS1355" i="3"/>
  <c r="AS1356" i="3"/>
  <c r="AS1357" i="3"/>
  <c r="AS1358" i="3"/>
  <c r="AS1359" i="3"/>
  <c r="AS1360" i="3"/>
  <c r="AS1361" i="3"/>
  <c r="AS1362" i="3"/>
  <c r="AS1363" i="3"/>
  <c r="AS1364" i="3"/>
  <c r="AS1365" i="3"/>
  <c r="AS1366" i="3"/>
  <c r="AS1367" i="3"/>
  <c r="AS1368" i="3"/>
  <c r="AS1369" i="3"/>
  <c r="AS1370" i="3"/>
  <c r="AS1371" i="3"/>
  <c r="AS1372" i="3"/>
  <c r="AS1373" i="3"/>
  <c r="AS1374" i="3"/>
  <c r="AS1375" i="3"/>
  <c r="AS1376" i="3"/>
  <c r="AS1377" i="3"/>
  <c r="AS1378" i="3"/>
  <c r="AS1379" i="3"/>
  <c r="AS1380" i="3"/>
  <c r="AS1381" i="3"/>
  <c r="AS1382" i="3"/>
  <c r="AS1383" i="3"/>
  <c r="AS1384" i="3"/>
  <c r="AS1385" i="3"/>
  <c r="AS1386" i="3"/>
  <c r="AS1387" i="3"/>
  <c r="AS1388" i="3"/>
  <c r="AS1389" i="3"/>
  <c r="AS1390" i="3"/>
  <c r="AS1391" i="3"/>
  <c r="AS1392" i="3"/>
  <c r="AS1393" i="3"/>
  <c r="AS1394" i="3"/>
  <c r="AS1395" i="3"/>
  <c r="AS1396" i="3"/>
  <c r="AS1397" i="3"/>
  <c r="AS1398" i="3"/>
  <c r="AS1399" i="3"/>
  <c r="AS1400" i="3"/>
  <c r="AS1401" i="3"/>
  <c r="AS1402" i="3"/>
  <c r="AS1403" i="3"/>
  <c r="AS1404" i="3"/>
  <c r="AS1405" i="3"/>
  <c r="AS1406" i="3"/>
  <c r="AS1407" i="3"/>
  <c r="AS1408" i="3"/>
  <c r="AS1409" i="3"/>
  <c r="AS1410" i="3"/>
  <c r="AS1411" i="3"/>
  <c r="AS1412" i="3"/>
  <c r="AS1413" i="3"/>
  <c r="AS1414" i="3"/>
  <c r="AS1415" i="3"/>
  <c r="AS1416" i="3"/>
  <c r="AS1417" i="3"/>
  <c r="AS1418" i="3"/>
  <c r="AS1419" i="3"/>
  <c r="AS1420" i="3"/>
  <c r="AS1421" i="3"/>
  <c r="AS1422" i="3"/>
  <c r="AS1423" i="3"/>
  <c r="AS1424" i="3"/>
  <c r="AS1425" i="3"/>
  <c r="AS1426" i="3"/>
  <c r="AS1427" i="3"/>
  <c r="AS1428" i="3"/>
  <c r="AS1429" i="3"/>
  <c r="AS1430" i="3"/>
  <c r="AS1431" i="3"/>
  <c r="AS1432" i="3"/>
  <c r="AS1433" i="3"/>
  <c r="AS1434" i="3"/>
  <c r="AS1435" i="3"/>
  <c r="AS1436" i="3"/>
  <c r="AS1437" i="3"/>
  <c r="AS1438" i="3"/>
  <c r="AS1439" i="3"/>
  <c r="AS1440" i="3"/>
  <c r="AS1441" i="3"/>
  <c r="AS1442" i="3"/>
  <c r="AS1443" i="3"/>
  <c r="AS1444" i="3"/>
  <c r="AS1445" i="3"/>
  <c r="AS1446" i="3"/>
  <c r="AS1447" i="3"/>
  <c r="AS1448" i="3"/>
  <c r="AS1449" i="3"/>
  <c r="AS1450" i="3"/>
  <c r="AS1451" i="3"/>
  <c r="AS1452" i="3"/>
  <c r="AS1453" i="3"/>
  <c r="AS1454" i="3"/>
  <c r="AS1455" i="3"/>
  <c r="AS1456" i="3"/>
  <c r="AS1457" i="3"/>
  <c r="AS1458" i="3"/>
  <c r="AS1459" i="3"/>
  <c r="AS1460" i="3"/>
  <c r="AS1461" i="3"/>
  <c r="AS1462" i="3"/>
  <c r="AS1463" i="3"/>
  <c r="AS1464" i="3"/>
  <c r="AS1465" i="3"/>
  <c r="AS1466" i="3"/>
  <c r="AS1467" i="3"/>
  <c r="AS1468" i="3"/>
  <c r="AS1469" i="3"/>
  <c r="AS1470" i="3"/>
  <c r="AS1471" i="3"/>
  <c r="AS1472" i="3"/>
  <c r="AS1473" i="3"/>
  <c r="AS1474" i="3"/>
  <c r="AS1475" i="3"/>
  <c r="AS1476" i="3"/>
  <c r="AS1477" i="3"/>
  <c r="AS1478" i="3"/>
  <c r="AS1479" i="3"/>
  <c r="AS1480" i="3"/>
  <c r="AS1481" i="3"/>
  <c r="AS1482" i="3"/>
  <c r="AS1483" i="3"/>
  <c r="AS1484" i="3"/>
  <c r="AS1485" i="3"/>
  <c r="AS1486" i="3"/>
  <c r="AS1487" i="3"/>
  <c r="AS1488" i="3"/>
  <c r="AS1489" i="3"/>
  <c r="AS1490" i="3"/>
  <c r="AS1491" i="3"/>
  <c r="AS1492" i="3"/>
  <c r="AS1493" i="3"/>
  <c r="AS1494" i="3"/>
  <c r="AS1495" i="3"/>
  <c r="AS1496" i="3"/>
  <c r="AS1497" i="3"/>
  <c r="AS1498" i="3"/>
  <c r="AS1499" i="3"/>
  <c r="AS1500" i="3"/>
  <c r="AS1501" i="3"/>
  <c r="AS1502" i="3"/>
  <c r="AS1503" i="3"/>
  <c r="AS1504" i="3"/>
  <c r="AS1505" i="3"/>
  <c r="AS1506" i="3"/>
  <c r="AS1507" i="3"/>
  <c r="AS1508" i="3"/>
  <c r="AS1509" i="3"/>
  <c r="AS1510" i="3"/>
  <c r="AS1511" i="3"/>
  <c r="AS1512" i="3"/>
  <c r="AS1513" i="3"/>
  <c r="AS1514" i="3"/>
  <c r="AS1515" i="3"/>
  <c r="AS1516" i="3"/>
  <c r="AS1517" i="3"/>
  <c r="AS1518" i="3"/>
  <c r="AS1519" i="3"/>
  <c r="AS1520" i="3"/>
  <c r="AS1521" i="3"/>
  <c r="AS1522" i="3"/>
  <c r="AS1523" i="3"/>
  <c r="AS1524" i="3"/>
  <c r="AS1525" i="3"/>
  <c r="AS1526" i="3"/>
  <c r="AS1527" i="3"/>
  <c r="AS1528" i="3"/>
  <c r="AS1529" i="3"/>
  <c r="AS1530" i="3"/>
  <c r="AS1531" i="3"/>
  <c r="AS1532" i="3"/>
  <c r="AS1533" i="3"/>
  <c r="AS1534" i="3"/>
  <c r="AS1535" i="3"/>
  <c r="AS1536" i="3"/>
  <c r="AS1537" i="3"/>
  <c r="AS1538" i="3"/>
  <c r="AS1539" i="3"/>
  <c r="AS1540" i="3"/>
  <c r="AS1541" i="3"/>
  <c r="AS1542" i="3"/>
  <c r="AS1543" i="3"/>
  <c r="AS1544" i="3"/>
  <c r="AS1545" i="3"/>
  <c r="AS1546" i="3"/>
  <c r="AS1547" i="3"/>
  <c r="AS1548" i="3"/>
  <c r="AS1549" i="3"/>
  <c r="AS1550" i="3"/>
  <c r="AS1551" i="3"/>
  <c r="AS1552" i="3"/>
  <c r="AS1553" i="3"/>
  <c r="AS1554" i="3"/>
  <c r="AS1555" i="3"/>
  <c r="AS1556" i="3"/>
  <c r="AS1557" i="3"/>
  <c r="AS1558" i="3"/>
  <c r="AS1559" i="3"/>
  <c r="AS1560" i="3"/>
  <c r="AS1561" i="3"/>
  <c r="AS1562" i="3"/>
  <c r="AS1563" i="3"/>
  <c r="AS1564" i="3"/>
  <c r="AS1565" i="3"/>
  <c r="AS1566" i="3"/>
  <c r="AS1567" i="3"/>
  <c r="AS1568" i="3"/>
  <c r="AS1569" i="3"/>
  <c r="AS1570" i="3"/>
  <c r="AS1571" i="3"/>
  <c r="AS1572" i="3"/>
  <c r="AS1573" i="3"/>
  <c r="AS1574" i="3"/>
  <c r="AS1575" i="3"/>
  <c r="AS1576" i="3"/>
  <c r="AS1577" i="3"/>
  <c r="AS1578" i="3"/>
  <c r="AS1579" i="3"/>
  <c r="AS1580" i="3"/>
  <c r="AS1581" i="3"/>
  <c r="AS1582" i="3"/>
  <c r="AS1583" i="3"/>
  <c r="AS1584" i="3"/>
  <c r="AS1585" i="3"/>
  <c r="AS1586" i="3"/>
  <c r="AS1587" i="3"/>
  <c r="AS1588" i="3"/>
  <c r="AS1589" i="3"/>
  <c r="AS1590" i="3"/>
  <c r="AS1591" i="3"/>
  <c r="AS1592" i="3"/>
  <c r="AS1593" i="3"/>
  <c r="AS1594" i="3"/>
  <c r="AS1595" i="3"/>
  <c r="AS1596" i="3"/>
  <c r="AS1597" i="3"/>
  <c r="AS1598" i="3"/>
  <c r="AS1599" i="3"/>
  <c r="AS1600" i="3"/>
  <c r="AS1601" i="3"/>
  <c r="AS1602" i="3"/>
  <c r="AS1603" i="3"/>
  <c r="AS1604" i="3"/>
  <c r="AS1605" i="3"/>
  <c r="AS1606" i="3"/>
  <c r="AS1607" i="3"/>
  <c r="AS1608" i="3"/>
  <c r="AS1609" i="3"/>
  <c r="AS1610" i="3"/>
  <c r="AS1611" i="3"/>
  <c r="AS1612" i="3"/>
  <c r="AS1613" i="3"/>
  <c r="AS1614" i="3"/>
  <c r="AS1615" i="3"/>
  <c r="AS1616" i="3"/>
  <c r="AS1617" i="3"/>
  <c r="AS1618" i="3"/>
  <c r="AS1619" i="3"/>
  <c r="AS1620" i="3"/>
  <c r="AS1621" i="3"/>
  <c r="AS1622" i="3"/>
  <c r="AS1623" i="3"/>
  <c r="AS1624" i="3"/>
  <c r="AS1625" i="3"/>
  <c r="AS1626" i="3"/>
  <c r="AS1627" i="3"/>
  <c r="AS1628" i="3"/>
  <c r="AS1629" i="3"/>
  <c r="AS1630" i="3"/>
  <c r="AS1631" i="3"/>
  <c r="AS1632" i="3"/>
  <c r="AS1633" i="3"/>
  <c r="AS1634" i="3"/>
  <c r="AS1635" i="3"/>
  <c r="AS1636" i="3"/>
  <c r="AS1637" i="3"/>
  <c r="AS1638" i="3"/>
  <c r="AS1639" i="3"/>
  <c r="AS1640" i="3"/>
  <c r="AS1641" i="3"/>
  <c r="AS1642" i="3"/>
  <c r="AS1643" i="3"/>
  <c r="AS1644" i="3"/>
  <c r="AS1645" i="3"/>
  <c r="AS1646" i="3"/>
  <c r="AS1647" i="3"/>
  <c r="AS1648" i="3"/>
  <c r="AS1649" i="3"/>
  <c r="AS1650" i="3"/>
  <c r="AS1651" i="3"/>
  <c r="AS1652" i="3"/>
  <c r="AS1653" i="3"/>
  <c r="AS1654" i="3"/>
  <c r="AS1655" i="3"/>
  <c r="AS1656" i="3"/>
  <c r="AS1657" i="3"/>
  <c r="AS1658" i="3"/>
  <c r="AS1659" i="3"/>
  <c r="AS1660" i="3"/>
  <c r="AS1661" i="3"/>
  <c r="AS1662" i="3"/>
  <c r="AS1663" i="3"/>
  <c r="AS1664" i="3"/>
  <c r="AS1665" i="3"/>
  <c r="AS1666" i="3"/>
  <c r="AS1667" i="3"/>
  <c r="AS1668" i="3"/>
  <c r="AS1669" i="3"/>
  <c r="AS1670" i="3"/>
  <c r="AS1671" i="3"/>
  <c r="AS1672" i="3"/>
  <c r="AS1673" i="3"/>
  <c r="AS1674" i="3"/>
  <c r="AS1675" i="3"/>
  <c r="AS1676" i="3"/>
  <c r="AS1677" i="3"/>
  <c r="AS1678" i="3"/>
  <c r="AS1679" i="3"/>
  <c r="AS1680" i="3"/>
  <c r="AS1681" i="3"/>
  <c r="AS1682" i="3"/>
  <c r="AS1683" i="3"/>
  <c r="AS1684" i="3"/>
  <c r="AS1685" i="3"/>
  <c r="AS1686" i="3"/>
  <c r="AS1687" i="3"/>
  <c r="AS1688" i="3"/>
  <c r="AS1689" i="3"/>
  <c r="AS1690" i="3"/>
  <c r="AS1691" i="3"/>
  <c r="AS1692" i="3"/>
  <c r="AS1693" i="3"/>
  <c r="AS1694" i="3"/>
  <c r="AS1695" i="3"/>
  <c r="AS1696" i="3"/>
  <c r="AS1697" i="3"/>
  <c r="AS1698" i="3"/>
  <c r="AS1699" i="3"/>
  <c r="AS1700" i="3"/>
  <c r="AS1701" i="3"/>
  <c r="AS1702" i="3"/>
  <c r="AS1703" i="3"/>
  <c r="AS1704" i="3"/>
  <c r="AS1705" i="3"/>
  <c r="AS1706" i="3"/>
  <c r="AS1707" i="3"/>
  <c r="AS1708" i="3"/>
  <c r="AS1709" i="3"/>
  <c r="AS1710" i="3"/>
  <c r="AS1711" i="3"/>
  <c r="AS1712" i="3"/>
  <c r="AS1713" i="3"/>
  <c r="AS1714" i="3"/>
  <c r="AS1715" i="3"/>
  <c r="AS1716" i="3"/>
  <c r="AS1717" i="3"/>
  <c r="AS1718" i="3"/>
  <c r="AS1719" i="3"/>
  <c r="AS1720" i="3"/>
  <c r="AS1721" i="3"/>
  <c r="AS1722" i="3"/>
  <c r="AS1723" i="3"/>
  <c r="AS1724" i="3"/>
  <c r="AS1725" i="3"/>
  <c r="AS1726" i="3"/>
  <c r="AS1727" i="3"/>
  <c r="AS1728" i="3"/>
  <c r="AS1729" i="3"/>
  <c r="AS1730" i="3"/>
  <c r="AS1731" i="3"/>
  <c r="AS1732" i="3"/>
  <c r="AS1733" i="3"/>
  <c r="AS1734" i="3"/>
  <c r="AS1735" i="3"/>
  <c r="AS1736" i="3"/>
  <c r="AS1737" i="3"/>
  <c r="AS1738" i="3"/>
  <c r="AS1739" i="3"/>
  <c r="AS1740" i="3"/>
  <c r="AS1741" i="3"/>
  <c r="AS1742" i="3"/>
  <c r="AS1743" i="3"/>
  <c r="AS1744" i="3"/>
  <c r="AS1745" i="3"/>
  <c r="AS1746" i="3"/>
  <c r="AS1747" i="3"/>
  <c r="AS1748" i="3"/>
  <c r="AS1749" i="3"/>
  <c r="AS1750" i="3"/>
  <c r="AS1751" i="3"/>
  <c r="AS1752" i="3"/>
  <c r="AS1753" i="3"/>
  <c r="AS1754" i="3"/>
  <c r="AS1755" i="3"/>
  <c r="AS1756" i="3"/>
  <c r="AS1757" i="3"/>
  <c r="AS1758" i="3"/>
  <c r="AS1759" i="3"/>
  <c r="AS1760" i="3"/>
  <c r="AS1761" i="3"/>
  <c r="AS1762" i="3"/>
  <c r="AS1763" i="3"/>
  <c r="AS1764" i="3"/>
  <c r="AS1765" i="3"/>
  <c r="AS1766" i="3"/>
  <c r="AS1767" i="3"/>
  <c r="AS1768" i="3"/>
  <c r="AS1769" i="3"/>
  <c r="AS1770" i="3"/>
  <c r="AS1771" i="3"/>
  <c r="AS1772" i="3"/>
  <c r="AS1773" i="3"/>
  <c r="AS1774" i="3"/>
  <c r="AS1775" i="3"/>
  <c r="AS1776" i="3"/>
  <c r="AS1777" i="3"/>
  <c r="AS1778" i="3"/>
  <c r="AS1779" i="3"/>
  <c r="AS1780" i="3"/>
  <c r="AS1781" i="3"/>
  <c r="AS1782" i="3"/>
  <c r="AS1783" i="3"/>
  <c r="AS1784" i="3"/>
  <c r="AS1785" i="3"/>
  <c r="AS1786" i="3"/>
  <c r="AS1787" i="3"/>
  <c r="AS1788" i="3"/>
  <c r="AS1789" i="3"/>
  <c r="AS1790" i="3"/>
  <c r="AS1791" i="3"/>
  <c r="AS1792" i="3"/>
  <c r="AS1793" i="3"/>
  <c r="AS1794" i="3"/>
  <c r="AS1795" i="3"/>
  <c r="AS1796" i="3"/>
  <c r="AS1797" i="3"/>
  <c r="AS1798" i="3"/>
  <c r="AS1799" i="3"/>
  <c r="AS1800" i="3"/>
  <c r="AS1801" i="3"/>
  <c r="AS1802" i="3"/>
  <c r="AS1803" i="3"/>
  <c r="AS1804" i="3"/>
  <c r="AS1805" i="3"/>
  <c r="AS1806" i="3"/>
  <c r="AS1807" i="3"/>
  <c r="AS1808" i="3"/>
  <c r="AS1809" i="3"/>
  <c r="AS1810" i="3"/>
  <c r="AS1811" i="3"/>
  <c r="AS1812" i="3"/>
  <c r="AS1813" i="3"/>
  <c r="AS1814" i="3"/>
  <c r="AS1815" i="3"/>
  <c r="AS1816" i="3"/>
  <c r="AS1817" i="3"/>
  <c r="AS1818" i="3"/>
  <c r="AS1819" i="3"/>
  <c r="AS1820" i="3"/>
  <c r="AS1821" i="3"/>
  <c r="AS1822" i="3"/>
  <c r="AS1823" i="3"/>
  <c r="AS1824" i="3"/>
  <c r="AS1825" i="3"/>
  <c r="AS1826" i="3"/>
  <c r="AS1827" i="3"/>
  <c r="AS1828" i="3"/>
  <c r="AS1829" i="3"/>
  <c r="AS1830" i="3"/>
  <c r="AS1831" i="3"/>
  <c r="AS1832" i="3"/>
  <c r="AS1833" i="3"/>
  <c r="AS1834" i="3"/>
  <c r="AS1835" i="3"/>
  <c r="AS1836" i="3"/>
  <c r="AS1837" i="3"/>
  <c r="AS1838" i="3"/>
  <c r="AS1839" i="3"/>
  <c r="AS1840" i="3"/>
  <c r="AS1841" i="3"/>
  <c r="AS1842" i="3"/>
  <c r="AS1843" i="3"/>
  <c r="AS1844" i="3"/>
  <c r="AS1845" i="3"/>
  <c r="AS1846" i="3"/>
  <c r="AS1847" i="3"/>
  <c r="AS1848" i="3"/>
  <c r="AS1849" i="3"/>
  <c r="AS1850" i="3"/>
  <c r="AS1851" i="3"/>
  <c r="AS1852" i="3"/>
  <c r="AS1853" i="3"/>
  <c r="AS1854" i="3"/>
  <c r="AS1855" i="3"/>
  <c r="AS1856" i="3"/>
  <c r="AS1857" i="3"/>
  <c r="AS1858" i="3"/>
  <c r="AS1859" i="3"/>
  <c r="AS1860" i="3"/>
  <c r="AS1861" i="3"/>
  <c r="AS1862" i="3"/>
  <c r="AS1863" i="3"/>
  <c r="AS1864" i="3"/>
  <c r="AS1865" i="3"/>
  <c r="AS1866" i="3"/>
  <c r="AS1867" i="3"/>
  <c r="AS1868" i="3"/>
  <c r="AS1869" i="3"/>
  <c r="AS1870" i="3"/>
  <c r="AS1871" i="3"/>
  <c r="AS1872" i="3"/>
  <c r="AS1873" i="3"/>
  <c r="AS1874" i="3"/>
  <c r="AS1875" i="3"/>
  <c r="AS1876" i="3"/>
  <c r="AS1877" i="3"/>
  <c r="AS1878" i="3"/>
  <c r="AS1879" i="3"/>
  <c r="AS1880" i="3"/>
  <c r="AS1881" i="3"/>
  <c r="AS1882" i="3"/>
  <c r="AS1883" i="3"/>
  <c r="AS1884" i="3"/>
  <c r="AS1885" i="3"/>
  <c r="AS1886" i="3"/>
  <c r="AS1887" i="3"/>
  <c r="AS1888" i="3"/>
  <c r="AS1889" i="3"/>
  <c r="AS1890" i="3"/>
  <c r="AS1891" i="3"/>
  <c r="AS1892" i="3"/>
  <c r="AS1893" i="3"/>
  <c r="AS1894" i="3"/>
  <c r="AS1895" i="3"/>
  <c r="AS1896" i="3"/>
  <c r="AS1897" i="3"/>
  <c r="AS1898" i="3"/>
  <c r="AS1899" i="3"/>
  <c r="AS1900" i="3"/>
  <c r="AS1901" i="3"/>
  <c r="AS1902" i="3"/>
  <c r="AS1903" i="3"/>
  <c r="AS1904" i="3"/>
  <c r="AS1905" i="3"/>
  <c r="AS1906" i="3"/>
  <c r="AS1907" i="3"/>
  <c r="AS1908" i="3"/>
  <c r="AS1909" i="3"/>
  <c r="AS1910" i="3"/>
  <c r="AS1911" i="3"/>
  <c r="AS1912" i="3"/>
  <c r="AS1913" i="3"/>
  <c r="AS1914" i="3"/>
  <c r="AS1915" i="3"/>
  <c r="AS1916" i="3"/>
  <c r="AS1917" i="3"/>
  <c r="AS1918" i="3"/>
  <c r="AS1919" i="3"/>
  <c r="AS1920" i="3"/>
  <c r="AS1921" i="3"/>
  <c r="AS1922" i="3"/>
  <c r="AS1923" i="3"/>
  <c r="AS1924" i="3"/>
  <c r="AS1925" i="3"/>
  <c r="AS1926" i="3"/>
  <c r="AS1927" i="3"/>
  <c r="AS1928" i="3"/>
  <c r="AS1929" i="3"/>
  <c r="AS1930" i="3"/>
  <c r="AS1931" i="3"/>
  <c r="AS1932" i="3"/>
  <c r="AS1933" i="3"/>
  <c r="AS1934" i="3"/>
  <c r="AS1935" i="3"/>
  <c r="AS1936" i="3"/>
  <c r="AS1937" i="3"/>
  <c r="AS1938" i="3"/>
  <c r="AS1939" i="3"/>
  <c r="AS1940" i="3"/>
  <c r="AS1941" i="3"/>
  <c r="AS1942" i="3"/>
  <c r="AS1943" i="3"/>
  <c r="AS1944" i="3"/>
  <c r="AS1945" i="3"/>
  <c r="AS1946" i="3"/>
  <c r="AS1947" i="3"/>
  <c r="AS1948" i="3"/>
  <c r="AS1949" i="3"/>
  <c r="AS1950" i="3"/>
  <c r="AS1951" i="3"/>
  <c r="AS1952" i="3"/>
  <c r="AS1953" i="3"/>
  <c r="AS1954" i="3"/>
  <c r="AS1955" i="3"/>
  <c r="AS1956" i="3"/>
  <c r="AS1957" i="3"/>
  <c r="AS1958" i="3"/>
  <c r="AS1959" i="3"/>
  <c r="AS1960" i="3"/>
  <c r="AS1961" i="3"/>
  <c r="AS1962" i="3"/>
  <c r="AS1963" i="3"/>
  <c r="AS1964" i="3"/>
  <c r="AS1965" i="3"/>
  <c r="AS1966" i="3"/>
  <c r="AS1967" i="3"/>
  <c r="AS1968" i="3"/>
  <c r="AS1969" i="3"/>
  <c r="AS1970" i="3"/>
  <c r="AS1971" i="3"/>
  <c r="AS1972" i="3"/>
  <c r="AS1973" i="3"/>
  <c r="AS1974" i="3"/>
  <c r="AS1975" i="3"/>
  <c r="AS1976" i="3"/>
  <c r="AS1977" i="3"/>
  <c r="AS1978" i="3"/>
  <c r="AS1979" i="3"/>
  <c r="AS1980" i="3"/>
  <c r="AS1981" i="3"/>
  <c r="AS1982" i="3"/>
  <c r="AS1983" i="3"/>
  <c r="AS1984" i="3"/>
  <c r="AS1985" i="3"/>
  <c r="AS1986" i="3"/>
  <c r="AS1987" i="3"/>
  <c r="AS1988" i="3"/>
  <c r="AS1989" i="3"/>
  <c r="AS1990" i="3"/>
  <c r="AS1991" i="3"/>
  <c r="AS1992" i="3"/>
  <c r="AS1993" i="3"/>
  <c r="AS1994" i="3"/>
  <c r="AS1995" i="3"/>
  <c r="AS1996" i="3"/>
  <c r="AS1997" i="3"/>
  <c r="AS1998" i="3"/>
  <c r="AS1999" i="3"/>
  <c r="AS2000" i="3"/>
  <c r="AS2001" i="3"/>
  <c r="AS2002" i="3"/>
  <c r="AS2003" i="3"/>
  <c r="AS2004" i="3"/>
  <c r="AS2005" i="3"/>
  <c r="AS2006" i="3"/>
  <c r="AS2007" i="3"/>
  <c r="AS2008" i="3"/>
  <c r="AS2009" i="3"/>
  <c r="AS2010" i="3"/>
  <c r="AS2011" i="3"/>
  <c r="AS2012" i="3"/>
  <c r="AS2013" i="3"/>
  <c r="AS2014" i="3"/>
  <c r="AS2015" i="3"/>
  <c r="AS2016" i="3"/>
  <c r="AS2017" i="3"/>
  <c r="AS2018" i="3"/>
  <c r="AS2019" i="3"/>
  <c r="AS2020" i="3"/>
  <c r="AS2021" i="3"/>
  <c r="AS2022" i="3"/>
  <c r="AS2023" i="3"/>
  <c r="AS2024" i="3"/>
  <c r="AS2025" i="3"/>
  <c r="AS2026" i="3"/>
  <c r="AS2027" i="3"/>
  <c r="AS2028" i="3"/>
  <c r="AS2029" i="3"/>
  <c r="AS2030" i="3"/>
  <c r="AS2031" i="3"/>
  <c r="AS2032" i="3"/>
  <c r="AS2033" i="3"/>
  <c r="AS2034" i="3"/>
  <c r="AS2035" i="3"/>
  <c r="AS2036" i="3"/>
  <c r="AS2037" i="3"/>
  <c r="AS2038" i="3"/>
  <c r="AS2039" i="3"/>
  <c r="AS2040" i="3"/>
  <c r="AS2041" i="3"/>
  <c r="AS2042" i="3"/>
  <c r="AS2043" i="3"/>
  <c r="AS2044" i="3"/>
  <c r="AS2045" i="3"/>
  <c r="AS2046" i="3"/>
  <c r="AS2047" i="3"/>
  <c r="AS2048" i="3"/>
  <c r="AS2049" i="3"/>
  <c r="AS2050" i="3"/>
  <c r="AS2051" i="3"/>
  <c r="AS2052" i="3"/>
  <c r="AS2053" i="3"/>
  <c r="AS2054" i="3"/>
  <c r="AS2055" i="3"/>
  <c r="AS2056" i="3"/>
  <c r="AS2057" i="3"/>
  <c r="AS2058" i="3"/>
  <c r="AS2059" i="3"/>
  <c r="AS2060" i="3"/>
  <c r="AS2061" i="3"/>
  <c r="AS2062" i="3"/>
  <c r="AS2063" i="3"/>
  <c r="AS2064" i="3"/>
  <c r="AS2065" i="3"/>
  <c r="AS2066" i="3"/>
  <c r="AS2067" i="3"/>
  <c r="AS2068" i="3"/>
  <c r="AS2069" i="3"/>
  <c r="AS2070" i="3"/>
  <c r="AS2071" i="3"/>
  <c r="AS2072" i="3"/>
  <c r="AS2073" i="3"/>
  <c r="AS2074" i="3"/>
  <c r="AS2075" i="3"/>
  <c r="AS2076" i="3"/>
  <c r="AS2077" i="3"/>
  <c r="AS2078" i="3"/>
  <c r="AS2079" i="3"/>
  <c r="AS2080" i="3"/>
  <c r="AS2081" i="3"/>
  <c r="AS2082" i="3"/>
  <c r="AS2083" i="3"/>
  <c r="AS2084" i="3"/>
  <c r="AS2085" i="3"/>
  <c r="AS2086" i="3"/>
  <c r="AS2087" i="3"/>
  <c r="AS2088" i="3"/>
  <c r="AS2089" i="3"/>
  <c r="AS2090" i="3"/>
  <c r="AS2091" i="3"/>
  <c r="AS2092" i="3"/>
  <c r="AS2093" i="3"/>
  <c r="AS2094" i="3"/>
  <c r="AS2095" i="3"/>
  <c r="AS2096" i="3"/>
  <c r="AS2097" i="3"/>
  <c r="AS2098" i="3"/>
  <c r="AS2099" i="3"/>
  <c r="AS2100" i="3"/>
  <c r="AS2101" i="3"/>
  <c r="AS2102" i="3"/>
  <c r="AS2103" i="3"/>
  <c r="AS2104" i="3"/>
  <c r="AS2105" i="3"/>
  <c r="AS2106" i="3"/>
  <c r="AS2107" i="3"/>
  <c r="AS2108" i="3"/>
  <c r="AS2109" i="3"/>
  <c r="AS2110" i="3"/>
  <c r="AS2111" i="3"/>
  <c r="AS2112" i="3"/>
  <c r="AS2113" i="3"/>
  <c r="AS2114" i="3"/>
  <c r="AS2115" i="3"/>
  <c r="AS2116" i="3"/>
  <c r="AS2117" i="3"/>
  <c r="AS2118" i="3"/>
  <c r="AS2119" i="3"/>
  <c r="AS2120" i="3"/>
  <c r="AS2121" i="3"/>
  <c r="AS2122" i="3"/>
  <c r="AS2123" i="3"/>
  <c r="AS2124" i="3"/>
  <c r="AS2125" i="3"/>
  <c r="AS2126" i="3"/>
  <c r="AS2127" i="3"/>
  <c r="AS2128" i="3"/>
  <c r="AS2129" i="3"/>
  <c r="AS2130" i="3"/>
  <c r="AS2131" i="3"/>
  <c r="AS2132" i="3"/>
  <c r="AS2133" i="3"/>
  <c r="AS2134" i="3"/>
  <c r="AS2135" i="3"/>
  <c r="AS2136" i="3"/>
  <c r="AS2137" i="3"/>
  <c r="AS2138" i="3"/>
  <c r="AS2139" i="3"/>
  <c r="AS2140" i="3"/>
  <c r="AS2141" i="3"/>
  <c r="AS2142" i="3"/>
  <c r="AS2143" i="3"/>
  <c r="AS2144" i="3"/>
  <c r="AS2145" i="3"/>
  <c r="AS2146" i="3"/>
  <c r="AS2147" i="3"/>
  <c r="AS2148" i="3"/>
  <c r="AS2149" i="3"/>
  <c r="AS2150" i="3"/>
  <c r="AS2151" i="3"/>
  <c r="AS2152" i="3"/>
  <c r="AS2153" i="3"/>
  <c r="AS2154" i="3"/>
  <c r="AS2155" i="3"/>
  <c r="AS2156" i="3"/>
  <c r="AS2157" i="3"/>
  <c r="AS2158" i="3"/>
  <c r="AS2159" i="3"/>
  <c r="AS2160" i="3"/>
  <c r="AS2161" i="3"/>
  <c r="AS2162" i="3"/>
  <c r="AS2163" i="3"/>
  <c r="AS2164" i="3"/>
  <c r="AS2165" i="3"/>
  <c r="AS2166" i="3"/>
  <c r="AS2167" i="3"/>
  <c r="AS2168" i="3"/>
  <c r="AS2169" i="3"/>
  <c r="AS2170" i="3"/>
  <c r="AS2171" i="3"/>
  <c r="AS2172" i="3"/>
  <c r="AS2173" i="3"/>
  <c r="AS2174" i="3"/>
  <c r="AS2175" i="3"/>
  <c r="AS2176" i="3"/>
  <c r="AS2177" i="3"/>
  <c r="AS2178" i="3"/>
  <c r="AS2179" i="3"/>
  <c r="AS2180" i="3"/>
  <c r="AS2181" i="3"/>
  <c r="AS2182" i="3"/>
  <c r="AS2183" i="3"/>
  <c r="AS2184" i="3"/>
  <c r="AS2185" i="3"/>
  <c r="AS2186" i="3"/>
  <c r="AS2187" i="3"/>
  <c r="AS2188" i="3"/>
  <c r="AS2189" i="3"/>
  <c r="AS2190" i="3"/>
  <c r="AS2191" i="3"/>
  <c r="AS2192" i="3"/>
  <c r="AS2193" i="3"/>
  <c r="AS2194" i="3"/>
  <c r="AS2195" i="3"/>
  <c r="AS2196" i="3"/>
  <c r="AS2197" i="3"/>
  <c r="AS2198" i="3"/>
  <c r="AS2199" i="3"/>
  <c r="AS2200" i="3"/>
  <c r="AS2201" i="3"/>
  <c r="AS2202" i="3"/>
  <c r="AS2203" i="3"/>
  <c r="AS2204" i="3"/>
  <c r="AS2205" i="3"/>
  <c r="AS2206" i="3"/>
  <c r="AS2207" i="3"/>
  <c r="AS2208" i="3"/>
  <c r="AS2209" i="3"/>
  <c r="AS2210" i="3"/>
  <c r="AS2211" i="3"/>
  <c r="AS2212" i="3"/>
  <c r="AS2213" i="3"/>
  <c r="AS2214" i="3"/>
  <c r="AS2215" i="3"/>
  <c r="AS2216" i="3"/>
  <c r="AS2217" i="3"/>
  <c r="AS2218" i="3"/>
  <c r="AS2219" i="3"/>
  <c r="AS2220" i="3"/>
  <c r="AS2221" i="3"/>
  <c r="AS2222" i="3"/>
  <c r="AS2223" i="3"/>
  <c r="AS2224" i="3"/>
  <c r="AS2225" i="3"/>
  <c r="AS2226" i="3"/>
  <c r="AS2227" i="3"/>
  <c r="AS2228" i="3"/>
  <c r="AS2229" i="3"/>
  <c r="AS2230" i="3"/>
  <c r="AS2231" i="3"/>
  <c r="AS2232" i="3"/>
  <c r="AS2233" i="3"/>
  <c r="AS2234" i="3"/>
  <c r="AS2235" i="3"/>
  <c r="AS2236" i="3"/>
  <c r="AS2237" i="3"/>
  <c r="AS2238" i="3"/>
  <c r="AS2239" i="3"/>
  <c r="AS2240" i="3"/>
  <c r="AS2241" i="3"/>
  <c r="AR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889" i="3"/>
  <c r="AR890" i="3"/>
  <c r="AR891" i="3"/>
  <c r="AR892" i="3"/>
  <c r="AR893" i="3"/>
  <c r="AR894" i="3"/>
  <c r="AR895" i="3"/>
  <c r="AR896" i="3"/>
  <c r="AR897" i="3"/>
  <c r="AR898" i="3"/>
  <c r="AR899" i="3"/>
  <c r="AR900" i="3"/>
  <c r="AR901" i="3"/>
  <c r="AR902" i="3"/>
  <c r="AR903" i="3"/>
  <c r="AR904" i="3"/>
  <c r="AR905" i="3"/>
  <c r="AR906" i="3"/>
  <c r="AR907" i="3"/>
  <c r="AR908" i="3"/>
  <c r="AR909" i="3"/>
  <c r="AR910" i="3"/>
  <c r="AR911" i="3"/>
  <c r="AR912" i="3"/>
  <c r="AR913" i="3"/>
  <c r="AR914" i="3"/>
  <c r="AR915" i="3"/>
  <c r="AR916" i="3"/>
  <c r="AR917" i="3"/>
  <c r="AR918" i="3"/>
  <c r="AR919" i="3"/>
  <c r="AR920" i="3"/>
  <c r="AR921" i="3"/>
  <c r="AR922" i="3"/>
  <c r="AR923" i="3"/>
  <c r="AR924" i="3"/>
  <c r="AR925" i="3"/>
  <c r="AR926" i="3"/>
  <c r="AR927" i="3"/>
  <c r="AR928" i="3"/>
  <c r="AR929" i="3"/>
  <c r="AR930" i="3"/>
  <c r="AR931" i="3"/>
  <c r="AR932" i="3"/>
  <c r="AR933" i="3"/>
  <c r="AR934" i="3"/>
  <c r="AR935" i="3"/>
  <c r="AR936" i="3"/>
  <c r="AR937" i="3"/>
  <c r="AR938" i="3"/>
  <c r="AR939" i="3"/>
  <c r="AR940" i="3"/>
  <c r="AR941" i="3"/>
  <c r="AR942" i="3"/>
  <c r="AR943" i="3"/>
  <c r="AR944" i="3"/>
  <c r="AR945" i="3"/>
  <c r="AR946" i="3"/>
  <c r="AR947" i="3"/>
  <c r="AR948" i="3"/>
  <c r="AR949" i="3"/>
  <c r="AR950" i="3"/>
  <c r="AR951" i="3"/>
  <c r="AR952" i="3"/>
  <c r="AR953" i="3"/>
  <c r="AR954" i="3"/>
  <c r="AR955" i="3"/>
  <c r="AR956" i="3"/>
  <c r="AR957" i="3"/>
  <c r="AR958" i="3"/>
  <c r="AR959" i="3"/>
  <c r="AR960" i="3"/>
  <c r="AR961" i="3"/>
  <c r="AR962" i="3"/>
  <c r="AR963" i="3"/>
  <c r="AR964" i="3"/>
  <c r="AR965" i="3"/>
  <c r="AR966" i="3"/>
  <c r="AR967" i="3"/>
  <c r="AR968" i="3"/>
  <c r="AR969" i="3"/>
  <c r="AR970" i="3"/>
  <c r="AR971" i="3"/>
  <c r="AR972" i="3"/>
  <c r="AR973" i="3"/>
  <c r="AR974" i="3"/>
  <c r="AR975" i="3"/>
  <c r="AR976" i="3"/>
  <c r="AR977" i="3"/>
  <c r="AR978" i="3"/>
  <c r="AR979" i="3"/>
  <c r="AR980" i="3"/>
  <c r="AR981" i="3"/>
  <c r="AR982" i="3"/>
  <c r="AR983" i="3"/>
  <c r="AR984" i="3"/>
  <c r="AR985" i="3"/>
  <c r="AR986" i="3"/>
  <c r="AR987" i="3"/>
  <c r="AR988" i="3"/>
  <c r="AR989" i="3"/>
  <c r="AR990" i="3"/>
  <c r="AR991" i="3"/>
  <c r="AR992" i="3"/>
  <c r="AR993" i="3"/>
  <c r="AR994" i="3"/>
  <c r="AR995" i="3"/>
  <c r="AR996" i="3"/>
  <c r="AR997" i="3"/>
  <c r="AR998" i="3"/>
  <c r="AR999" i="3"/>
  <c r="AR1000" i="3"/>
  <c r="AR1001" i="3"/>
  <c r="AR1002" i="3"/>
  <c r="AR1003" i="3"/>
  <c r="AR1004" i="3"/>
  <c r="AR1005" i="3"/>
  <c r="AR1006" i="3"/>
  <c r="AR1007" i="3"/>
  <c r="AR1008" i="3"/>
  <c r="AR1009" i="3"/>
  <c r="AR1010" i="3"/>
  <c r="AR1011" i="3"/>
  <c r="AR1012" i="3"/>
  <c r="AR1013" i="3"/>
  <c r="AR1014" i="3"/>
  <c r="AR1015" i="3"/>
  <c r="AR1016" i="3"/>
  <c r="AR1017" i="3"/>
  <c r="AR1018" i="3"/>
  <c r="AR1019" i="3"/>
  <c r="AR1020" i="3"/>
  <c r="AR1021" i="3"/>
  <c r="AR1022" i="3"/>
  <c r="AR1023" i="3"/>
  <c r="AR1024" i="3"/>
  <c r="AR1025" i="3"/>
  <c r="AR1026" i="3"/>
  <c r="AR1027" i="3"/>
  <c r="AR1028" i="3"/>
  <c r="AR1029" i="3"/>
  <c r="AR1030" i="3"/>
  <c r="AR1031" i="3"/>
  <c r="AR1032" i="3"/>
  <c r="AR1033" i="3"/>
  <c r="AR1034" i="3"/>
  <c r="AR1035" i="3"/>
  <c r="AR1036" i="3"/>
  <c r="AR1037" i="3"/>
  <c r="AR1038" i="3"/>
  <c r="AR1039" i="3"/>
  <c r="AR1040" i="3"/>
  <c r="AR1041" i="3"/>
  <c r="AR1042" i="3"/>
  <c r="AR1043" i="3"/>
  <c r="AR1044" i="3"/>
  <c r="AR1045" i="3"/>
  <c r="AR1046" i="3"/>
  <c r="AR1047" i="3"/>
  <c r="AR1048" i="3"/>
  <c r="AR1049" i="3"/>
  <c r="AR1050" i="3"/>
  <c r="AR1051" i="3"/>
  <c r="AR1052" i="3"/>
  <c r="AR1053" i="3"/>
  <c r="AR1054" i="3"/>
  <c r="AR1055" i="3"/>
  <c r="AR1056" i="3"/>
  <c r="AR1057" i="3"/>
  <c r="AR1058" i="3"/>
  <c r="AR1059" i="3"/>
  <c r="AR1060" i="3"/>
  <c r="AR1061" i="3"/>
  <c r="AR1062" i="3"/>
  <c r="AR1063" i="3"/>
  <c r="AR1064" i="3"/>
  <c r="AR1065" i="3"/>
  <c r="AR1066" i="3"/>
  <c r="AR1067" i="3"/>
  <c r="AR1068" i="3"/>
  <c r="AR1069" i="3"/>
  <c r="AR1070" i="3"/>
  <c r="AR1071" i="3"/>
  <c r="AR1072" i="3"/>
  <c r="AR1073" i="3"/>
  <c r="AR1074" i="3"/>
  <c r="AR1075" i="3"/>
  <c r="AR1076" i="3"/>
  <c r="AR1077" i="3"/>
  <c r="AR1078" i="3"/>
  <c r="AR1079" i="3"/>
  <c r="AR1080" i="3"/>
  <c r="AR1081" i="3"/>
  <c r="AR1082" i="3"/>
  <c r="AR1083" i="3"/>
  <c r="AR1084" i="3"/>
  <c r="AR1085" i="3"/>
  <c r="AR1086" i="3"/>
  <c r="AR1087" i="3"/>
  <c r="AR1088" i="3"/>
  <c r="AR1089" i="3"/>
  <c r="AR1090" i="3"/>
  <c r="AR1091" i="3"/>
  <c r="AR1092" i="3"/>
  <c r="AR1093" i="3"/>
  <c r="AR1094" i="3"/>
  <c r="AR1095" i="3"/>
  <c r="AR1096" i="3"/>
  <c r="AR1097" i="3"/>
  <c r="AR1098" i="3"/>
  <c r="AR1099" i="3"/>
  <c r="AR1100" i="3"/>
  <c r="AR1101" i="3"/>
  <c r="AR1102" i="3"/>
  <c r="AR1103" i="3"/>
  <c r="AR1104" i="3"/>
  <c r="AR1105" i="3"/>
  <c r="AR1106" i="3"/>
  <c r="AR1107" i="3"/>
  <c r="AR1108" i="3"/>
  <c r="AR1109" i="3"/>
  <c r="AR1110" i="3"/>
  <c r="AR1111" i="3"/>
  <c r="AR1112" i="3"/>
  <c r="AR1113" i="3"/>
  <c r="AR1114" i="3"/>
  <c r="AR1115" i="3"/>
  <c r="AR1116" i="3"/>
  <c r="AR1117" i="3"/>
  <c r="AR1118" i="3"/>
  <c r="AR1119" i="3"/>
  <c r="AR1120" i="3"/>
  <c r="AR1121" i="3"/>
  <c r="AR1122" i="3"/>
  <c r="AR1123" i="3"/>
  <c r="AR1124" i="3"/>
  <c r="AR1125" i="3"/>
  <c r="AR1126" i="3"/>
  <c r="AR1127" i="3"/>
  <c r="AR1128" i="3"/>
  <c r="AR1129" i="3"/>
  <c r="AR1130" i="3"/>
  <c r="AR1131" i="3"/>
  <c r="AR1132" i="3"/>
  <c r="AR1133" i="3"/>
  <c r="AR1134" i="3"/>
  <c r="AR1135" i="3"/>
  <c r="AR1136" i="3"/>
  <c r="AR1137" i="3"/>
  <c r="AR1138" i="3"/>
  <c r="AR1139" i="3"/>
  <c r="AR1140" i="3"/>
  <c r="AR1141" i="3"/>
  <c r="AR1142" i="3"/>
  <c r="AR1143" i="3"/>
  <c r="AR1144" i="3"/>
  <c r="AR1145" i="3"/>
  <c r="AR1146" i="3"/>
  <c r="AR1147" i="3"/>
  <c r="AR1148" i="3"/>
  <c r="AR1149" i="3"/>
  <c r="AR1150" i="3"/>
  <c r="AR1151" i="3"/>
  <c r="AR1152" i="3"/>
  <c r="AR1153" i="3"/>
  <c r="AR1154" i="3"/>
  <c r="AR1155" i="3"/>
  <c r="AR1156" i="3"/>
  <c r="AR1157" i="3"/>
  <c r="AR1158" i="3"/>
  <c r="AR1159" i="3"/>
  <c r="AR1160" i="3"/>
  <c r="AR1161" i="3"/>
  <c r="AR1162" i="3"/>
  <c r="AR1163" i="3"/>
  <c r="AR1164" i="3"/>
  <c r="AR1165" i="3"/>
  <c r="AR1166" i="3"/>
  <c r="AR1167" i="3"/>
  <c r="AR1168" i="3"/>
  <c r="AR1169" i="3"/>
  <c r="AR1170" i="3"/>
  <c r="AR1171" i="3"/>
  <c r="AR1172" i="3"/>
  <c r="AR1173" i="3"/>
  <c r="AR1174" i="3"/>
  <c r="AR1175" i="3"/>
  <c r="AR1176" i="3"/>
  <c r="AR1177" i="3"/>
  <c r="AR1178" i="3"/>
  <c r="AR1179" i="3"/>
  <c r="AR1180" i="3"/>
  <c r="AR1181" i="3"/>
  <c r="AR1182" i="3"/>
  <c r="AR1183" i="3"/>
  <c r="AR1184" i="3"/>
  <c r="AR1185" i="3"/>
  <c r="AR1186" i="3"/>
  <c r="AR1187" i="3"/>
  <c r="AR1188" i="3"/>
  <c r="AR1189" i="3"/>
  <c r="AR1190" i="3"/>
  <c r="AR1191" i="3"/>
  <c r="AR1192" i="3"/>
  <c r="AR1193" i="3"/>
  <c r="AR1194" i="3"/>
  <c r="AR1195" i="3"/>
  <c r="AR1196" i="3"/>
  <c r="AR1197" i="3"/>
  <c r="AR1198" i="3"/>
  <c r="AR1199" i="3"/>
  <c r="AR1200" i="3"/>
  <c r="AR1201" i="3"/>
  <c r="AR1202" i="3"/>
  <c r="AR1203" i="3"/>
  <c r="AR1204" i="3"/>
  <c r="AR1205" i="3"/>
  <c r="AR1206" i="3"/>
  <c r="AR1207" i="3"/>
  <c r="AR1208" i="3"/>
  <c r="AR1209" i="3"/>
  <c r="AR1210" i="3"/>
  <c r="AR1211" i="3"/>
  <c r="AR1212" i="3"/>
  <c r="AR1213" i="3"/>
  <c r="AR1214" i="3"/>
  <c r="AR1215" i="3"/>
  <c r="AR1216" i="3"/>
  <c r="AR1217" i="3"/>
  <c r="AR1218" i="3"/>
  <c r="AR1219" i="3"/>
  <c r="AR1220" i="3"/>
  <c r="AR1221" i="3"/>
  <c r="AR1222" i="3"/>
  <c r="AR1223" i="3"/>
  <c r="AR1224" i="3"/>
  <c r="AR1225" i="3"/>
  <c r="AR1226" i="3"/>
  <c r="AR1227" i="3"/>
  <c r="AR1228" i="3"/>
  <c r="AR1229" i="3"/>
  <c r="AR1230" i="3"/>
  <c r="AR1231" i="3"/>
  <c r="AR1232" i="3"/>
  <c r="AR1233" i="3"/>
  <c r="AR1234" i="3"/>
  <c r="AR1235" i="3"/>
  <c r="AR1236" i="3"/>
  <c r="AR1237" i="3"/>
  <c r="AR1238" i="3"/>
  <c r="AR1239" i="3"/>
  <c r="AR1240" i="3"/>
  <c r="AR1241" i="3"/>
  <c r="AR1242" i="3"/>
  <c r="AR1243" i="3"/>
  <c r="AR1244" i="3"/>
  <c r="AR1245" i="3"/>
  <c r="AR1246" i="3"/>
  <c r="AR1247" i="3"/>
  <c r="AR1248" i="3"/>
  <c r="AR1249" i="3"/>
  <c r="AR1250" i="3"/>
  <c r="AR1251" i="3"/>
  <c r="AR1252" i="3"/>
  <c r="AR1253" i="3"/>
  <c r="AR1254" i="3"/>
  <c r="AR1255" i="3"/>
  <c r="AR1256" i="3"/>
  <c r="AR1257" i="3"/>
  <c r="AR1258" i="3"/>
  <c r="AR1259" i="3"/>
  <c r="AR1260" i="3"/>
  <c r="AR1261" i="3"/>
  <c r="AR1262" i="3"/>
  <c r="AR1263" i="3"/>
  <c r="AR1264" i="3"/>
  <c r="AR1265" i="3"/>
  <c r="AR1266" i="3"/>
  <c r="AR1267" i="3"/>
  <c r="AR1268" i="3"/>
  <c r="AR1269" i="3"/>
  <c r="AR1270" i="3"/>
  <c r="AR1271" i="3"/>
  <c r="AR1272" i="3"/>
  <c r="AR1273" i="3"/>
  <c r="AR1274" i="3"/>
  <c r="AR1275" i="3"/>
  <c r="AR1276" i="3"/>
  <c r="AR1277" i="3"/>
  <c r="AR1278" i="3"/>
  <c r="AR1279" i="3"/>
  <c r="AR1280" i="3"/>
  <c r="AR1281" i="3"/>
  <c r="AR1282" i="3"/>
  <c r="AR1283" i="3"/>
  <c r="AR1284" i="3"/>
  <c r="AR1285" i="3"/>
  <c r="AR1286" i="3"/>
  <c r="AR1287" i="3"/>
  <c r="AR1288" i="3"/>
  <c r="AR1289" i="3"/>
  <c r="AR1290" i="3"/>
  <c r="AR1291" i="3"/>
  <c r="AR1292" i="3"/>
  <c r="AR1293" i="3"/>
  <c r="AR1294" i="3"/>
  <c r="AR1295" i="3"/>
  <c r="AR1296" i="3"/>
  <c r="AR1297" i="3"/>
  <c r="AR1298" i="3"/>
  <c r="AR1299" i="3"/>
  <c r="AR1300" i="3"/>
  <c r="AR1301" i="3"/>
  <c r="AR1302" i="3"/>
  <c r="AR1303" i="3"/>
  <c r="AR1304" i="3"/>
  <c r="AR1305" i="3"/>
  <c r="AR1306" i="3"/>
  <c r="AR1307" i="3"/>
  <c r="AR1308" i="3"/>
  <c r="AR1309" i="3"/>
  <c r="AR1310" i="3"/>
  <c r="AR1311" i="3"/>
  <c r="AR1312" i="3"/>
  <c r="AR1313" i="3"/>
  <c r="AR1314" i="3"/>
  <c r="AR1315" i="3"/>
  <c r="AR1316" i="3"/>
  <c r="AR1317" i="3"/>
  <c r="AR1318" i="3"/>
  <c r="AR1319" i="3"/>
  <c r="AR1320" i="3"/>
  <c r="AR1321" i="3"/>
  <c r="AR1322" i="3"/>
  <c r="AR1323" i="3"/>
  <c r="AR1324" i="3"/>
  <c r="AR1325" i="3"/>
  <c r="AR1326" i="3"/>
  <c r="AR1327" i="3"/>
  <c r="AR1328" i="3"/>
  <c r="AR1329" i="3"/>
  <c r="AR1330" i="3"/>
  <c r="AR1331" i="3"/>
  <c r="AR1332" i="3"/>
  <c r="AR1333" i="3"/>
  <c r="AR1334" i="3"/>
  <c r="AR1335" i="3"/>
  <c r="AR1336" i="3"/>
  <c r="AR1337" i="3"/>
  <c r="AR1338" i="3"/>
  <c r="AR1339" i="3"/>
  <c r="AR1340" i="3"/>
  <c r="AR1341" i="3"/>
  <c r="AR1342" i="3"/>
  <c r="AR1343" i="3"/>
  <c r="AR1344" i="3"/>
  <c r="AR1345" i="3"/>
  <c r="AR1346" i="3"/>
  <c r="AR1347" i="3"/>
  <c r="AR1348" i="3"/>
  <c r="AR1349" i="3"/>
  <c r="AR1350" i="3"/>
  <c r="AR1351" i="3"/>
  <c r="AR1352" i="3"/>
  <c r="AR1353" i="3"/>
  <c r="AR1354" i="3"/>
  <c r="AR1355" i="3"/>
  <c r="AR1356" i="3"/>
  <c r="AR1357" i="3"/>
  <c r="AR1358" i="3"/>
  <c r="AR1359" i="3"/>
  <c r="AR1360" i="3"/>
  <c r="AR1361" i="3"/>
  <c r="AR1362" i="3"/>
  <c r="AR1363" i="3"/>
  <c r="AR1364" i="3"/>
  <c r="AR1365" i="3"/>
  <c r="AR1366" i="3"/>
  <c r="AR1367" i="3"/>
  <c r="AR1368" i="3"/>
  <c r="AR1369" i="3"/>
  <c r="AR1370" i="3"/>
  <c r="AR1371" i="3"/>
  <c r="AR1372" i="3"/>
  <c r="AR1373" i="3"/>
  <c r="AR1374" i="3"/>
  <c r="AR1375" i="3"/>
  <c r="AR1376" i="3"/>
  <c r="AR1377" i="3"/>
  <c r="AR1378" i="3"/>
  <c r="AR1379" i="3"/>
  <c r="AR1380" i="3"/>
  <c r="AR1381" i="3"/>
  <c r="AR1382" i="3"/>
  <c r="AR1383" i="3"/>
  <c r="AR1384" i="3"/>
  <c r="AR1385" i="3"/>
  <c r="AR1386" i="3"/>
  <c r="AR1387" i="3"/>
  <c r="AR1388" i="3"/>
  <c r="AR1389" i="3"/>
  <c r="AR1390" i="3"/>
  <c r="AR1391" i="3"/>
  <c r="AR1392" i="3"/>
  <c r="AR1393" i="3"/>
  <c r="AR1394" i="3"/>
  <c r="AR1395" i="3"/>
  <c r="AR1396" i="3"/>
  <c r="AR1397" i="3"/>
  <c r="AR1398" i="3"/>
  <c r="AR1399" i="3"/>
  <c r="AR1400" i="3"/>
  <c r="AR1401" i="3"/>
  <c r="AR1402" i="3"/>
  <c r="AR1403" i="3"/>
  <c r="AR1404" i="3"/>
  <c r="AR1405" i="3"/>
  <c r="AR1406" i="3"/>
  <c r="AR1407" i="3"/>
  <c r="AR1408" i="3"/>
  <c r="AR1409" i="3"/>
  <c r="AR1410" i="3"/>
  <c r="AR1411" i="3"/>
  <c r="AR1412" i="3"/>
  <c r="AR1413" i="3"/>
  <c r="AR1414" i="3"/>
  <c r="AR1415" i="3"/>
  <c r="AR1416" i="3"/>
  <c r="AR1417" i="3"/>
  <c r="AR1418" i="3"/>
  <c r="AR1419" i="3"/>
  <c r="AR1420" i="3"/>
  <c r="AR1421" i="3"/>
  <c r="AR1422" i="3"/>
  <c r="AR1423" i="3"/>
  <c r="AR1424" i="3"/>
  <c r="AR1425" i="3"/>
  <c r="AR1426" i="3"/>
  <c r="AR1427" i="3"/>
  <c r="AR1428" i="3"/>
  <c r="AR1429" i="3"/>
  <c r="AR1430" i="3"/>
  <c r="AR1431" i="3"/>
  <c r="AR1432" i="3"/>
  <c r="AR1433" i="3"/>
  <c r="AR1434" i="3"/>
  <c r="AR1435" i="3"/>
  <c r="AR1436" i="3"/>
  <c r="AR1437" i="3"/>
  <c r="AR1438" i="3"/>
  <c r="AR1439" i="3"/>
  <c r="AR1440" i="3"/>
  <c r="AR1441" i="3"/>
  <c r="AR1442" i="3"/>
  <c r="AR1443" i="3"/>
  <c r="AR1444" i="3"/>
  <c r="AR1445" i="3"/>
  <c r="AR1446" i="3"/>
  <c r="AR1447" i="3"/>
  <c r="AR1448" i="3"/>
  <c r="AR1449" i="3"/>
  <c r="AR1450" i="3"/>
  <c r="AR1451" i="3"/>
  <c r="AR1452" i="3"/>
  <c r="AR1453" i="3"/>
  <c r="AR1454" i="3"/>
  <c r="AR1455" i="3"/>
  <c r="AR1456" i="3"/>
  <c r="AR1457" i="3"/>
  <c r="AR1458" i="3"/>
  <c r="AR1459" i="3"/>
  <c r="AR1460" i="3"/>
  <c r="AR1461" i="3"/>
  <c r="AR1462" i="3"/>
  <c r="AR1463" i="3"/>
  <c r="AR1464" i="3"/>
  <c r="AR1465" i="3"/>
  <c r="AR1466" i="3"/>
  <c r="AR1467" i="3"/>
  <c r="AR1468" i="3"/>
  <c r="AR1469" i="3"/>
  <c r="AR1470" i="3"/>
  <c r="AR1471" i="3"/>
  <c r="AR1472" i="3"/>
  <c r="AR1473" i="3"/>
  <c r="AR1474" i="3"/>
  <c r="AR1475" i="3"/>
  <c r="AR1476" i="3"/>
  <c r="AR1477" i="3"/>
  <c r="AR1478" i="3"/>
  <c r="AR1479" i="3"/>
  <c r="AR1480" i="3"/>
  <c r="AR1481" i="3"/>
  <c r="AR1482" i="3"/>
  <c r="AR1483" i="3"/>
  <c r="AR1484" i="3"/>
  <c r="AR1485" i="3"/>
  <c r="AR1486" i="3"/>
  <c r="AR1487" i="3"/>
  <c r="AR1488" i="3"/>
  <c r="AR1489" i="3"/>
  <c r="AR1490" i="3"/>
  <c r="AR1491" i="3"/>
  <c r="AR1492" i="3"/>
  <c r="AR1493" i="3"/>
  <c r="AR1494" i="3"/>
  <c r="AR1495" i="3"/>
  <c r="AR1496" i="3"/>
  <c r="AR1497" i="3"/>
  <c r="AR1498" i="3"/>
  <c r="AR1499" i="3"/>
  <c r="AR1500" i="3"/>
  <c r="AR1501" i="3"/>
  <c r="AR1502" i="3"/>
  <c r="AR1503" i="3"/>
  <c r="AR1504" i="3"/>
  <c r="AR1505" i="3"/>
  <c r="AR1506" i="3"/>
  <c r="AR1507" i="3"/>
  <c r="AR1508" i="3"/>
  <c r="AR1509" i="3"/>
  <c r="AR1510" i="3"/>
  <c r="AR1511" i="3"/>
  <c r="AR1512" i="3"/>
  <c r="AR1513" i="3"/>
  <c r="AR1514" i="3"/>
  <c r="AR1515" i="3"/>
  <c r="AR1516" i="3"/>
  <c r="AR1517" i="3"/>
  <c r="AR1518" i="3"/>
  <c r="AR1519" i="3"/>
  <c r="AR1520" i="3"/>
  <c r="AR1521" i="3"/>
  <c r="AR1522" i="3"/>
  <c r="AR1523" i="3"/>
  <c r="AR1524" i="3"/>
  <c r="AR1525" i="3"/>
  <c r="AR1526" i="3"/>
  <c r="AR1527" i="3"/>
  <c r="AR1528" i="3"/>
  <c r="AR1529" i="3"/>
  <c r="AR1530" i="3"/>
  <c r="AR1531" i="3"/>
  <c r="AR1532" i="3"/>
  <c r="AR1533" i="3"/>
  <c r="AR1534" i="3"/>
  <c r="AR1535" i="3"/>
  <c r="AR1536" i="3"/>
  <c r="AR1537" i="3"/>
  <c r="AR1538" i="3"/>
  <c r="AR1539" i="3"/>
  <c r="AR1540" i="3"/>
  <c r="AR1541" i="3"/>
  <c r="AR1542" i="3"/>
  <c r="AR1543" i="3"/>
  <c r="AR1544" i="3"/>
  <c r="AR1545" i="3"/>
  <c r="AR1546" i="3"/>
  <c r="AR1547" i="3"/>
  <c r="AR1548" i="3"/>
  <c r="AR1549" i="3"/>
  <c r="AR1550" i="3"/>
  <c r="AR1551" i="3"/>
  <c r="AR1552" i="3"/>
  <c r="AR1553" i="3"/>
  <c r="AR1554" i="3"/>
  <c r="AR1555" i="3"/>
  <c r="AR1556" i="3"/>
  <c r="AR1557" i="3"/>
  <c r="AR1558" i="3"/>
  <c r="AR1559" i="3"/>
  <c r="AR1560" i="3"/>
  <c r="AR1561" i="3"/>
  <c r="AR1562" i="3"/>
  <c r="AR1563" i="3"/>
  <c r="AR1564" i="3"/>
  <c r="AR1565" i="3"/>
  <c r="AR1566" i="3"/>
  <c r="AR1567" i="3"/>
  <c r="AR1568" i="3"/>
  <c r="AR1569" i="3"/>
  <c r="AR1570" i="3"/>
  <c r="AR1571" i="3"/>
  <c r="AR1572" i="3"/>
  <c r="AR1573" i="3"/>
  <c r="AR1574" i="3"/>
  <c r="AR1575" i="3"/>
  <c r="AR1576" i="3"/>
  <c r="AR1577" i="3"/>
  <c r="AR1578" i="3"/>
  <c r="AR1579" i="3"/>
  <c r="AR1580" i="3"/>
  <c r="AR1581" i="3"/>
  <c r="AR1582" i="3"/>
  <c r="AR1583" i="3"/>
  <c r="AR1584" i="3"/>
  <c r="AR1585" i="3"/>
  <c r="AR1586" i="3"/>
  <c r="AR1587" i="3"/>
  <c r="AR1588" i="3"/>
  <c r="AR1589" i="3"/>
  <c r="AR1590" i="3"/>
  <c r="AR1591" i="3"/>
  <c r="AR1592" i="3"/>
  <c r="AR1593" i="3"/>
  <c r="AR1594" i="3"/>
  <c r="AR1595" i="3"/>
  <c r="AR1596" i="3"/>
  <c r="AR1597" i="3"/>
  <c r="AR1598" i="3"/>
  <c r="AR1599" i="3"/>
  <c r="AR1600" i="3"/>
  <c r="AR1601" i="3"/>
  <c r="AR1602" i="3"/>
  <c r="AR1603" i="3"/>
  <c r="AR1604" i="3"/>
  <c r="AR1605" i="3"/>
  <c r="AR1606" i="3"/>
  <c r="AR1607" i="3"/>
  <c r="AR1608" i="3"/>
  <c r="AR1609" i="3"/>
  <c r="AR1610" i="3"/>
  <c r="AR1611" i="3"/>
  <c r="AR1612" i="3"/>
  <c r="AR1613" i="3"/>
  <c r="AR1614" i="3"/>
  <c r="AR1615" i="3"/>
  <c r="AR1616" i="3"/>
  <c r="AR1617" i="3"/>
  <c r="AR1618" i="3"/>
  <c r="AR1619" i="3"/>
  <c r="AR1620" i="3"/>
  <c r="AR1621" i="3"/>
  <c r="AR1622" i="3"/>
  <c r="AR1623" i="3"/>
  <c r="AR1624" i="3"/>
  <c r="AR1625" i="3"/>
  <c r="AR1626" i="3"/>
  <c r="AR1627" i="3"/>
  <c r="AR1628" i="3"/>
  <c r="AR1629" i="3"/>
  <c r="AR1630" i="3"/>
  <c r="AR1631" i="3"/>
  <c r="AR1632" i="3"/>
  <c r="AR1633" i="3"/>
  <c r="AR1634" i="3"/>
  <c r="AR1635" i="3"/>
  <c r="AR1636" i="3"/>
  <c r="AR1637" i="3"/>
  <c r="AR1638" i="3"/>
  <c r="AR1639" i="3"/>
  <c r="AR1640" i="3"/>
  <c r="AR1641" i="3"/>
  <c r="AR1642" i="3"/>
  <c r="AR1643" i="3"/>
  <c r="AR1644" i="3"/>
  <c r="AR1645" i="3"/>
  <c r="AR1646" i="3"/>
  <c r="AR1647" i="3"/>
  <c r="AR1648" i="3"/>
  <c r="AR1649" i="3"/>
  <c r="AR1650" i="3"/>
  <c r="AR1651" i="3"/>
  <c r="AR1652" i="3"/>
  <c r="AR1653" i="3"/>
  <c r="AR1654" i="3"/>
  <c r="AR1655" i="3"/>
  <c r="AR1656" i="3"/>
  <c r="AR1657" i="3"/>
  <c r="AR1658" i="3"/>
  <c r="AR1659" i="3"/>
  <c r="AR1660" i="3"/>
  <c r="AR1661" i="3"/>
  <c r="AR1662" i="3"/>
  <c r="AR1663" i="3"/>
  <c r="AR1664" i="3"/>
  <c r="AR1665" i="3"/>
  <c r="AR1666" i="3"/>
  <c r="AR1667" i="3"/>
  <c r="AR1668" i="3"/>
  <c r="AR1669" i="3"/>
  <c r="AR1670" i="3"/>
  <c r="AR1671" i="3"/>
  <c r="AR1672" i="3"/>
  <c r="AR1673" i="3"/>
  <c r="AR1674" i="3"/>
  <c r="AR1675" i="3"/>
  <c r="AR1676" i="3"/>
  <c r="AR1677" i="3"/>
  <c r="AR1678" i="3"/>
  <c r="AR1679" i="3"/>
  <c r="AR1680" i="3"/>
  <c r="AR1681" i="3"/>
  <c r="AR1682" i="3"/>
  <c r="AR1683" i="3"/>
  <c r="AR1684" i="3"/>
  <c r="AR1685" i="3"/>
  <c r="AR1686" i="3"/>
  <c r="AR1687" i="3"/>
  <c r="AR1688" i="3"/>
  <c r="AR1689" i="3"/>
  <c r="AR1690" i="3"/>
  <c r="AR1691" i="3"/>
  <c r="AR1692" i="3"/>
  <c r="AR1693" i="3"/>
  <c r="AR1694" i="3"/>
  <c r="AR1695" i="3"/>
  <c r="AR1696" i="3"/>
  <c r="AR1697" i="3"/>
  <c r="AR1698" i="3"/>
  <c r="AR1699" i="3"/>
  <c r="AR1700" i="3"/>
  <c r="AR1701" i="3"/>
  <c r="AR1702" i="3"/>
  <c r="AR1703" i="3"/>
  <c r="AR1704" i="3"/>
  <c r="AR1705" i="3"/>
  <c r="AR1706" i="3"/>
  <c r="AR1707" i="3"/>
  <c r="AR1708" i="3"/>
  <c r="AR1709" i="3"/>
  <c r="AR1710" i="3"/>
  <c r="AR1711" i="3"/>
  <c r="AR1712" i="3"/>
  <c r="AR1713" i="3"/>
  <c r="AR1714" i="3"/>
  <c r="AR1715" i="3"/>
  <c r="AR1716" i="3"/>
  <c r="AR1717" i="3"/>
  <c r="AR1718" i="3"/>
  <c r="AR1719" i="3"/>
  <c r="AR1720" i="3"/>
  <c r="AR1721" i="3"/>
  <c r="AR1722" i="3"/>
  <c r="AR1723" i="3"/>
  <c r="AR1724" i="3"/>
  <c r="AR1725" i="3"/>
  <c r="AR1726" i="3"/>
  <c r="AR1727" i="3"/>
  <c r="AR1728" i="3"/>
  <c r="AR1729" i="3"/>
  <c r="AR1730" i="3"/>
  <c r="AR1731" i="3"/>
  <c r="AR1732" i="3"/>
  <c r="AR1733" i="3"/>
  <c r="AR1734" i="3"/>
  <c r="AR1735" i="3"/>
  <c r="AR1736" i="3"/>
  <c r="AR1737" i="3"/>
  <c r="AR1738" i="3"/>
  <c r="AR1739" i="3"/>
  <c r="AR1740" i="3"/>
  <c r="AR1741" i="3"/>
  <c r="AR1742" i="3"/>
  <c r="AR1743" i="3"/>
  <c r="AR1744" i="3"/>
  <c r="AR1745" i="3"/>
  <c r="AR1746" i="3"/>
  <c r="AR1747" i="3"/>
  <c r="AR1748" i="3"/>
  <c r="AR1749" i="3"/>
  <c r="AR1750" i="3"/>
  <c r="AR1751" i="3"/>
  <c r="AR1752" i="3"/>
  <c r="AR1753" i="3"/>
  <c r="AR1754" i="3"/>
  <c r="AR1755" i="3"/>
  <c r="AR1756" i="3"/>
  <c r="AR1757" i="3"/>
  <c r="AR1758" i="3"/>
  <c r="AR1759" i="3"/>
  <c r="AR1760" i="3"/>
  <c r="AR1761" i="3"/>
  <c r="AR1762" i="3"/>
  <c r="AR1763" i="3"/>
  <c r="AR1764" i="3"/>
  <c r="AR1765" i="3"/>
  <c r="AR1766" i="3"/>
  <c r="AR1767" i="3"/>
  <c r="AR1768" i="3"/>
  <c r="AR1769" i="3"/>
  <c r="AR1770" i="3"/>
  <c r="AR1771" i="3"/>
  <c r="AR1772" i="3"/>
  <c r="AR1773" i="3"/>
  <c r="AR1774" i="3"/>
  <c r="AR1775" i="3"/>
  <c r="AR1776" i="3"/>
  <c r="AR1777" i="3"/>
  <c r="AR1778" i="3"/>
  <c r="AR1779" i="3"/>
  <c r="AR1780" i="3"/>
  <c r="AR1781" i="3"/>
  <c r="AR1782" i="3"/>
  <c r="AR1783" i="3"/>
  <c r="AR1784" i="3"/>
  <c r="AR1785" i="3"/>
  <c r="AR1786" i="3"/>
  <c r="AR1787" i="3"/>
  <c r="AR1788" i="3"/>
  <c r="AR1789" i="3"/>
  <c r="AR1790" i="3"/>
  <c r="AR1791" i="3"/>
  <c r="AR1792" i="3"/>
  <c r="AR1793" i="3"/>
  <c r="AR1794" i="3"/>
  <c r="AR1795" i="3"/>
  <c r="AR1796" i="3"/>
  <c r="AR1797" i="3"/>
  <c r="AR1798" i="3"/>
  <c r="AR1799" i="3"/>
  <c r="AR1800" i="3"/>
  <c r="AR1801" i="3"/>
  <c r="AR1802" i="3"/>
  <c r="AR1803" i="3"/>
  <c r="AR1804" i="3"/>
  <c r="AR1805" i="3"/>
  <c r="AR1806" i="3"/>
  <c r="AR1807" i="3"/>
  <c r="AR1808" i="3"/>
  <c r="AR1809" i="3"/>
  <c r="AR1810" i="3"/>
  <c r="AR1811" i="3"/>
  <c r="AR1812" i="3"/>
  <c r="AR1813" i="3"/>
  <c r="AR1814" i="3"/>
  <c r="AR1815" i="3"/>
  <c r="AR1816" i="3"/>
  <c r="AR1817" i="3"/>
  <c r="AR1818" i="3"/>
  <c r="AR1819" i="3"/>
  <c r="AR1820" i="3"/>
  <c r="AR1821" i="3"/>
  <c r="AR1822" i="3"/>
  <c r="AR1823" i="3"/>
  <c r="AR1824" i="3"/>
  <c r="AR1825" i="3"/>
  <c r="AR1826" i="3"/>
  <c r="AR1827" i="3"/>
  <c r="AR1828" i="3"/>
  <c r="AR1829" i="3"/>
  <c r="AR1830" i="3"/>
  <c r="AR1831" i="3"/>
  <c r="AR1832" i="3"/>
  <c r="AR1833" i="3"/>
  <c r="AR1834" i="3"/>
  <c r="AR1835" i="3"/>
  <c r="AR1836" i="3"/>
  <c r="AR1837" i="3"/>
  <c r="AR1838" i="3"/>
  <c r="AR1839" i="3"/>
  <c r="AR1840" i="3"/>
  <c r="AR1841" i="3"/>
  <c r="AR1842" i="3"/>
  <c r="AR1843" i="3"/>
  <c r="AR1844" i="3"/>
  <c r="AR1845" i="3"/>
  <c r="AR1846" i="3"/>
  <c r="AR1847" i="3"/>
  <c r="AR1848" i="3"/>
  <c r="AR1849" i="3"/>
  <c r="AR1850" i="3"/>
  <c r="AR1851" i="3"/>
  <c r="AR1852" i="3"/>
  <c r="AR1853" i="3"/>
  <c r="AR1854" i="3"/>
  <c r="AR1855" i="3"/>
  <c r="AR1856" i="3"/>
  <c r="AR1857" i="3"/>
  <c r="AR1858" i="3"/>
  <c r="AR1859" i="3"/>
  <c r="AR1860" i="3"/>
  <c r="AR1861" i="3"/>
  <c r="AR1862" i="3"/>
  <c r="AR1863" i="3"/>
  <c r="AR1864" i="3"/>
  <c r="AR1865" i="3"/>
  <c r="AR1866" i="3"/>
  <c r="AR1867" i="3"/>
  <c r="AR1868" i="3"/>
  <c r="AR1869" i="3"/>
  <c r="AR1870" i="3"/>
  <c r="AR1871" i="3"/>
  <c r="AR1872" i="3"/>
  <c r="AR1873" i="3"/>
  <c r="AR1874" i="3"/>
  <c r="AR1875" i="3"/>
  <c r="AR1876" i="3"/>
  <c r="AR1877" i="3"/>
  <c r="AR1878" i="3"/>
  <c r="AR1879" i="3"/>
  <c r="AR1880" i="3"/>
  <c r="AR1881" i="3"/>
  <c r="AR1882" i="3"/>
  <c r="AR1883" i="3"/>
  <c r="AR1884" i="3"/>
  <c r="AR1885" i="3"/>
  <c r="AR1886" i="3"/>
  <c r="AR1887" i="3"/>
  <c r="AR1888" i="3"/>
  <c r="AR1889" i="3"/>
  <c r="AR1890" i="3"/>
  <c r="AR1891" i="3"/>
  <c r="AR1892" i="3"/>
  <c r="AR1893" i="3"/>
  <c r="AR1894" i="3"/>
  <c r="AR1895" i="3"/>
  <c r="AR1896" i="3"/>
  <c r="AR1897" i="3"/>
  <c r="AR1898" i="3"/>
  <c r="AR1899" i="3"/>
  <c r="AR1900" i="3"/>
  <c r="AR1901" i="3"/>
  <c r="AR1902" i="3"/>
  <c r="AR1903" i="3"/>
  <c r="AR1904" i="3"/>
  <c r="AR1905" i="3"/>
  <c r="AR1906" i="3"/>
  <c r="AR1907" i="3"/>
  <c r="AR1908" i="3"/>
  <c r="AR1909" i="3"/>
  <c r="AR1910" i="3"/>
  <c r="AR1911" i="3"/>
  <c r="AR1912" i="3"/>
  <c r="AR1913" i="3"/>
  <c r="AR1914" i="3"/>
  <c r="AR1915" i="3"/>
  <c r="AR1916" i="3"/>
  <c r="AR1917" i="3"/>
  <c r="AR1918" i="3"/>
  <c r="AR1919" i="3"/>
  <c r="AR1920" i="3"/>
  <c r="AR1921" i="3"/>
  <c r="AR1922" i="3"/>
  <c r="AR1923" i="3"/>
  <c r="AR1924" i="3"/>
  <c r="AR1925" i="3"/>
  <c r="AR1926" i="3"/>
  <c r="AR1927" i="3"/>
  <c r="AR1928" i="3"/>
  <c r="AR1929" i="3"/>
  <c r="AR1930" i="3"/>
  <c r="AR1931" i="3"/>
  <c r="AR1932" i="3"/>
  <c r="AR1933" i="3"/>
  <c r="AR1934" i="3"/>
  <c r="AR1935" i="3"/>
  <c r="AR1936" i="3"/>
  <c r="AR1937" i="3"/>
  <c r="AR1938" i="3"/>
  <c r="AR1939" i="3"/>
  <c r="AR1940" i="3"/>
  <c r="AR1941" i="3"/>
  <c r="AR1942" i="3"/>
  <c r="AR1943" i="3"/>
  <c r="AR1944" i="3"/>
  <c r="AR1945" i="3"/>
  <c r="AR1946" i="3"/>
  <c r="AR1947" i="3"/>
  <c r="AR1948" i="3"/>
  <c r="AR1949" i="3"/>
  <c r="AR1950" i="3"/>
  <c r="AR1951" i="3"/>
  <c r="AR1952" i="3"/>
  <c r="AR1953" i="3"/>
  <c r="AR1954" i="3"/>
  <c r="AR1955" i="3"/>
  <c r="AR1956" i="3"/>
  <c r="AR1957" i="3"/>
  <c r="AR1958" i="3"/>
  <c r="AR1959" i="3"/>
  <c r="AR1960" i="3"/>
  <c r="AR1961" i="3"/>
  <c r="AR1962" i="3"/>
  <c r="AR1963" i="3"/>
  <c r="AR1964" i="3"/>
  <c r="AR1965" i="3"/>
  <c r="AR1966" i="3"/>
  <c r="AR1967" i="3"/>
  <c r="AR1968" i="3"/>
  <c r="AR1969" i="3"/>
  <c r="AR1970" i="3"/>
  <c r="AR1971" i="3"/>
  <c r="AR1972" i="3"/>
  <c r="AR1973" i="3"/>
  <c r="AR1974" i="3"/>
  <c r="AR1975" i="3"/>
  <c r="AR1976" i="3"/>
  <c r="AR1977" i="3"/>
  <c r="AR1978" i="3"/>
  <c r="AR1979" i="3"/>
  <c r="AR1980" i="3"/>
  <c r="AR1981" i="3"/>
  <c r="AR1982" i="3"/>
  <c r="AR1983" i="3"/>
  <c r="AR1984" i="3"/>
  <c r="AR1985" i="3"/>
  <c r="AR1986" i="3"/>
  <c r="AR1987" i="3"/>
  <c r="AR1988" i="3"/>
  <c r="AR1989" i="3"/>
  <c r="AR1990" i="3"/>
  <c r="AR1991" i="3"/>
  <c r="AR1992" i="3"/>
  <c r="AR1993" i="3"/>
  <c r="AR1994" i="3"/>
  <c r="AR1995" i="3"/>
  <c r="AR1996" i="3"/>
  <c r="AR1997" i="3"/>
  <c r="AR1998" i="3"/>
  <c r="AR1999" i="3"/>
  <c r="AR2000" i="3"/>
  <c r="AR2001" i="3"/>
  <c r="AR2002" i="3"/>
  <c r="AR2003" i="3"/>
  <c r="AR2004" i="3"/>
  <c r="AR2005" i="3"/>
  <c r="AR2006" i="3"/>
  <c r="AR2007" i="3"/>
  <c r="AR2008" i="3"/>
  <c r="AR2009" i="3"/>
  <c r="AR2010" i="3"/>
  <c r="AR2011" i="3"/>
  <c r="AR2012" i="3"/>
  <c r="AR2013" i="3"/>
  <c r="AR2014" i="3"/>
  <c r="AR2015" i="3"/>
  <c r="AR2016" i="3"/>
  <c r="AR2017" i="3"/>
  <c r="AR2018" i="3"/>
  <c r="AR2019" i="3"/>
  <c r="AR2020" i="3"/>
  <c r="AR2021" i="3"/>
  <c r="AR2022" i="3"/>
  <c r="AR2023" i="3"/>
  <c r="AR2024" i="3"/>
  <c r="AR2025" i="3"/>
  <c r="AR2026" i="3"/>
  <c r="AR2027" i="3"/>
  <c r="AR2028" i="3"/>
  <c r="AR2029" i="3"/>
  <c r="AR2030" i="3"/>
  <c r="AR2031" i="3"/>
  <c r="AR2032" i="3"/>
  <c r="AR2033" i="3"/>
  <c r="AR2034" i="3"/>
  <c r="AR2035" i="3"/>
  <c r="AR2036" i="3"/>
  <c r="AR2037" i="3"/>
  <c r="AR2038" i="3"/>
  <c r="AR2039" i="3"/>
  <c r="AR2040" i="3"/>
  <c r="AR2041" i="3"/>
  <c r="AR2042" i="3"/>
  <c r="AR2043" i="3"/>
  <c r="AR2044" i="3"/>
  <c r="AR2045" i="3"/>
  <c r="AR2046" i="3"/>
  <c r="AR2047" i="3"/>
  <c r="AR2048" i="3"/>
  <c r="AR2049" i="3"/>
  <c r="AR2050" i="3"/>
  <c r="AR2051" i="3"/>
  <c r="AR2052" i="3"/>
  <c r="AR2053" i="3"/>
  <c r="AR2054" i="3"/>
  <c r="AR2055" i="3"/>
  <c r="AR2056" i="3"/>
  <c r="AR2057" i="3"/>
  <c r="AR2058" i="3"/>
  <c r="AR2059" i="3"/>
  <c r="AR2060" i="3"/>
  <c r="AR2061" i="3"/>
  <c r="AR2062" i="3"/>
  <c r="AR2063" i="3"/>
  <c r="AR2064" i="3"/>
  <c r="AR2065" i="3"/>
  <c r="AR2066" i="3"/>
  <c r="AR2067" i="3"/>
  <c r="AR2068" i="3"/>
  <c r="AR2069" i="3"/>
  <c r="AR2070" i="3"/>
  <c r="AR2071" i="3"/>
  <c r="AR2072" i="3"/>
  <c r="AR2073" i="3"/>
  <c r="AR2074" i="3"/>
  <c r="AR2075" i="3"/>
  <c r="AR2076" i="3"/>
  <c r="AR2077" i="3"/>
  <c r="AR2078" i="3"/>
  <c r="AR2079" i="3"/>
  <c r="AR2080" i="3"/>
  <c r="AR2081" i="3"/>
  <c r="AR2082" i="3"/>
  <c r="AR2083" i="3"/>
  <c r="AR2084" i="3"/>
  <c r="AR2085" i="3"/>
  <c r="AR2086" i="3"/>
  <c r="AR2087" i="3"/>
  <c r="AR2088" i="3"/>
  <c r="AR2089" i="3"/>
  <c r="AR2090" i="3"/>
  <c r="AR2091" i="3"/>
  <c r="AR2092" i="3"/>
  <c r="AR2093" i="3"/>
  <c r="AR2094" i="3"/>
  <c r="AR2095" i="3"/>
  <c r="AR2096" i="3"/>
  <c r="AR2097" i="3"/>
  <c r="AR2098" i="3"/>
  <c r="AR2099" i="3"/>
  <c r="AR2100" i="3"/>
  <c r="AR2101" i="3"/>
  <c r="AR2102" i="3"/>
  <c r="AR2103" i="3"/>
  <c r="AR2104" i="3"/>
  <c r="AR2105" i="3"/>
  <c r="AR2106" i="3"/>
  <c r="AR2107" i="3"/>
  <c r="AR2108" i="3"/>
  <c r="AR2109" i="3"/>
  <c r="AR2110" i="3"/>
  <c r="AR2111" i="3"/>
  <c r="AR2112" i="3"/>
  <c r="AR2113" i="3"/>
  <c r="AR2114" i="3"/>
  <c r="AR2115" i="3"/>
  <c r="AR2116" i="3"/>
  <c r="AR2117" i="3"/>
  <c r="AR2118" i="3"/>
  <c r="AR2119" i="3"/>
  <c r="AR2120" i="3"/>
  <c r="AR2121" i="3"/>
  <c r="AR2122" i="3"/>
  <c r="AR2123" i="3"/>
  <c r="AR2124" i="3"/>
  <c r="AR2125" i="3"/>
  <c r="AR2126" i="3"/>
  <c r="AR2127" i="3"/>
  <c r="AR2128" i="3"/>
  <c r="AR2129" i="3"/>
  <c r="AR2130" i="3"/>
  <c r="AR2131" i="3"/>
  <c r="AR2132" i="3"/>
  <c r="AR2133" i="3"/>
  <c r="AR2134" i="3"/>
  <c r="AR2135" i="3"/>
  <c r="AR2136" i="3"/>
  <c r="AR2137" i="3"/>
  <c r="AR2138" i="3"/>
  <c r="AR2139" i="3"/>
  <c r="AR2140" i="3"/>
  <c r="AR2141" i="3"/>
  <c r="AR2142" i="3"/>
  <c r="AR2143" i="3"/>
  <c r="AR2144" i="3"/>
  <c r="AR2145" i="3"/>
  <c r="AR2146" i="3"/>
  <c r="AR2147" i="3"/>
  <c r="AR2148" i="3"/>
  <c r="AR2149" i="3"/>
  <c r="AR2150" i="3"/>
  <c r="AR2151" i="3"/>
  <c r="AR2152" i="3"/>
  <c r="AR2153" i="3"/>
  <c r="AR2154" i="3"/>
  <c r="AR2155" i="3"/>
  <c r="AR2156" i="3"/>
  <c r="AR2157" i="3"/>
  <c r="AR2158" i="3"/>
  <c r="AR2159" i="3"/>
  <c r="AR2160" i="3"/>
  <c r="AR2161" i="3"/>
  <c r="AR2162" i="3"/>
  <c r="AR2163" i="3"/>
  <c r="AR2164" i="3"/>
  <c r="AR2165" i="3"/>
  <c r="AR2166" i="3"/>
  <c r="AR2167" i="3"/>
  <c r="AR2168" i="3"/>
  <c r="AR2169" i="3"/>
  <c r="AR2170" i="3"/>
  <c r="AR2171" i="3"/>
  <c r="AR2172" i="3"/>
  <c r="AR2173" i="3"/>
  <c r="AR2174" i="3"/>
  <c r="AR2175" i="3"/>
  <c r="AR2176" i="3"/>
  <c r="AR2177" i="3"/>
  <c r="AR2178" i="3"/>
  <c r="AR2179" i="3"/>
  <c r="AR2180" i="3"/>
  <c r="AR2181" i="3"/>
  <c r="AR2182" i="3"/>
  <c r="AR2183" i="3"/>
  <c r="AR2184" i="3"/>
  <c r="AR2185" i="3"/>
  <c r="AR2186" i="3"/>
  <c r="AR2187" i="3"/>
  <c r="AR2188" i="3"/>
  <c r="AR2189" i="3"/>
  <c r="AR2190" i="3"/>
  <c r="AR2191" i="3"/>
  <c r="AR2192" i="3"/>
  <c r="AR2193" i="3"/>
  <c r="AR2194" i="3"/>
  <c r="AR2195" i="3"/>
  <c r="AR2196" i="3"/>
  <c r="AR2197" i="3"/>
  <c r="AR2198" i="3"/>
  <c r="AR2199" i="3"/>
  <c r="AR2200" i="3"/>
  <c r="AR2201" i="3"/>
  <c r="AR2202" i="3"/>
  <c r="AR2203" i="3"/>
  <c r="AR2204" i="3"/>
  <c r="AR2205" i="3"/>
  <c r="AR2206" i="3"/>
  <c r="AR2207" i="3"/>
  <c r="AR2208" i="3"/>
  <c r="AR2209" i="3"/>
  <c r="AR2210" i="3"/>
  <c r="AR2211" i="3"/>
  <c r="AR2212" i="3"/>
  <c r="AR2213" i="3"/>
  <c r="AR2214" i="3"/>
  <c r="AR2215" i="3"/>
  <c r="AR2216" i="3"/>
  <c r="AR2217" i="3"/>
  <c r="AR2218" i="3"/>
  <c r="AR2219" i="3"/>
  <c r="AR2220" i="3"/>
  <c r="AR2221" i="3"/>
  <c r="AR2222" i="3"/>
  <c r="AR2223" i="3"/>
  <c r="AR2224" i="3"/>
  <c r="AR2225" i="3"/>
  <c r="AR2226" i="3"/>
  <c r="AR2227" i="3"/>
  <c r="AR2228" i="3"/>
  <c r="AR2229" i="3"/>
  <c r="AR2230" i="3"/>
  <c r="AR2231" i="3"/>
  <c r="AR2232" i="3"/>
  <c r="AR2233" i="3"/>
  <c r="AR2234" i="3"/>
  <c r="AR2235" i="3"/>
  <c r="AR2236" i="3"/>
  <c r="AR2237" i="3"/>
  <c r="AR2238" i="3"/>
  <c r="AR2239" i="3"/>
  <c r="AR2240" i="3"/>
  <c r="AR2241" i="3"/>
  <c r="AQ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889" i="3"/>
  <c r="AQ890" i="3"/>
  <c r="AQ891" i="3"/>
  <c r="AQ892" i="3"/>
  <c r="AQ893" i="3"/>
  <c r="AQ894" i="3"/>
  <c r="AQ895" i="3"/>
  <c r="AQ896" i="3"/>
  <c r="AQ897" i="3"/>
  <c r="AQ898" i="3"/>
  <c r="AQ899" i="3"/>
  <c r="AQ900" i="3"/>
  <c r="AQ901" i="3"/>
  <c r="AQ902" i="3"/>
  <c r="AQ903" i="3"/>
  <c r="AQ904" i="3"/>
  <c r="AQ905" i="3"/>
  <c r="AQ906" i="3"/>
  <c r="AQ907" i="3"/>
  <c r="AQ908" i="3"/>
  <c r="AQ909" i="3"/>
  <c r="AQ910" i="3"/>
  <c r="AQ911" i="3"/>
  <c r="AQ912" i="3"/>
  <c r="AQ913" i="3"/>
  <c r="AQ914" i="3"/>
  <c r="AQ915" i="3"/>
  <c r="AQ916" i="3"/>
  <c r="AQ917" i="3"/>
  <c r="AQ918" i="3"/>
  <c r="AQ919" i="3"/>
  <c r="AQ920" i="3"/>
  <c r="AQ921" i="3"/>
  <c r="AQ922" i="3"/>
  <c r="AQ923" i="3"/>
  <c r="AQ924" i="3"/>
  <c r="AQ925" i="3"/>
  <c r="AQ926" i="3"/>
  <c r="AQ927" i="3"/>
  <c r="AQ928" i="3"/>
  <c r="AQ929" i="3"/>
  <c r="AQ930" i="3"/>
  <c r="AQ931" i="3"/>
  <c r="AQ932" i="3"/>
  <c r="AQ933" i="3"/>
  <c r="AQ934" i="3"/>
  <c r="AQ935" i="3"/>
  <c r="AQ936" i="3"/>
  <c r="AQ937" i="3"/>
  <c r="AQ938" i="3"/>
  <c r="AQ939" i="3"/>
  <c r="AQ940" i="3"/>
  <c r="AQ941" i="3"/>
  <c r="AQ942" i="3"/>
  <c r="AQ943" i="3"/>
  <c r="AQ944" i="3"/>
  <c r="AQ945" i="3"/>
  <c r="AQ946" i="3"/>
  <c r="AQ947" i="3"/>
  <c r="AQ948" i="3"/>
  <c r="AQ949" i="3"/>
  <c r="AQ950" i="3"/>
  <c r="AQ951" i="3"/>
  <c r="AQ952" i="3"/>
  <c r="AQ953" i="3"/>
  <c r="AQ954" i="3"/>
  <c r="AQ955" i="3"/>
  <c r="AQ956" i="3"/>
  <c r="AQ957" i="3"/>
  <c r="AQ958" i="3"/>
  <c r="AQ959" i="3"/>
  <c r="AQ960" i="3"/>
  <c r="AQ961" i="3"/>
  <c r="AQ962" i="3"/>
  <c r="AQ963" i="3"/>
  <c r="AQ964" i="3"/>
  <c r="AQ965" i="3"/>
  <c r="AQ966" i="3"/>
  <c r="AQ967" i="3"/>
  <c r="AQ968" i="3"/>
  <c r="AQ969" i="3"/>
  <c r="AQ970" i="3"/>
  <c r="AQ971" i="3"/>
  <c r="AQ972" i="3"/>
  <c r="AQ973" i="3"/>
  <c r="AQ974" i="3"/>
  <c r="AQ975" i="3"/>
  <c r="AQ976" i="3"/>
  <c r="AQ977" i="3"/>
  <c r="AQ978" i="3"/>
  <c r="AQ979" i="3"/>
  <c r="AQ980" i="3"/>
  <c r="AQ981" i="3"/>
  <c r="AQ982" i="3"/>
  <c r="AQ983" i="3"/>
  <c r="AQ984" i="3"/>
  <c r="AQ985" i="3"/>
  <c r="AQ986" i="3"/>
  <c r="AQ987" i="3"/>
  <c r="AQ988" i="3"/>
  <c r="AQ989" i="3"/>
  <c r="AQ990" i="3"/>
  <c r="AQ991" i="3"/>
  <c r="AQ992" i="3"/>
  <c r="AQ993" i="3"/>
  <c r="AQ994" i="3"/>
  <c r="AQ995" i="3"/>
  <c r="AQ996" i="3"/>
  <c r="AQ997" i="3"/>
  <c r="AQ998" i="3"/>
  <c r="AQ999" i="3"/>
  <c r="AQ1000" i="3"/>
  <c r="AQ1001" i="3"/>
  <c r="AQ1002" i="3"/>
  <c r="AQ1003" i="3"/>
  <c r="AQ1004" i="3"/>
  <c r="AQ1005" i="3"/>
  <c r="AQ1006" i="3"/>
  <c r="AQ1007" i="3"/>
  <c r="AQ1008" i="3"/>
  <c r="AQ1009" i="3"/>
  <c r="AQ1010" i="3"/>
  <c r="AQ1011" i="3"/>
  <c r="AQ1012" i="3"/>
  <c r="AQ1013" i="3"/>
  <c r="AQ1014" i="3"/>
  <c r="AQ1015" i="3"/>
  <c r="AQ1016" i="3"/>
  <c r="AQ1017" i="3"/>
  <c r="AQ1018" i="3"/>
  <c r="AQ1019" i="3"/>
  <c r="AQ1020" i="3"/>
  <c r="AQ1021" i="3"/>
  <c r="AQ1022" i="3"/>
  <c r="AQ1023" i="3"/>
  <c r="AQ1024" i="3"/>
  <c r="AQ1025" i="3"/>
  <c r="AQ1026" i="3"/>
  <c r="AQ1027" i="3"/>
  <c r="AQ1028" i="3"/>
  <c r="AQ1029" i="3"/>
  <c r="AQ1030" i="3"/>
  <c r="AQ1031" i="3"/>
  <c r="AQ1032" i="3"/>
  <c r="AQ1033" i="3"/>
  <c r="AQ1034" i="3"/>
  <c r="AQ1035" i="3"/>
  <c r="AQ1036" i="3"/>
  <c r="AQ1037" i="3"/>
  <c r="AQ1038" i="3"/>
  <c r="AQ1039" i="3"/>
  <c r="AQ1040" i="3"/>
  <c r="AQ1041" i="3"/>
  <c r="AQ1042" i="3"/>
  <c r="AQ1043" i="3"/>
  <c r="AQ1044" i="3"/>
  <c r="AQ1045" i="3"/>
  <c r="AQ1046" i="3"/>
  <c r="AQ1047" i="3"/>
  <c r="AQ1048" i="3"/>
  <c r="AQ1049" i="3"/>
  <c r="AQ1050" i="3"/>
  <c r="AQ1051" i="3"/>
  <c r="AQ1052" i="3"/>
  <c r="AQ1053" i="3"/>
  <c r="AQ1054" i="3"/>
  <c r="AQ1055" i="3"/>
  <c r="AQ1056" i="3"/>
  <c r="AQ1057" i="3"/>
  <c r="AQ1058" i="3"/>
  <c r="AQ1059" i="3"/>
  <c r="AQ1060" i="3"/>
  <c r="AQ1061" i="3"/>
  <c r="AQ1062" i="3"/>
  <c r="AQ1063" i="3"/>
  <c r="AQ1064" i="3"/>
  <c r="AQ1065" i="3"/>
  <c r="AQ1066" i="3"/>
  <c r="AQ1067" i="3"/>
  <c r="AQ1068" i="3"/>
  <c r="AQ1069" i="3"/>
  <c r="AQ1070" i="3"/>
  <c r="AQ1071" i="3"/>
  <c r="AQ1072" i="3"/>
  <c r="AQ1073" i="3"/>
  <c r="AQ1074" i="3"/>
  <c r="AQ1075" i="3"/>
  <c r="AQ1076" i="3"/>
  <c r="AQ1077" i="3"/>
  <c r="AQ1078" i="3"/>
  <c r="AQ1079" i="3"/>
  <c r="AQ1080" i="3"/>
  <c r="AQ1081" i="3"/>
  <c r="AQ1082" i="3"/>
  <c r="AQ1083" i="3"/>
  <c r="AQ1084" i="3"/>
  <c r="AQ1085" i="3"/>
  <c r="AQ1086" i="3"/>
  <c r="AQ1087" i="3"/>
  <c r="AQ1088" i="3"/>
  <c r="AQ1089" i="3"/>
  <c r="AQ1090" i="3"/>
  <c r="AQ1091" i="3"/>
  <c r="AQ1092" i="3"/>
  <c r="AQ1093" i="3"/>
  <c r="AQ1094" i="3"/>
  <c r="AQ1095" i="3"/>
  <c r="AQ1096" i="3"/>
  <c r="AQ1097" i="3"/>
  <c r="AQ1098" i="3"/>
  <c r="AQ1099" i="3"/>
  <c r="AQ1100" i="3"/>
  <c r="AQ1101" i="3"/>
  <c r="AQ1102" i="3"/>
  <c r="AQ1103" i="3"/>
  <c r="AQ1104" i="3"/>
  <c r="AQ1105" i="3"/>
  <c r="AQ1106" i="3"/>
  <c r="AQ1107" i="3"/>
  <c r="AQ1108" i="3"/>
  <c r="AQ1109" i="3"/>
  <c r="AQ1110" i="3"/>
  <c r="AQ1111" i="3"/>
  <c r="AQ1112" i="3"/>
  <c r="AQ1113" i="3"/>
  <c r="AQ1114" i="3"/>
  <c r="AQ1115" i="3"/>
  <c r="AQ1116" i="3"/>
  <c r="AQ1117" i="3"/>
  <c r="AQ1118" i="3"/>
  <c r="AQ1119" i="3"/>
  <c r="AQ1120" i="3"/>
  <c r="AQ1121" i="3"/>
  <c r="AQ1122" i="3"/>
  <c r="AQ1123" i="3"/>
  <c r="AQ1124" i="3"/>
  <c r="AQ1125" i="3"/>
  <c r="AQ1126" i="3"/>
  <c r="AQ1127" i="3"/>
  <c r="AQ1128" i="3"/>
  <c r="AQ1129" i="3"/>
  <c r="AQ1130" i="3"/>
  <c r="AQ1131" i="3"/>
  <c r="AQ1132" i="3"/>
  <c r="AQ1133" i="3"/>
  <c r="AQ1134" i="3"/>
  <c r="AQ1135" i="3"/>
  <c r="AQ1136" i="3"/>
  <c r="AQ1137" i="3"/>
  <c r="AQ1138" i="3"/>
  <c r="AQ1139" i="3"/>
  <c r="AQ1140" i="3"/>
  <c r="AQ1141" i="3"/>
  <c r="AQ1142" i="3"/>
  <c r="AQ1143" i="3"/>
  <c r="AQ1144" i="3"/>
  <c r="AQ1145" i="3"/>
  <c r="AQ1146" i="3"/>
  <c r="AQ1147" i="3"/>
  <c r="AQ1148" i="3"/>
  <c r="AQ1149" i="3"/>
  <c r="AQ1150" i="3"/>
  <c r="AQ1151" i="3"/>
  <c r="AQ1152" i="3"/>
  <c r="AQ1153" i="3"/>
  <c r="AQ1154" i="3"/>
  <c r="AQ1155" i="3"/>
  <c r="AQ1156" i="3"/>
  <c r="AQ1157" i="3"/>
  <c r="AQ1158" i="3"/>
  <c r="AQ1159" i="3"/>
  <c r="AQ1160" i="3"/>
  <c r="AQ1161" i="3"/>
  <c r="AQ1162" i="3"/>
  <c r="AQ1163" i="3"/>
  <c r="AQ1164" i="3"/>
  <c r="AQ1165" i="3"/>
  <c r="AQ1166" i="3"/>
  <c r="AQ1167" i="3"/>
  <c r="AQ1168" i="3"/>
  <c r="AQ1169" i="3"/>
  <c r="AQ1170" i="3"/>
  <c r="AQ1171" i="3"/>
  <c r="AQ1172" i="3"/>
  <c r="AQ1173" i="3"/>
  <c r="AQ1174" i="3"/>
  <c r="AQ1175" i="3"/>
  <c r="AQ1176" i="3"/>
  <c r="AQ1177" i="3"/>
  <c r="AQ1178" i="3"/>
  <c r="AQ1179" i="3"/>
  <c r="AQ1180" i="3"/>
  <c r="AQ1181" i="3"/>
  <c r="AQ1182" i="3"/>
  <c r="AQ1183" i="3"/>
  <c r="AQ1184" i="3"/>
  <c r="AQ1185" i="3"/>
  <c r="AQ1186" i="3"/>
  <c r="AQ1187" i="3"/>
  <c r="AQ1188" i="3"/>
  <c r="AQ1189" i="3"/>
  <c r="AQ1190" i="3"/>
  <c r="AQ1191" i="3"/>
  <c r="AQ1192" i="3"/>
  <c r="AQ1193" i="3"/>
  <c r="AQ1194" i="3"/>
  <c r="AQ1195" i="3"/>
  <c r="AQ1196" i="3"/>
  <c r="AQ1197" i="3"/>
  <c r="AQ1198" i="3"/>
  <c r="AQ1199" i="3"/>
  <c r="AQ1200" i="3"/>
  <c r="AQ1201" i="3"/>
  <c r="AQ1202" i="3"/>
  <c r="AQ1203" i="3"/>
  <c r="AQ1204" i="3"/>
  <c r="AQ1205" i="3"/>
  <c r="AQ1206" i="3"/>
  <c r="AQ1207" i="3"/>
  <c r="AQ1208" i="3"/>
  <c r="AQ1209" i="3"/>
  <c r="AQ1210" i="3"/>
  <c r="AQ1211" i="3"/>
  <c r="AQ1212" i="3"/>
  <c r="AQ1213" i="3"/>
  <c r="AQ1214" i="3"/>
  <c r="AQ1215" i="3"/>
  <c r="AQ1216" i="3"/>
  <c r="AQ1217" i="3"/>
  <c r="AQ1218" i="3"/>
  <c r="AQ1219" i="3"/>
  <c r="AQ1220" i="3"/>
  <c r="AQ1221" i="3"/>
  <c r="AQ1222" i="3"/>
  <c r="AQ1223" i="3"/>
  <c r="AQ1224" i="3"/>
  <c r="AQ1225" i="3"/>
  <c r="AQ1226" i="3"/>
  <c r="AQ1227" i="3"/>
  <c r="AQ1228" i="3"/>
  <c r="AQ1229" i="3"/>
  <c r="AQ1230" i="3"/>
  <c r="AQ1231" i="3"/>
  <c r="AQ1232" i="3"/>
  <c r="AQ1233" i="3"/>
  <c r="AQ1234" i="3"/>
  <c r="AQ1235" i="3"/>
  <c r="AQ1236" i="3"/>
  <c r="AQ1237" i="3"/>
  <c r="AQ1238" i="3"/>
  <c r="AQ1239" i="3"/>
  <c r="AQ1240" i="3"/>
  <c r="AQ1241" i="3"/>
  <c r="AQ1242" i="3"/>
  <c r="AQ1243" i="3"/>
  <c r="AQ1244" i="3"/>
  <c r="AQ1245" i="3"/>
  <c r="AQ1246" i="3"/>
  <c r="AQ1247" i="3"/>
  <c r="AQ1248" i="3"/>
  <c r="AQ1249" i="3"/>
  <c r="AQ1250" i="3"/>
  <c r="AQ1251" i="3"/>
  <c r="AQ1252" i="3"/>
  <c r="AQ1253" i="3"/>
  <c r="AQ1254" i="3"/>
  <c r="AQ1255" i="3"/>
  <c r="AQ1256" i="3"/>
  <c r="AQ1257" i="3"/>
  <c r="AQ1258" i="3"/>
  <c r="AQ1259" i="3"/>
  <c r="AQ1260" i="3"/>
  <c r="AQ1261" i="3"/>
  <c r="AQ1262" i="3"/>
  <c r="AQ1263" i="3"/>
  <c r="AQ1264" i="3"/>
  <c r="AQ1265" i="3"/>
  <c r="AQ1266" i="3"/>
  <c r="AQ1267" i="3"/>
  <c r="AQ1268" i="3"/>
  <c r="AQ1269" i="3"/>
  <c r="AQ1270" i="3"/>
  <c r="AQ1271" i="3"/>
  <c r="AQ1272" i="3"/>
  <c r="AQ1273" i="3"/>
  <c r="AQ1274" i="3"/>
  <c r="AQ1275" i="3"/>
  <c r="AQ1276" i="3"/>
  <c r="AQ1277" i="3"/>
  <c r="AQ1278" i="3"/>
  <c r="AQ1279" i="3"/>
  <c r="AQ1280" i="3"/>
  <c r="AQ1281" i="3"/>
  <c r="AQ1282" i="3"/>
  <c r="AQ1283" i="3"/>
  <c r="AQ1284" i="3"/>
  <c r="AQ1285" i="3"/>
  <c r="AQ1286" i="3"/>
  <c r="AQ1287" i="3"/>
  <c r="AQ1288" i="3"/>
  <c r="AQ1289" i="3"/>
  <c r="AQ1290" i="3"/>
  <c r="AQ1291" i="3"/>
  <c r="AQ1292" i="3"/>
  <c r="AQ1293" i="3"/>
  <c r="AQ1294" i="3"/>
  <c r="AQ1295" i="3"/>
  <c r="AQ1296" i="3"/>
  <c r="AQ1297" i="3"/>
  <c r="AQ1298" i="3"/>
  <c r="AQ1299" i="3"/>
  <c r="AQ1300" i="3"/>
  <c r="AQ1301" i="3"/>
  <c r="AQ1302" i="3"/>
  <c r="AQ1303" i="3"/>
  <c r="AQ1304" i="3"/>
  <c r="AQ1305" i="3"/>
  <c r="AQ1306" i="3"/>
  <c r="AQ1307" i="3"/>
  <c r="AQ1308" i="3"/>
  <c r="AQ1309" i="3"/>
  <c r="AQ1310" i="3"/>
  <c r="AQ1311" i="3"/>
  <c r="AQ1312" i="3"/>
  <c r="AQ1313" i="3"/>
  <c r="AQ1314" i="3"/>
  <c r="AQ1315" i="3"/>
  <c r="AQ1316" i="3"/>
  <c r="AQ1317" i="3"/>
  <c r="AQ1318" i="3"/>
  <c r="AQ1319" i="3"/>
  <c r="AQ1320" i="3"/>
  <c r="AQ1321" i="3"/>
  <c r="AQ1322" i="3"/>
  <c r="AQ1323" i="3"/>
  <c r="AQ1324" i="3"/>
  <c r="AQ1325" i="3"/>
  <c r="AQ1326" i="3"/>
  <c r="AQ1327" i="3"/>
  <c r="AQ1328" i="3"/>
  <c r="AQ1329" i="3"/>
  <c r="AQ1330" i="3"/>
  <c r="AQ1331" i="3"/>
  <c r="AQ1332" i="3"/>
  <c r="AQ1333" i="3"/>
  <c r="AQ1334" i="3"/>
  <c r="AQ1335" i="3"/>
  <c r="AQ1336" i="3"/>
  <c r="AQ1337" i="3"/>
  <c r="AQ1338" i="3"/>
  <c r="AQ1339" i="3"/>
  <c r="AQ1340" i="3"/>
  <c r="AQ1341" i="3"/>
  <c r="AQ1342" i="3"/>
  <c r="AQ1343" i="3"/>
  <c r="AQ1344" i="3"/>
  <c r="AQ1345" i="3"/>
  <c r="AQ1346" i="3"/>
  <c r="AQ1347" i="3"/>
  <c r="AQ1348" i="3"/>
  <c r="AQ1349" i="3"/>
  <c r="AQ1350" i="3"/>
  <c r="AQ1351" i="3"/>
  <c r="AQ1352" i="3"/>
  <c r="AQ1353" i="3"/>
  <c r="AQ1354" i="3"/>
  <c r="AQ1355" i="3"/>
  <c r="AQ1356" i="3"/>
  <c r="AQ1357" i="3"/>
  <c r="AQ1358" i="3"/>
  <c r="AQ1359" i="3"/>
  <c r="AQ1360" i="3"/>
  <c r="AQ1361" i="3"/>
  <c r="AQ1362" i="3"/>
  <c r="AQ1363" i="3"/>
  <c r="AQ1364" i="3"/>
  <c r="AQ1365" i="3"/>
  <c r="AQ1366" i="3"/>
  <c r="AQ1367" i="3"/>
  <c r="AQ1368" i="3"/>
  <c r="AQ1369" i="3"/>
  <c r="AQ1370" i="3"/>
  <c r="AQ1371" i="3"/>
  <c r="AQ1372" i="3"/>
  <c r="AQ1373" i="3"/>
  <c r="AQ1374" i="3"/>
  <c r="AQ1375" i="3"/>
  <c r="AQ1376" i="3"/>
  <c r="AQ1377" i="3"/>
  <c r="AQ1378" i="3"/>
  <c r="AQ1379" i="3"/>
  <c r="AQ1380" i="3"/>
  <c r="AQ1381" i="3"/>
  <c r="AQ1382" i="3"/>
  <c r="AQ1383" i="3"/>
  <c r="AQ1384" i="3"/>
  <c r="AQ1385" i="3"/>
  <c r="AQ1386" i="3"/>
  <c r="AQ1387" i="3"/>
  <c r="AQ1388" i="3"/>
  <c r="AQ1389" i="3"/>
  <c r="AQ1390" i="3"/>
  <c r="AQ1391" i="3"/>
  <c r="AQ1392" i="3"/>
  <c r="AQ1393" i="3"/>
  <c r="AQ1394" i="3"/>
  <c r="AQ1395" i="3"/>
  <c r="AQ1396" i="3"/>
  <c r="AQ1397" i="3"/>
  <c r="AQ1398" i="3"/>
  <c r="AQ1399" i="3"/>
  <c r="AQ1400" i="3"/>
  <c r="AQ1401" i="3"/>
  <c r="AQ1402" i="3"/>
  <c r="AQ1403" i="3"/>
  <c r="AQ1404" i="3"/>
  <c r="AQ1405" i="3"/>
  <c r="AQ1406" i="3"/>
  <c r="AQ1407" i="3"/>
  <c r="AQ1408" i="3"/>
  <c r="AQ1409" i="3"/>
  <c r="AQ1410" i="3"/>
  <c r="AQ1411" i="3"/>
  <c r="AQ1412" i="3"/>
  <c r="AQ1413" i="3"/>
  <c r="AQ1414" i="3"/>
  <c r="AQ1415" i="3"/>
  <c r="AQ1416" i="3"/>
  <c r="AQ1417" i="3"/>
  <c r="AQ1418" i="3"/>
  <c r="AQ1419" i="3"/>
  <c r="AQ1420" i="3"/>
  <c r="AQ1421" i="3"/>
  <c r="AQ1422" i="3"/>
  <c r="AQ1423" i="3"/>
  <c r="AQ1424" i="3"/>
  <c r="AQ1425" i="3"/>
  <c r="AQ1426" i="3"/>
  <c r="AQ1427" i="3"/>
  <c r="AQ1428" i="3"/>
  <c r="AQ1429" i="3"/>
  <c r="AQ1430" i="3"/>
  <c r="AQ1431" i="3"/>
  <c r="AQ1432" i="3"/>
  <c r="AQ1433" i="3"/>
  <c r="AQ1434" i="3"/>
  <c r="AQ1435" i="3"/>
  <c r="AQ1436" i="3"/>
  <c r="AQ1437" i="3"/>
  <c r="AQ1438" i="3"/>
  <c r="AQ1439" i="3"/>
  <c r="AQ1440" i="3"/>
  <c r="AQ1441" i="3"/>
  <c r="AQ1442" i="3"/>
  <c r="AQ1443" i="3"/>
  <c r="AQ1444" i="3"/>
  <c r="AQ1445" i="3"/>
  <c r="AQ1446" i="3"/>
  <c r="AQ1447" i="3"/>
  <c r="AQ1448" i="3"/>
  <c r="AQ1449" i="3"/>
  <c r="AQ1450" i="3"/>
  <c r="AQ1451" i="3"/>
  <c r="AQ1452" i="3"/>
  <c r="AQ1453" i="3"/>
  <c r="AQ1454" i="3"/>
  <c r="AQ1455" i="3"/>
  <c r="AQ1456" i="3"/>
  <c r="AQ1457" i="3"/>
  <c r="AQ1458" i="3"/>
  <c r="AQ1459" i="3"/>
  <c r="AQ1460" i="3"/>
  <c r="AQ1461" i="3"/>
  <c r="AQ1462" i="3"/>
  <c r="AQ1463" i="3"/>
  <c r="AQ1464" i="3"/>
  <c r="AQ1465" i="3"/>
  <c r="AQ1466" i="3"/>
  <c r="AQ1467" i="3"/>
  <c r="AQ1468" i="3"/>
  <c r="AQ1469" i="3"/>
  <c r="AQ1470" i="3"/>
  <c r="AQ1471" i="3"/>
  <c r="AQ1472" i="3"/>
  <c r="AQ1473" i="3"/>
  <c r="AQ1474" i="3"/>
  <c r="AQ1475" i="3"/>
  <c r="AQ1476" i="3"/>
  <c r="AQ1477" i="3"/>
  <c r="AQ1478" i="3"/>
  <c r="AQ1479" i="3"/>
  <c r="AQ1480" i="3"/>
  <c r="AQ1481" i="3"/>
  <c r="AQ1482" i="3"/>
  <c r="AQ1483" i="3"/>
  <c r="AQ1484" i="3"/>
  <c r="AQ1485" i="3"/>
  <c r="AQ1486" i="3"/>
  <c r="AQ1487" i="3"/>
  <c r="AQ1488" i="3"/>
  <c r="AQ1489" i="3"/>
  <c r="AQ1490" i="3"/>
  <c r="AQ1491" i="3"/>
  <c r="AQ1492" i="3"/>
  <c r="AQ1493" i="3"/>
  <c r="AQ1494" i="3"/>
  <c r="AQ1495" i="3"/>
  <c r="AQ1496" i="3"/>
  <c r="AQ1497" i="3"/>
  <c r="AQ1498" i="3"/>
  <c r="AQ1499" i="3"/>
  <c r="AQ1500" i="3"/>
  <c r="AQ1501" i="3"/>
  <c r="AQ1502" i="3"/>
  <c r="AQ1503" i="3"/>
  <c r="AQ1504" i="3"/>
  <c r="AQ1505" i="3"/>
  <c r="AQ1506" i="3"/>
  <c r="AQ1507" i="3"/>
  <c r="AQ1508" i="3"/>
  <c r="AQ1509" i="3"/>
  <c r="AQ1510" i="3"/>
  <c r="AQ1511" i="3"/>
  <c r="AQ1512" i="3"/>
  <c r="AQ1513" i="3"/>
  <c r="AQ1514" i="3"/>
  <c r="AQ1515" i="3"/>
  <c r="AQ1516" i="3"/>
  <c r="AQ1517" i="3"/>
  <c r="AQ1518" i="3"/>
  <c r="AQ1519" i="3"/>
  <c r="AQ1520" i="3"/>
  <c r="AQ1521" i="3"/>
  <c r="AQ1522" i="3"/>
  <c r="AQ1523" i="3"/>
  <c r="AQ1524" i="3"/>
  <c r="AQ1525" i="3"/>
  <c r="AQ1526" i="3"/>
  <c r="AQ1527" i="3"/>
  <c r="AQ1528" i="3"/>
  <c r="AQ1529" i="3"/>
  <c r="AQ1530" i="3"/>
  <c r="AQ1531" i="3"/>
  <c r="AQ1532" i="3"/>
  <c r="AQ1533" i="3"/>
  <c r="AQ1534" i="3"/>
  <c r="AQ1535" i="3"/>
  <c r="AQ1536" i="3"/>
  <c r="AQ1537" i="3"/>
  <c r="AQ1538" i="3"/>
  <c r="AQ1539" i="3"/>
  <c r="AQ1540" i="3"/>
  <c r="AQ1541" i="3"/>
  <c r="AQ1542" i="3"/>
  <c r="AQ1543" i="3"/>
  <c r="AQ1544" i="3"/>
  <c r="AQ1545" i="3"/>
  <c r="AQ1546" i="3"/>
  <c r="AQ1547" i="3"/>
  <c r="AQ1548" i="3"/>
  <c r="AQ1549" i="3"/>
  <c r="AQ1550" i="3"/>
  <c r="AQ1551" i="3"/>
  <c r="AQ1552" i="3"/>
  <c r="AQ1553" i="3"/>
  <c r="AQ1554" i="3"/>
  <c r="AQ1555" i="3"/>
  <c r="AQ1556" i="3"/>
  <c r="AQ1557" i="3"/>
  <c r="AQ1558" i="3"/>
  <c r="AQ1559" i="3"/>
  <c r="AQ1560" i="3"/>
  <c r="AQ1561" i="3"/>
  <c r="AQ1562" i="3"/>
  <c r="AQ1563" i="3"/>
  <c r="AQ1564" i="3"/>
  <c r="AQ1565" i="3"/>
  <c r="AQ1566" i="3"/>
  <c r="AQ1567" i="3"/>
  <c r="AQ1568" i="3"/>
  <c r="AQ1569" i="3"/>
  <c r="AQ1570" i="3"/>
  <c r="AQ1571" i="3"/>
  <c r="AQ1572" i="3"/>
  <c r="AQ1573" i="3"/>
  <c r="AQ1574" i="3"/>
  <c r="AQ1575" i="3"/>
  <c r="AQ1576" i="3"/>
  <c r="AQ1577" i="3"/>
  <c r="AQ1578" i="3"/>
  <c r="AQ1579" i="3"/>
  <c r="AQ1580" i="3"/>
  <c r="AQ1581" i="3"/>
  <c r="AQ1582" i="3"/>
  <c r="AQ1583" i="3"/>
  <c r="AQ1584" i="3"/>
  <c r="AQ1585" i="3"/>
  <c r="AQ1586" i="3"/>
  <c r="AQ1587" i="3"/>
  <c r="AQ1588" i="3"/>
  <c r="AQ1589" i="3"/>
  <c r="AQ1590" i="3"/>
  <c r="AQ1591" i="3"/>
  <c r="AQ1592" i="3"/>
  <c r="AQ1593" i="3"/>
  <c r="AQ1594" i="3"/>
  <c r="AQ1595" i="3"/>
  <c r="AQ1596" i="3"/>
  <c r="AQ1597" i="3"/>
  <c r="AQ1598" i="3"/>
  <c r="AQ1599" i="3"/>
  <c r="AQ1600" i="3"/>
  <c r="AQ1601" i="3"/>
  <c r="AQ1602" i="3"/>
  <c r="AQ1603" i="3"/>
  <c r="AQ1604" i="3"/>
  <c r="AQ1605" i="3"/>
  <c r="AQ1606" i="3"/>
  <c r="AQ1607" i="3"/>
  <c r="AQ1608" i="3"/>
  <c r="AQ1609" i="3"/>
  <c r="AQ1610" i="3"/>
  <c r="AQ1611" i="3"/>
  <c r="AQ1612" i="3"/>
  <c r="AQ1613" i="3"/>
  <c r="AQ1614" i="3"/>
  <c r="AQ1615" i="3"/>
  <c r="AQ1616" i="3"/>
  <c r="AQ1617" i="3"/>
  <c r="AQ1618" i="3"/>
  <c r="AQ1619" i="3"/>
  <c r="AQ1620" i="3"/>
  <c r="AQ1621" i="3"/>
  <c r="AQ1622" i="3"/>
  <c r="AQ1623" i="3"/>
  <c r="AQ1624" i="3"/>
  <c r="AQ1625" i="3"/>
  <c r="AQ1626" i="3"/>
  <c r="AQ1627" i="3"/>
  <c r="AQ1628" i="3"/>
  <c r="AQ1629" i="3"/>
  <c r="AQ1630" i="3"/>
  <c r="AQ1631" i="3"/>
  <c r="AQ1632" i="3"/>
  <c r="AQ1633" i="3"/>
  <c r="AQ1634" i="3"/>
  <c r="AQ1635" i="3"/>
  <c r="AQ1636" i="3"/>
  <c r="AQ1637" i="3"/>
  <c r="AQ1638" i="3"/>
  <c r="AQ1639" i="3"/>
  <c r="AQ1640" i="3"/>
  <c r="AQ1641" i="3"/>
  <c r="AQ1642" i="3"/>
  <c r="AQ1643" i="3"/>
  <c r="AQ1644" i="3"/>
  <c r="AQ1645" i="3"/>
  <c r="AQ1646" i="3"/>
  <c r="AQ1647" i="3"/>
  <c r="AQ1648" i="3"/>
  <c r="AQ1649" i="3"/>
  <c r="AQ1650" i="3"/>
  <c r="AQ1651" i="3"/>
  <c r="AQ1652" i="3"/>
  <c r="AQ1653" i="3"/>
  <c r="AQ1654" i="3"/>
  <c r="AQ1655" i="3"/>
  <c r="AQ1656" i="3"/>
  <c r="AQ1657" i="3"/>
  <c r="AQ1658" i="3"/>
  <c r="AQ1659" i="3"/>
  <c r="AQ1660" i="3"/>
  <c r="AQ1661" i="3"/>
  <c r="AQ1662" i="3"/>
  <c r="AQ1663" i="3"/>
  <c r="AQ1664" i="3"/>
  <c r="AQ1665" i="3"/>
  <c r="AQ1666" i="3"/>
  <c r="AQ1667" i="3"/>
  <c r="AQ1668" i="3"/>
  <c r="AQ1669" i="3"/>
  <c r="AQ1670" i="3"/>
  <c r="AQ1671" i="3"/>
  <c r="AQ1672" i="3"/>
  <c r="AQ1673" i="3"/>
  <c r="AQ1674" i="3"/>
  <c r="AQ1675" i="3"/>
  <c r="AQ1676" i="3"/>
  <c r="AQ1677" i="3"/>
  <c r="AQ1678" i="3"/>
  <c r="AQ1679" i="3"/>
  <c r="AQ1680" i="3"/>
  <c r="AQ1681" i="3"/>
  <c r="AQ1682" i="3"/>
  <c r="AQ1683" i="3"/>
  <c r="AQ1684" i="3"/>
  <c r="AQ1685" i="3"/>
  <c r="AQ1686" i="3"/>
  <c r="AQ1687" i="3"/>
  <c r="AQ1688" i="3"/>
  <c r="AQ1689" i="3"/>
  <c r="AQ1690" i="3"/>
  <c r="AQ1691" i="3"/>
  <c r="AQ1692" i="3"/>
  <c r="AQ1693" i="3"/>
  <c r="AQ1694" i="3"/>
  <c r="AQ1695" i="3"/>
  <c r="AQ1696" i="3"/>
  <c r="AQ1697" i="3"/>
  <c r="AQ1698" i="3"/>
  <c r="AQ1699" i="3"/>
  <c r="AQ1700" i="3"/>
  <c r="AQ1701" i="3"/>
  <c r="AQ1702" i="3"/>
  <c r="AQ1703" i="3"/>
  <c r="AQ1704" i="3"/>
  <c r="AQ1705" i="3"/>
  <c r="AQ1706" i="3"/>
  <c r="AQ1707" i="3"/>
  <c r="AQ1708" i="3"/>
  <c r="AQ1709" i="3"/>
  <c r="AQ1710" i="3"/>
  <c r="AQ1711" i="3"/>
  <c r="AQ1712" i="3"/>
  <c r="AQ1713" i="3"/>
  <c r="AQ1714" i="3"/>
  <c r="AQ1715" i="3"/>
  <c r="AQ1716" i="3"/>
  <c r="AQ1717" i="3"/>
  <c r="AQ1718" i="3"/>
  <c r="AQ1719" i="3"/>
  <c r="AQ1720" i="3"/>
  <c r="AQ1721" i="3"/>
  <c r="AQ1722" i="3"/>
  <c r="AQ1723" i="3"/>
  <c r="AQ1724" i="3"/>
  <c r="AQ1725" i="3"/>
  <c r="AQ1726" i="3"/>
  <c r="AQ1727" i="3"/>
  <c r="AQ1728" i="3"/>
  <c r="AQ1729" i="3"/>
  <c r="AQ1730" i="3"/>
  <c r="AQ1731" i="3"/>
  <c r="AQ1732" i="3"/>
  <c r="AQ1733" i="3"/>
  <c r="AQ1734" i="3"/>
  <c r="AQ1735" i="3"/>
  <c r="AQ1736" i="3"/>
  <c r="AQ1737" i="3"/>
  <c r="AQ1738" i="3"/>
  <c r="AQ1739" i="3"/>
  <c r="AQ1740" i="3"/>
  <c r="AQ1741" i="3"/>
  <c r="AQ1742" i="3"/>
  <c r="AQ1743" i="3"/>
  <c r="AQ1744" i="3"/>
  <c r="AQ1745" i="3"/>
  <c r="AQ1746" i="3"/>
  <c r="AQ1747" i="3"/>
  <c r="AQ1748" i="3"/>
  <c r="AQ1749" i="3"/>
  <c r="AQ1750" i="3"/>
  <c r="AQ1751" i="3"/>
  <c r="AQ1752" i="3"/>
  <c r="AQ1753" i="3"/>
  <c r="AQ1754" i="3"/>
  <c r="AQ1755" i="3"/>
  <c r="AQ1756" i="3"/>
  <c r="AQ1757" i="3"/>
  <c r="AQ1758" i="3"/>
  <c r="AQ1759" i="3"/>
  <c r="AQ1760" i="3"/>
  <c r="AQ1761" i="3"/>
  <c r="AQ1762" i="3"/>
  <c r="AQ1763" i="3"/>
  <c r="AQ1764" i="3"/>
  <c r="AQ1765" i="3"/>
  <c r="AQ1766" i="3"/>
  <c r="AQ1767" i="3"/>
  <c r="AQ1768" i="3"/>
  <c r="AQ1769" i="3"/>
  <c r="AQ1770" i="3"/>
  <c r="AQ1771" i="3"/>
  <c r="AQ1772" i="3"/>
  <c r="AQ1773" i="3"/>
  <c r="AQ1774" i="3"/>
  <c r="AQ1775" i="3"/>
  <c r="AQ1776" i="3"/>
  <c r="AQ1777" i="3"/>
  <c r="AQ1778" i="3"/>
  <c r="AQ1779" i="3"/>
  <c r="AQ1780" i="3"/>
  <c r="AQ1781" i="3"/>
  <c r="AQ1782" i="3"/>
  <c r="AQ1783" i="3"/>
  <c r="AQ1784" i="3"/>
  <c r="AQ1785" i="3"/>
  <c r="AQ1786" i="3"/>
  <c r="AQ1787" i="3"/>
  <c r="AQ1788" i="3"/>
  <c r="AQ1789" i="3"/>
  <c r="AQ1790" i="3"/>
  <c r="AQ1791" i="3"/>
  <c r="AQ1792" i="3"/>
  <c r="AQ1793" i="3"/>
  <c r="AQ1794" i="3"/>
  <c r="AQ1795" i="3"/>
  <c r="AQ1796" i="3"/>
  <c r="AQ1797" i="3"/>
  <c r="AQ1798" i="3"/>
  <c r="AQ1799" i="3"/>
  <c r="AQ1800" i="3"/>
  <c r="AQ1801" i="3"/>
  <c r="AQ1802" i="3"/>
  <c r="AQ1803" i="3"/>
  <c r="AQ1804" i="3"/>
  <c r="AQ1805" i="3"/>
  <c r="AQ1806" i="3"/>
  <c r="AQ1807" i="3"/>
  <c r="AQ1808" i="3"/>
  <c r="AQ1809" i="3"/>
  <c r="AQ1810" i="3"/>
  <c r="AQ1811" i="3"/>
  <c r="AQ1812" i="3"/>
  <c r="AQ1813" i="3"/>
  <c r="AQ1814" i="3"/>
  <c r="AQ1815" i="3"/>
  <c r="AQ1816" i="3"/>
  <c r="AQ1817" i="3"/>
  <c r="AQ1818" i="3"/>
  <c r="AQ1819" i="3"/>
  <c r="AQ1820" i="3"/>
  <c r="AQ1821" i="3"/>
  <c r="AQ1822" i="3"/>
  <c r="AQ1823" i="3"/>
  <c r="AQ1824" i="3"/>
  <c r="AQ1825" i="3"/>
  <c r="AQ1826" i="3"/>
  <c r="AQ1827" i="3"/>
  <c r="AQ1828" i="3"/>
  <c r="AQ1829" i="3"/>
  <c r="AQ1830" i="3"/>
  <c r="AQ1831" i="3"/>
  <c r="AQ1832" i="3"/>
  <c r="AQ1833" i="3"/>
  <c r="AQ1834" i="3"/>
  <c r="AQ1835" i="3"/>
  <c r="AQ1836" i="3"/>
  <c r="AQ1837" i="3"/>
  <c r="AQ1838" i="3"/>
  <c r="AQ1839" i="3"/>
  <c r="AQ1840" i="3"/>
  <c r="AQ1841" i="3"/>
  <c r="AQ1842" i="3"/>
  <c r="AQ1843" i="3"/>
  <c r="AQ1844" i="3"/>
  <c r="AQ1845" i="3"/>
  <c r="AQ1846" i="3"/>
  <c r="AQ1847" i="3"/>
  <c r="AQ1848" i="3"/>
  <c r="AQ1849" i="3"/>
  <c r="AQ1850" i="3"/>
  <c r="AQ1851" i="3"/>
  <c r="AQ1852" i="3"/>
  <c r="AQ1853" i="3"/>
  <c r="AQ1854" i="3"/>
  <c r="AQ1855" i="3"/>
  <c r="AQ1856" i="3"/>
  <c r="AQ1857" i="3"/>
  <c r="AQ1858" i="3"/>
  <c r="AQ1859" i="3"/>
  <c r="AQ1860" i="3"/>
  <c r="AQ1861" i="3"/>
  <c r="AQ1862" i="3"/>
  <c r="AQ1863" i="3"/>
  <c r="AQ1864" i="3"/>
  <c r="AQ1865" i="3"/>
  <c r="AQ1866" i="3"/>
  <c r="AQ1867" i="3"/>
  <c r="AQ1868" i="3"/>
  <c r="AQ1869" i="3"/>
  <c r="AQ1870" i="3"/>
  <c r="AQ1871" i="3"/>
  <c r="AQ1872" i="3"/>
  <c r="AQ1873" i="3"/>
  <c r="AQ1874" i="3"/>
  <c r="AQ1875" i="3"/>
  <c r="AQ1876" i="3"/>
  <c r="AQ1877" i="3"/>
  <c r="AQ1878" i="3"/>
  <c r="AQ1879" i="3"/>
  <c r="AQ1880" i="3"/>
  <c r="AQ1881" i="3"/>
  <c r="AQ1882" i="3"/>
  <c r="AQ1883" i="3"/>
  <c r="AQ1884" i="3"/>
  <c r="AQ1885" i="3"/>
  <c r="AQ1886" i="3"/>
  <c r="AQ1887" i="3"/>
  <c r="AQ1888" i="3"/>
  <c r="AQ1889" i="3"/>
  <c r="AQ1890" i="3"/>
  <c r="AQ1891" i="3"/>
  <c r="AQ1892" i="3"/>
  <c r="AQ1893" i="3"/>
  <c r="AQ1894" i="3"/>
  <c r="AQ1895" i="3"/>
  <c r="AQ1896" i="3"/>
  <c r="AQ1897" i="3"/>
  <c r="AQ1898" i="3"/>
  <c r="AQ1899" i="3"/>
  <c r="AQ1900" i="3"/>
  <c r="AQ1901" i="3"/>
  <c r="AQ1902" i="3"/>
  <c r="AQ1903" i="3"/>
  <c r="AQ1904" i="3"/>
  <c r="AQ1905" i="3"/>
  <c r="AQ1906" i="3"/>
  <c r="AQ1907" i="3"/>
  <c r="AQ1908" i="3"/>
  <c r="AQ1909" i="3"/>
  <c r="AQ1910" i="3"/>
  <c r="AQ1911" i="3"/>
  <c r="AQ1912" i="3"/>
  <c r="AQ1913" i="3"/>
  <c r="AQ1914" i="3"/>
  <c r="AQ1915" i="3"/>
  <c r="AQ1916" i="3"/>
  <c r="AQ1917" i="3"/>
  <c r="AQ1918" i="3"/>
  <c r="AQ1919" i="3"/>
  <c r="AQ1920" i="3"/>
  <c r="AQ1921" i="3"/>
  <c r="AQ1922" i="3"/>
  <c r="AQ1923" i="3"/>
  <c r="AQ1924" i="3"/>
  <c r="AQ1925" i="3"/>
  <c r="AQ1926" i="3"/>
  <c r="AQ1927" i="3"/>
  <c r="AQ1928" i="3"/>
  <c r="AQ1929" i="3"/>
  <c r="AQ1930" i="3"/>
  <c r="AQ1931" i="3"/>
  <c r="AQ1932" i="3"/>
  <c r="AQ1933" i="3"/>
  <c r="AQ1934" i="3"/>
  <c r="AQ1935" i="3"/>
  <c r="AQ1936" i="3"/>
  <c r="AQ1937" i="3"/>
  <c r="AQ1938" i="3"/>
  <c r="AQ1939" i="3"/>
  <c r="AQ1940" i="3"/>
  <c r="AQ1941" i="3"/>
  <c r="AQ1942" i="3"/>
  <c r="AQ1943" i="3"/>
  <c r="AQ1944" i="3"/>
  <c r="AQ1945" i="3"/>
  <c r="AQ1946" i="3"/>
  <c r="AQ1947" i="3"/>
  <c r="AQ1948" i="3"/>
  <c r="AQ1949" i="3"/>
  <c r="AQ1950" i="3"/>
  <c r="AQ1951" i="3"/>
  <c r="AQ1952" i="3"/>
  <c r="AQ1953" i="3"/>
  <c r="AQ1954" i="3"/>
  <c r="AQ1955" i="3"/>
  <c r="AQ1956" i="3"/>
  <c r="AQ1957" i="3"/>
  <c r="AQ1958" i="3"/>
  <c r="AQ1959" i="3"/>
  <c r="AQ1960" i="3"/>
  <c r="AQ1961" i="3"/>
  <c r="AQ1962" i="3"/>
  <c r="AQ1963" i="3"/>
  <c r="AQ1964" i="3"/>
  <c r="AQ1965" i="3"/>
  <c r="AQ1966" i="3"/>
  <c r="AQ1967" i="3"/>
  <c r="AQ1968" i="3"/>
  <c r="AQ1969" i="3"/>
  <c r="AQ1970" i="3"/>
  <c r="AQ1971" i="3"/>
  <c r="AQ1972" i="3"/>
  <c r="AQ1973" i="3"/>
  <c r="AQ1974" i="3"/>
  <c r="AQ1975" i="3"/>
  <c r="AQ1976" i="3"/>
  <c r="AQ1977" i="3"/>
  <c r="AQ1978" i="3"/>
  <c r="AQ1979" i="3"/>
  <c r="AQ1980" i="3"/>
  <c r="AQ1981" i="3"/>
  <c r="AQ1982" i="3"/>
  <c r="AQ1983" i="3"/>
  <c r="AQ1984" i="3"/>
  <c r="AQ1985" i="3"/>
  <c r="AQ1986" i="3"/>
  <c r="AQ1987" i="3"/>
  <c r="AQ1988" i="3"/>
  <c r="AQ1989" i="3"/>
  <c r="AQ1990" i="3"/>
  <c r="AQ1991" i="3"/>
  <c r="AQ1992" i="3"/>
  <c r="AQ1993" i="3"/>
  <c r="AQ1994" i="3"/>
  <c r="AQ1995" i="3"/>
  <c r="AQ1996" i="3"/>
  <c r="AQ1997" i="3"/>
  <c r="AQ1998" i="3"/>
  <c r="AQ1999" i="3"/>
  <c r="AQ2000" i="3"/>
  <c r="AQ2001" i="3"/>
  <c r="AQ2002" i="3"/>
  <c r="AQ2003" i="3"/>
  <c r="AQ2004" i="3"/>
  <c r="AQ2005" i="3"/>
  <c r="AQ2006" i="3"/>
  <c r="AQ2007" i="3"/>
  <c r="AQ2008" i="3"/>
  <c r="AQ2009" i="3"/>
  <c r="AQ2010" i="3"/>
  <c r="AQ2011" i="3"/>
  <c r="AQ2012" i="3"/>
  <c r="AQ2013" i="3"/>
  <c r="AQ2014" i="3"/>
  <c r="AQ2015" i="3"/>
  <c r="AQ2016" i="3"/>
  <c r="AQ2017" i="3"/>
  <c r="AQ2018" i="3"/>
  <c r="AQ2019" i="3"/>
  <c r="AQ2020" i="3"/>
  <c r="AQ2021" i="3"/>
  <c r="AQ2022" i="3"/>
  <c r="AQ2023" i="3"/>
  <c r="AQ2024" i="3"/>
  <c r="AQ2025" i="3"/>
  <c r="AQ2026" i="3"/>
  <c r="AQ2027" i="3"/>
  <c r="AQ2028" i="3"/>
  <c r="AQ2029" i="3"/>
  <c r="AQ2030" i="3"/>
  <c r="AQ2031" i="3"/>
  <c r="AQ2032" i="3"/>
  <c r="AQ2033" i="3"/>
  <c r="AQ2034" i="3"/>
  <c r="AQ2035" i="3"/>
  <c r="AQ2036" i="3"/>
  <c r="AQ2037" i="3"/>
  <c r="AQ2038" i="3"/>
  <c r="AQ2039" i="3"/>
  <c r="AQ2040" i="3"/>
  <c r="AQ2041" i="3"/>
  <c r="AQ2042" i="3"/>
  <c r="AQ2043" i="3"/>
  <c r="AQ2044" i="3"/>
  <c r="AQ2045" i="3"/>
  <c r="AQ2046" i="3"/>
  <c r="AQ2047" i="3"/>
  <c r="AQ2048" i="3"/>
  <c r="AQ2049" i="3"/>
  <c r="AQ2050" i="3"/>
  <c r="AQ2051" i="3"/>
  <c r="AQ2052" i="3"/>
  <c r="AQ2053" i="3"/>
  <c r="AQ2054" i="3"/>
  <c r="AQ2055" i="3"/>
  <c r="AQ2056" i="3"/>
  <c r="AQ2057" i="3"/>
  <c r="AQ2058" i="3"/>
  <c r="AQ2059" i="3"/>
  <c r="AQ2060" i="3"/>
  <c r="AQ2061" i="3"/>
  <c r="AQ2062" i="3"/>
  <c r="AQ2063" i="3"/>
  <c r="AQ2064" i="3"/>
  <c r="AQ2065" i="3"/>
  <c r="AQ2066" i="3"/>
  <c r="AQ2067" i="3"/>
  <c r="AQ2068" i="3"/>
  <c r="AQ2069" i="3"/>
  <c r="AQ2070" i="3"/>
  <c r="AQ2071" i="3"/>
  <c r="AQ2072" i="3"/>
  <c r="AQ2073" i="3"/>
  <c r="AQ2074" i="3"/>
  <c r="AQ2075" i="3"/>
  <c r="AQ2076" i="3"/>
  <c r="AQ2077" i="3"/>
  <c r="AQ2078" i="3"/>
  <c r="AQ2079" i="3"/>
  <c r="AQ2080" i="3"/>
  <c r="AQ2081" i="3"/>
  <c r="AQ2082" i="3"/>
  <c r="AQ2083" i="3"/>
  <c r="AQ2084" i="3"/>
  <c r="AQ2085" i="3"/>
  <c r="AQ2086" i="3"/>
  <c r="AQ2087" i="3"/>
  <c r="AQ2088" i="3"/>
  <c r="AQ2089" i="3"/>
  <c r="AQ2090" i="3"/>
  <c r="AQ2091" i="3"/>
  <c r="AQ2092" i="3"/>
  <c r="AQ2093" i="3"/>
  <c r="AQ2094" i="3"/>
  <c r="AQ2095" i="3"/>
  <c r="AQ2096" i="3"/>
  <c r="AQ2097" i="3"/>
  <c r="AQ2098" i="3"/>
  <c r="AQ2099" i="3"/>
  <c r="AQ2100" i="3"/>
  <c r="AQ2101" i="3"/>
  <c r="AQ2102" i="3"/>
  <c r="AQ2103" i="3"/>
  <c r="AQ2104" i="3"/>
  <c r="AQ2105" i="3"/>
  <c r="AQ2106" i="3"/>
  <c r="AQ2107" i="3"/>
  <c r="AQ2108" i="3"/>
  <c r="AQ2109" i="3"/>
  <c r="AQ2110" i="3"/>
  <c r="AQ2111" i="3"/>
  <c r="AQ2112" i="3"/>
  <c r="AQ2113" i="3"/>
  <c r="AQ2114" i="3"/>
  <c r="AQ2115" i="3"/>
  <c r="AQ2116" i="3"/>
  <c r="AQ2117" i="3"/>
  <c r="AQ2118" i="3"/>
  <c r="AQ2119" i="3"/>
  <c r="AQ2120" i="3"/>
  <c r="AQ2121" i="3"/>
  <c r="AQ2122" i="3"/>
  <c r="AQ2123" i="3"/>
  <c r="AQ2124" i="3"/>
  <c r="AQ2125" i="3"/>
  <c r="AQ2126" i="3"/>
  <c r="AQ2127" i="3"/>
  <c r="AQ2128" i="3"/>
  <c r="AQ2129" i="3"/>
  <c r="AQ2130" i="3"/>
  <c r="AQ2131" i="3"/>
  <c r="AQ2132" i="3"/>
  <c r="AQ2133" i="3"/>
  <c r="AQ2134" i="3"/>
  <c r="AQ2135" i="3"/>
  <c r="AQ2136" i="3"/>
  <c r="AQ2137" i="3"/>
  <c r="AQ2138" i="3"/>
  <c r="AQ2139" i="3"/>
  <c r="AQ2140" i="3"/>
  <c r="AQ2141" i="3"/>
  <c r="AQ2142" i="3"/>
  <c r="AQ2143" i="3"/>
  <c r="AQ2144" i="3"/>
  <c r="AQ2145" i="3"/>
  <c r="AQ2146" i="3"/>
  <c r="AQ2147" i="3"/>
  <c r="AQ2148" i="3"/>
  <c r="AQ2149" i="3"/>
  <c r="AQ2150" i="3"/>
  <c r="AQ2151" i="3"/>
  <c r="AQ2152" i="3"/>
  <c r="AQ2153" i="3"/>
  <c r="AQ2154" i="3"/>
  <c r="AQ2155" i="3"/>
  <c r="AQ2156" i="3"/>
  <c r="AQ2157" i="3"/>
  <c r="AQ2158" i="3"/>
  <c r="AQ2159" i="3"/>
  <c r="AQ2160" i="3"/>
  <c r="AQ2161" i="3"/>
  <c r="AQ2162" i="3"/>
  <c r="AQ2163" i="3"/>
  <c r="AQ2164" i="3"/>
  <c r="AQ2165" i="3"/>
  <c r="AQ2166" i="3"/>
  <c r="AQ2167" i="3"/>
  <c r="AQ2168" i="3"/>
  <c r="AQ2169" i="3"/>
  <c r="AQ2170" i="3"/>
  <c r="AQ2171" i="3"/>
  <c r="AQ2172" i="3"/>
  <c r="AQ2173" i="3"/>
  <c r="AQ2174" i="3"/>
  <c r="AQ2175" i="3"/>
  <c r="AQ2176" i="3"/>
  <c r="AQ2177" i="3"/>
  <c r="AQ2178" i="3"/>
  <c r="AQ2179" i="3"/>
  <c r="AQ2180" i="3"/>
  <c r="AQ2181" i="3"/>
  <c r="AQ2182" i="3"/>
  <c r="AQ2183" i="3"/>
  <c r="AQ2184" i="3"/>
  <c r="AQ2185" i="3"/>
  <c r="AQ2186" i="3"/>
  <c r="AQ2187" i="3"/>
  <c r="AQ2188" i="3"/>
  <c r="AQ2189" i="3"/>
  <c r="AQ2190" i="3"/>
  <c r="AQ2191" i="3"/>
  <c r="AQ2192" i="3"/>
  <c r="AQ2193" i="3"/>
  <c r="AQ2194" i="3"/>
  <c r="AQ2195" i="3"/>
  <c r="AQ2196" i="3"/>
  <c r="AQ2197" i="3"/>
  <c r="AQ2198" i="3"/>
  <c r="AQ2199" i="3"/>
  <c r="AQ2200" i="3"/>
  <c r="AQ2201" i="3"/>
  <c r="AQ2202" i="3"/>
  <c r="AQ2203" i="3"/>
  <c r="AQ2204" i="3"/>
  <c r="AQ2205" i="3"/>
  <c r="AQ2206" i="3"/>
  <c r="AQ2207" i="3"/>
  <c r="AQ2208" i="3"/>
  <c r="AQ2209" i="3"/>
  <c r="AQ2210" i="3"/>
  <c r="AQ2211" i="3"/>
  <c r="AQ2212" i="3"/>
  <c r="AQ2213" i="3"/>
  <c r="AQ2214" i="3"/>
  <c r="AQ2215" i="3"/>
  <c r="AQ2216" i="3"/>
  <c r="AQ2217" i="3"/>
  <c r="AQ2218" i="3"/>
  <c r="AQ2219" i="3"/>
  <c r="AQ2220" i="3"/>
  <c r="AQ2221" i="3"/>
  <c r="AQ2222" i="3"/>
  <c r="AQ2223" i="3"/>
  <c r="AQ2224" i="3"/>
  <c r="AQ2225" i="3"/>
  <c r="AQ2226" i="3"/>
  <c r="AQ2227" i="3"/>
  <c r="AQ2228" i="3"/>
  <c r="AQ2229" i="3"/>
  <c r="AQ2230" i="3"/>
  <c r="AQ2231" i="3"/>
  <c r="AQ2232" i="3"/>
  <c r="AQ2233" i="3"/>
  <c r="AQ2234" i="3"/>
  <c r="AQ2235" i="3"/>
  <c r="AQ2236" i="3"/>
  <c r="AQ2237" i="3"/>
  <c r="AQ2238" i="3"/>
  <c r="AQ2239" i="3"/>
  <c r="AQ2240" i="3"/>
  <c r="AQ2241" i="3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889" i="3"/>
  <c r="AP890" i="3"/>
  <c r="AP891" i="3"/>
  <c r="AP892" i="3"/>
  <c r="AP893" i="3"/>
  <c r="AP894" i="3"/>
  <c r="AP895" i="3"/>
  <c r="AP896" i="3"/>
  <c r="AP897" i="3"/>
  <c r="AP898" i="3"/>
  <c r="AP899" i="3"/>
  <c r="AP900" i="3"/>
  <c r="AP901" i="3"/>
  <c r="AP902" i="3"/>
  <c r="AP903" i="3"/>
  <c r="AP904" i="3"/>
  <c r="AP905" i="3"/>
  <c r="AP906" i="3"/>
  <c r="AP907" i="3"/>
  <c r="AP908" i="3"/>
  <c r="AP909" i="3"/>
  <c r="AP910" i="3"/>
  <c r="AP911" i="3"/>
  <c r="AP912" i="3"/>
  <c r="AP913" i="3"/>
  <c r="AP914" i="3"/>
  <c r="AP915" i="3"/>
  <c r="AP916" i="3"/>
  <c r="AP917" i="3"/>
  <c r="AP918" i="3"/>
  <c r="AP919" i="3"/>
  <c r="AP920" i="3"/>
  <c r="AP921" i="3"/>
  <c r="AP922" i="3"/>
  <c r="AP923" i="3"/>
  <c r="AP924" i="3"/>
  <c r="AP925" i="3"/>
  <c r="AP926" i="3"/>
  <c r="AP927" i="3"/>
  <c r="AP928" i="3"/>
  <c r="AP929" i="3"/>
  <c r="AP930" i="3"/>
  <c r="AP931" i="3"/>
  <c r="AP932" i="3"/>
  <c r="AP933" i="3"/>
  <c r="AP934" i="3"/>
  <c r="AP935" i="3"/>
  <c r="AP936" i="3"/>
  <c r="AP937" i="3"/>
  <c r="AP938" i="3"/>
  <c r="AP939" i="3"/>
  <c r="AP940" i="3"/>
  <c r="AP941" i="3"/>
  <c r="AP942" i="3"/>
  <c r="AP943" i="3"/>
  <c r="AP944" i="3"/>
  <c r="AP945" i="3"/>
  <c r="AP946" i="3"/>
  <c r="AP947" i="3"/>
  <c r="AP948" i="3"/>
  <c r="AP949" i="3"/>
  <c r="AP950" i="3"/>
  <c r="AP951" i="3"/>
  <c r="AP952" i="3"/>
  <c r="AP953" i="3"/>
  <c r="AP954" i="3"/>
  <c r="AP955" i="3"/>
  <c r="AP956" i="3"/>
  <c r="AP957" i="3"/>
  <c r="AP958" i="3"/>
  <c r="AP959" i="3"/>
  <c r="AP960" i="3"/>
  <c r="AP961" i="3"/>
  <c r="AP962" i="3"/>
  <c r="AP963" i="3"/>
  <c r="AP964" i="3"/>
  <c r="AP965" i="3"/>
  <c r="AP966" i="3"/>
  <c r="AP967" i="3"/>
  <c r="AP968" i="3"/>
  <c r="AP969" i="3"/>
  <c r="AP970" i="3"/>
  <c r="AP971" i="3"/>
  <c r="AP972" i="3"/>
  <c r="AP973" i="3"/>
  <c r="AP974" i="3"/>
  <c r="AP975" i="3"/>
  <c r="AP976" i="3"/>
  <c r="AP977" i="3"/>
  <c r="AP978" i="3"/>
  <c r="AP979" i="3"/>
  <c r="AP980" i="3"/>
  <c r="AP981" i="3"/>
  <c r="AP982" i="3"/>
  <c r="AP983" i="3"/>
  <c r="AP984" i="3"/>
  <c r="AP985" i="3"/>
  <c r="AP986" i="3"/>
  <c r="AP987" i="3"/>
  <c r="AP988" i="3"/>
  <c r="AP989" i="3"/>
  <c r="AP990" i="3"/>
  <c r="AP991" i="3"/>
  <c r="AP992" i="3"/>
  <c r="AP993" i="3"/>
  <c r="AP994" i="3"/>
  <c r="AP995" i="3"/>
  <c r="AP996" i="3"/>
  <c r="AP997" i="3"/>
  <c r="AP998" i="3"/>
  <c r="AP999" i="3"/>
  <c r="AP1000" i="3"/>
  <c r="AP1001" i="3"/>
  <c r="AP1002" i="3"/>
  <c r="AP1003" i="3"/>
  <c r="AP1004" i="3"/>
  <c r="AP1005" i="3"/>
  <c r="AP1006" i="3"/>
  <c r="AP1007" i="3"/>
  <c r="AP1008" i="3"/>
  <c r="AP1009" i="3"/>
  <c r="AP1010" i="3"/>
  <c r="AP1011" i="3"/>
  <c r="AP1012" i="3"/>
  <c r="AP1013" i="3"/>
  <c r="AP1014" i="3"/>
  <c r="AP1015" i="3"/>
  <c r="AP1016" i="3"/>
  <c r="AP1017" i="3"/>
  <c r="AP1018" i="3"/>
  <c r="AP1019" i="3"/>
  <c r="AP1020" i="3"/>
  <c r="AP1021" i="3"/>
  <c r="AP1022" i="3"/>
  <c r="AP1023" i="3"/>
  <c r="AP1024" i="3"/>
  <c r="AP1025" i="3"/>
  <c r="AP1026" i="3"/>
  <c r="AP1027" i="3"/>
  <c r="AP1028" i="3"/>
  <c r="AP1029" i="3"/>
  <c r="AP1030" i="3"/>
  <c r="AP1031" i="3"/>
  <c r="AP1032" i="3"/>
  <c r="AP1033" i="3"/>
  <c r="AP1034" i="3"/>
  <c r="AP1035" i="3"/>
  <c r="AP1036" i="3"/>
  <c r="AP1037" i="3"/>
  <c r="AP1038" i="3"/>
  <c r="AP1039" i="3"/>
  <c r="AP1040" i="3"/>
  <c r="AP1041" i="3"/>
  <c r="AP1042" i="3"/>
  <c r="AP1043" i="3"/>
  <c r="AP1044" i="3"/>
  <c r="AP1045" i="3"/>
  <c r="AP1046" i="3"/>
  <c r="AP1047" i="3"/>
  <c r="AP1048" i="3"/>
  <c r="AP1049" i="3"/>
  <c r="AP1050" i="3"/>
  <c r="AP1051" i="3"/>
  <c r="AP1052" i="3"/>
  <c r="AP1053" i="3"/>
  <c r="AP1054" i="3"/>
  <c r="AP1055" i="3"/>
  <c r="AP1056" i="3"/>
  <c r="AP1057" i="3"/>
  <c r="AP1058" i="3"/>
  <c r="AP1059" i="3"/>
  <c r="AP1060" i="3"/>
  <c r="AP1061" i="3"/>
  <c r="AP1062" i="3"/>
  <c r="AP1063" i="3"/>
  <c r="AP1064" i="3"/>
  <c r="AP1065" i="3"/>
  <c r="AP1066" i="3"/>
  <c r="AP1067" i="3"/>
  <c r="AP1068" i="3"/>
  <c r="AP1069" i="3"/>
  <c r="AP1070" i="3"/>
  <c r="AP1071" i="3"/>
  <c r="AP1072" i="3"/>
  <c r="AP1073" i="3"/>
  <c r="AP1074" i="3"/>
  <c r="AP1075" i="3"/>
  <c r="AP1076" i="3"/>
  <c r="AP1077" i="3"/>
  <c r="AP1078" i="3"/>
  <c r="AP1079" i="3"/>
  <c r="AP1080" i="3"/>
  <c r="AP1081" i="3"/>
  <c r="AP1082" i="3"/>
  <c r="AP1083" i="3"/>
  <c r="AP1084" i="3"/>
  <c r="AP1085" i="3"/>
  <c r="AP1086" i="3"/>
  <c r="AP1087" i="3"/>
  <c r="AP1088" i="3"/>
  <c r="AP1089" i="3"/>
  <c r="AP1090" i="3"/>
  <c r="AP1091" i="3"/>
  <c r="AP1092" i="3"/>
  <c r="AP1093" i="3"/>
  <c r="AP1094" i="3"/>
  <c r="AP1095" i="3"/>
  <c r="AP1096" i="3"/>
  <c r="AP1097" i="3"/>
  <c r="AP1098" i="3"/>
  <c r="AP1099" i="3"/>
  <c r="AP1100" i="3"/>
  <c r="AP1101" i="3"/>
  <c r="AP1102" i="3"/>
  <c r="AP1103" i="3"/>
  <c r="AP1104" i="3"/>
  <c r="AP1105" i="3"/>
  <c r="AP1106" i="3"/>
  <c r="AP1107" i="3"/>
  <c r="AP1108" i="3"/>
  <c r="AP1109" i="3"/>
  <c r="AP1110" i="3"/>
  <c r="AP1111" i="3"/>
  <c r="AP1112" i="3"/>
  <c r="AP1113" i="3"/>
  <c r="AP1114" i="3"/>
  <c r="AP1115" i="3"/>
  <c r="AP1116" i="3"/>
  <c r="AP1117" i="3"/>
  <c r="AP1118" i="3"/>
  <c r="AP1119" i="3"/>
  <c r="AP1120" i="3"/>
  <c r="AP1121" i="3"/>
  <c r="AP1122" i="3"/>
  <c r="AP1123" i="3"/>
  <c r="AP1124" i="3"/>
  <c r="AP1125" i="3"/>
  <c r="AP1126" i="3"/>
  <c r="AP1127" i="3"/>
  <c r="AP1128" i="3"/>
  <c r="AP1129" i="3"/>
  <c r="AP1130" i="3"/>
  <c r="AP1131" i="3"/>
  <c r="AP1132" i="3"/>
  <c r="AP1133" i="3"/>
  <c r="AP1134" i="3"/>
  <c r="AP1135" i="3"/>
  <c r="AP1136" i="3"/>
  <c r="AP1137" i="3"/>
  <c r="AP1138" i="3"/>
  <c r="AP1139" i="3"/>
  <c r="AP1140" i="3"/>
  <c r="AP1141" i="3"/>
  <c r="AP1142" i="3"/>
  <c r="AP1143" i="3"/>
  <c r="AP1144" i="3"/>
  <c r="AP1145" i="3"/>
  <c r="AP1146" i="3"/>
  <c r="AP1147" i="3"/>
  <c r="AP1148" i="3"/>
  <c r="AP1149" i="3"/>
  <c r="AP1150" i="3"/>
  <c r="AP1151" i="3"/>
  <c r="AP1152" i="3"/>
  <c r="AP1153" i="3"/>
  <c r="AP1154" i="3"/>
  <c r="AP1155" i="3"/>
  <c r="AP1156" i="3"/>
  <c r="AP1157" i="3"/>
  <c r="AP1158" i="3"/>
  <c r="AP1159" i="3"/>
  <c r="AP1160" i="3"/>
  <c r="AP1161" i="3"/>
  <c r="AP1162" i="3"/>
  <c r="AP1163" i="3"/>
  <c r="AP1164" i="3"/>
  <c r="AP1165" i="3"/>
  <c r="AP1166" i="3"/>
  <c r="AP1167" i="3"/>
  <c r="AP1168" i="3"/>
  <c r="AP1169" i="3"/>
  <c r="AP1170" i="3"/>
  <c r="AP1171" i="3"/>
  <c r="AP1172" i="3"/>
  <c r="AP1173" i="3"/>
  <c r="AP1174" i="3"/>
  <c r="AP1175" i="3"/>
  <c r="AP1176" i="3"/>
  <c r="AP1177" i="3"/>
  <c r="AP1178" i="3"/>
  <c r="AP1179" i="3"/>
  <c r="AP1180" i="3"/>
  <c r="AP1181" i="3"/>
  <c r="AP1182" i="3"/>
  <c r="AP1183" i="3"/>
  <c r="AP1184" i="3"/>
  <c r="AP1185" i="3"/>
  <c r="AP1186" i="3"/>
  <c r="AP1187" i="3"/>
  <c r="AP1188" i="3"/>
  <c r="AP1189" i="3"/>
  <c r="AP1190" i="3"/>
  <c r="AP1191" i="3"/>
  <c r="AP1192" i="3"/>
  <c r="AP1193" i="3"/>
  <c r="AP1194" i="3"/>
  <c r="AP1195" i="3"/>
  <c r="AP1196" i="3"/>
  <c r="AP1197" i="3"/>
  <c r="AP1198" i="3"/>
  <c r="AP1199" i="3"/>
  <c r="AP1200" i="3"/>
  <c r="AP1201" i="3"/>
  <c r="AP1202" i="3"/>
  <c r="AP1203" i="3"/>
  <c r="AP1204" i="3"/>
  <c r="AP1205" i="3"/>
  <c r="AP1206" i="3"/>
  <c r="AP1207" i="3"/>
  <c r="AP1208" i="3"/>
  <c r="AP1209" i="3"/>
  <c r="AP1210" i="3"/>
  <c r="AP1211" i="3"/>
  <c r="AP1212" i="3"/>
  <c r="AP1213" i="3"/>
  <c r="AP1214" i="3"/>
  <c r="AP1215" i="3"/>
  <c r="AP1216" i="3"/>
  <c r="AP1217" i="3"/>
  <c r="AP1218" i="3"/>
  <c r="AP1219" i="3"/>
  <c r="AP1220" i="3"/>
  <c r="AP1221" i="3"/>
  <c r="AP1222" i="3"/>
  <c r="AP1223" i="3"/>
  <c r="AP1224" i="3"/>
  <c r="AP1225" i="3"/>
  <c r="AP1226" i="3"/>
  <c r="AP1227" i="3"/>
  <c r="AP1228" i="3"/>
  <c r="AP1229" i="3"/>
  <c r="AP1230" i="3"/>
  <c r="AP1231" i="3"/>
  <c r="AP1232" i="3"/>
  <c r="AP1233" i="3"/>
  <c r="AP1234" i="3"/>
  <c r="AP1235" i="3"/>
  <c r="AP1236" i="3"/>
  <c r="AP1237" i="3"/>
  <c r="AP1238" i="3"/>
  <c r="AP1239" i="3"/>
  <c r="AP1240" i="3"/>
  <c r="AP1241" i="3"/>
  <c r="AP1242" i="3"/>
  <c r="AP1243" i="3"/>
  <c r="AP1244" i="3"/>
  <c r="AP1245" i="3"/>
  <c r="AP1246" i="3"/>
  <c r="AP1247" i="3"/>
  <c r="AP1248" i="3"/>
  <c r="AP1249" i="3"/>
  <c r="AP1250" i="3"/>
  <c r="AP1251" i="3"/>
  <c r="AP1252" i="3"/>
  <c r="AP1253" i="3"/>
  <c r="AP1254" i="3"/>
  <c r="AP1255" i="3"/>
  <c r="AP1256" i="3"/>
  <c r="AP1257" i="3"/>
  <c r="AP1258" i="3"/>
  <c r="AP1259" i="3"/>
  <c r="AP1260" i="3"/>
  <c r="AP1261" i="3"/>
  <c r="AP1262" i="3"/>
  <c r="AP1263" i="3"/>
  <c r="AP1264" i="3"/>
  <c r="AP1265" i="3"/>
  <c r="AP1266" i="3"/>
  <c r="AP1267" i="3"/>
  <c r="AP1268" i="3"/>
  <c r="AP1269" i="3"/>
  <c r="AP1270" i="3"/>
  <c r="AP1271" i="3"/>
  <c r="AP1272" i="3"/>
  <c r="AP1273" i="3"/>
  <c r="AP1274" i="3"/>
  <c r="AP1275" i="3"/>
  <c r="AP1276" i="3"/>
  <c r="AP1277" i="3"/>
  <c r="AP1278" i="3"/>
  <c r="AP1279" i="3"/>
  <c r="AP1280" i="3"/>
  <c r="AP1281" i="3"/>
  <c r="AP1282" i="3"/>
  <c r="AP1283" i="3"/>
  <c r="AP1284" i="3"/>
  <c r="AP1285" i="3"/>
  <c r="AP1286" i="3"/>
  <c r="AP1287" i="3"/>
  <c r="AP1288" i="3"/>
  <c r="AP1289" i="3"/>
  <c r="AP1290" i="3"/>
  <c r="AP1291" i="3"/>
  <c r="AP1292" i="3"/>
  <c r="AP1293" i="3"/>
  <c r="AP1294" i="3"/>
  <c r="AP1295" i="3"/>
  <c r="AP1296" i="3"/>
  <c r="AP1297" i="3"/>
  <c r="AP1298" i="3"/>
  <c r="AP1299" i="3"/>
  <c r="AP1300" i="3"/>
  <c r="AP1301" i="3"/>
  <c r="AP1302" i="3"/>
  <c r="AP1303" i="3"/>
  <c r="AP1304" i="3"/>
  <c r="AP1305" i="3"/>
  <c r="AP1306" i="3"/>
  <c r="AP1307" i="3"/>
  <c r="AP1308" i="3"/>
  <c r="AP1309" i="3"/>
  <c r="AP1310" i="3"/>
  <c r="AP1311" i="3"/>
  <c r="AP1312" i="3"/>
  <c r="AP1313" i="3"/>
  <c r="AP1314" i="3"/>
  <c r="AP1315" i="3"/>
  <c r="AP1316" i="3"/>
  <c r="AP1317" i="3"/>
  <c r="AP1318" i="3"/>
  <c r="AP1319" i="3"/>
  <c r="AP1320" i="3"/>
  <c r="AP1321" i="3"/>
  <c r="AP1322" i="3"/>
  <c r="AP1323" i="3"/>
  <c r="AP1324" i="3"/>
  <c r="AP1325" i="3"/>
  <c r="AP1326" i="3"/>
  <c r="AP1327" i="3"/>
  <c r="AP1328" i="3"/>
  <c r="AP1329" i="3"/>
  <c r="AP1330" i="3"/>
  <c r="AP1331" i="3"/>
  <c r="AP1332" i="3"/>
  <c r="AP1333" i="3"/>
  <c r="AP1334" i="3"/>
  <c r="AP1335" i="3"/>
  <c r="AP1336" i="3"/>
  <c r="AP1337" i="3"/>
  <c r="AP1338" i="3"/>
  <c r="AP1339" i="3"/>
  <c r="AP1340" i="3"/>
  <c r="AP1341" i="3"/>
  <c r="AP1342" i="3"/>
  <c r="AP1343" i="3"/>
  <c r="AP1344" i="3"/>
  <c r="AP1345" i="3"/>
  <c r="AP1346" i="3"/>
  <c r="AP1347" i="3"/>
  <c r="AP1348" i="3"/>
  <c r="AP1349" i="3"/>
  <c r="AP1350" i="3"/>
  <c r="AP1351" i="3"/>
  <c r="AP1352" i="3"/>
  <c r="AP1353" i="3"/>
  <c r="AP1354" i="3"/>
  <c r="AP1355" i="3"/>
  <c r="AP1356" i="3"/>
  <c r="AP1357" i="3"/>
  <c r="AP1358" i="3"/>
  <c r="AP1359" i="3"/>
  <c r="AP1360" i="3"/>
  <c r="AP1361" i="3"/>
  <c r="AP1362" i="3"/>
  <c r="AP1363" i="3"/>
  <c r="AP1364" i="3"/>
  <c r="AP1365" i="3"/>
  <c r="AP1366" i="3"/>
  <c r="AP1367" i="3"/>
  <c r="AP1368" i="3"/>
  <c r="AP1369" i="3"/>
  <c r="AP1370" i="3"/>
  <c r="AP1371" i="3"/>
  <c r="AP1372" i="3"/>
  <c r="AP1373" i="3"/>
  <c r="AP1374" i="3"/>
  <c r="AP1375" i="3"/>
  <c r="AP1376" i="3"/>
  <c r="AP1377" i="3"/>
  <c r="AP1378" i="3"/>
  <c r="AP1379" i="3"/>
  <c r="AP1380" i="3"/>
  <c r="AP1381" i="3"/>
  <c r="AP1382" i="3"/>
  <c r="AP1383" i="3"/>
  <c r="AP1384" i="3"/>
  <c r="AP1385" i="3"/>
  <c r="AP1386" i="3"/>
  <c r="AP1387" i="3"/>
  <c r="AP1388" i="3"/>
  <c r="AP1389" i="3"/>
  <c r="AP1390" i="3"/>
  <c r="AP1391" i="3"/>
  <c r="AP1392" i="3"/>
  <c r="AP1393" i="3"/>
  <c r="AP1394" i="3"/>
  <c r="AP1395" i="3"/>
  <c r="AP1396" i="3"/>
  <c r="AP1397" i="3"/>
  <c r="AP1398" i="3"/>
  <c r="AP1399" i="3"/>
  <c r="AP1400" i="3"/>
  <c r="AP1401" i="3"/>
  <c r="AP1402" i="3"/>
  <c r="AP1403" i="3"/>
  <c r="AP1404" i="3"/>
  <c r="AP1405" i="3"/>
  <c r="AP1406" i="3"/>
  <c r="AP1407" i="3"/>
  <c r="AP1408" i="3"/>
  <c r="AP1409" i="3"/>
  <c r="AP1410" i="3"/>
  <c r="AP1411" i="3"/>
  <c r="AP1412" i="3"/>
  <c r="AP1413" i="3"/>
  <c r="AP1414" i="3"/>
  <c r="AP1415" i="3"/>
  <c r="AP1416" i="3"/>
  <c r="AP1417" i="3"/>
  <c r="AP1418" i="3"/>
  <c r="AP1419" i="3"/>
  <c r="AP1420" i="3"/>
  <c r="AP1421" i="3"/>
  <c r="AP1422" i="3"/>
  <c r="AP1423" i="3"/>
  <c r="AP1424" i="3"/>
  <c r="AP1425" i="3"/>
  <c r="AP1426" i="3"/>
  <c r="AP1427" i="3"/>
  <c r="AP1428" i="3"/>
  <c r="AP1429" i="3"/>
  <c r="AP1430" i="3"/>
  <c r="AP1431" i="3"/>
  <c r="AP1432" i="3"/>
  <c r="AP1433" i="3"/>
  <c r="AP1434" i="3"/>
  <c r="AP1435" i="3"/>
  <c r="AP1436" i="3"/>
  <c r="AP1437" i="3"/>
  <c r="AP1438" i="3"/>
  <c r="AP1439" i="3"/>
  <c r="AP1440" i="3"/>
  <c r="AP1441" i="3"/>
  <c r="AP1442" i="3"/>
  <c r="AP1443" i="3"/>
  <c r="AP1444" i="3"/>
  <c r="AP1445" i="3"/>
  <c r="AP1446" i="3"/>
  <c r="AP1447" i="3"/>
  <c r="AP1448" i="3"/>
  <c r="AP1449" i="3"/>
  <c r="AP1450" i="3"/>
  <c r="AP1451" i="3"/>
  <c r="AP1452" i="3"/>
  <c r="AP1453" i="3"/>
  <c r="AP1454" i="3"/>
  <c r="AP1455" i="3"/>
  <c r="AP1456" i="3"/>
  <c r="AP1457" i="3"/>
  <c r="AP1458" i="3"/>
  <c r="AP1459" i="3"/>
  <c r="AP1460" i="3"/>
  <c r="AP1461" i="3"/>
  <c r="AP1462" i="3"/>
  <c r="AP1463" i="3"/>
  <c r="AP1464" i="3"/>
  <c r="AP1465" i="3"/>
  <c r="AP1466" i="3"/>
  <c r="AP1467" i="3"/>
  <c r="AP1468" i="3"/>
  <c r="AP1469" i="3"/>
  <c r="AP1470" i="3"/>
  <c r="AP1471" i="3"/>
  <c r="AP1472" i="3"/>
  <c r="AP1473" i="3"/>
  <c r="AP1474" i="3"/>
  <c r="AP1475" i="3"/>
  <c r="AP1476" i="3"/>
  <c r="AP1477" i="3"/>
  <c r="AP1478" i="3"/>
  <c r="AP1479" i="3"/>
  <c r="AP1480" i="3"/>
  <c r="AP1481" i="3"/>
  <c r="AP1482" i="3"/>
  <c r="AP1483" i="3"/>
  <c r="AP1484" i="3"/>
  <c r="AP1485" i="3"/>
  <c r="AP1486" i="3"/>
  <c r="AP1487" i="3"/>
  <c r="AP1488" i="3"/>
  <c r="AP1489" i="3"/>
  <c r="AP1490" i="3"/>
  <c r="AP1491" i="3"/>
  <c r="AP1492" i="3"/>
  <c r="AP1493" i="3"/>
  <c r="AP1494" i="3"/>
  <c r="AP1495" i="3"/>
  <c r="AP1496" i="3"/>
  <c r="AP1497" i="3"/>
  <c r="AP1498" i="3"/>
  <c r="AP1499" i="3"/>
  <c r="AP1500" i="3"/>
  <c r="AP1501" i="3"/>
  <c r="AP1502" i="3"/>
  <c r="AP1503" i="3"/>
  <c r="AP1504" i="3"/>
  <c r="AP1505" i="3"/>
  <c r="AP1506" i="3"/>
  <c r="AP1507" i="3"/>
  <c r="AP1508" i="3"/>
  <c r="AP1509" i="3"/>
  <c r="AP1510" i="3"/>
  <c r="AP1511" i="3"/>
  <c r="AP1512" i="3"/>
  <c r="AP1513" i="3"/>
  <c r="AP1514" i="3"/>
  <c r="AP1515" i="3"/>
  <c r="AP1516" i="3"/>
  <c r="AP1517" i="3"/>
  <c r="AP1518" i="3"/>
  <c r="AP1519" i="3"/>
  <c r="AP1520" i="3"/>
  <c r="AP1521" i="3"/>
  <c r="AP1522" i="3"/>
  <c r="AP1523" i="3"/>
  <c r="AP1524" i="3"/>
  <c r="AP1525" i="3"/>
  <c r="AP1526" i="3"/>
  <c r="AP1527" i="3"/>
  <c r="AP1528" i="3"/>
  <c r="AP1529" i="3"/>
  <c r="AP1530" i="3"/>
  <c r="AP1531" i="3"/>
  <c r="AP1532" i="3"/>
  <c r="AP1533" i="3"/>
  <c r="AP1534" i="3"/>
  <c r="AP1535" i="3"/>
  <c r="AP1536" i="3"/>
  <c r="AP1537" i="3"/>
  <c r="AP1538" i="3"/>
  <c r="AP1539" i="3"/>
  <c r="AP1540" i="3"/>
  <c r="AP1541" i="3"/>
  <c r="AP1542" i="3"/>
  <c r="AP1543" i="3"/>
  <c r="AP1544" i="3"/>
  <c r="AP1545" i="3"/>
  <c r="AP1546" i="3"/>
  <c r="AP1547" i="3"/>
  <c r="AP1548" i="3"/>
  <c r="AP1549" i="3"/>
  <c r="AP1550" i="3"/>
  <c r="AP1551" i="3"/>
  <c r="AP1552" i="3"/>
  <c r="AP1553" i="3"/>
  <c r="AP1554" i="3"/>
  <c r="AP1555" i="3"/>
  <c r="AP1556" i="3"/>
  <c r="AP1557" i="3"/>
  <c r="AP1558" i="3"/>
  <c r="AP1559" i="3"/>
  <c r="AP1560" i="3"/>
  <c r="AP1561" i="3"/>
  <c r="AP1562" i="3"/>
  <c r="AP1563" i="3"/>
  <c r="AP1564" i="3"/>
  <c r="AP1565" i="3"/>
  <c r="AP1566" i="3"/>
  <c r="AP1567" i="3"/>
  <c r="AP1568" i="3"/>
  <c r="AP1569" i="3"/>
  <c r="AP1570" i="3"/>
  <c r="AP1571" i="3"/>
  <c r="AP1572" i="3"/>
  <c r="AP1573" i="3"/>
  <c r="AP1574" i="3"/>
  <c r="AP1575" i="3"/>
  <c r="AP1576" i="3"/>
  <c r="AP1577" i="3"/>
  <c r="AP1578" i="3"/>
  <c r="AP1579" i="3"/>
  <c r="AP1580" i="3"/>
  <c r="AP1581" i="3"/>
  <c r="AP1582" i="3"/>
  <c r="AP1583" i="3"/>
  <c r="AP1584" i="3"/>
  <c r="AP1585" i="3"/>
  <c r="AP1586" i="3"/>
  <c r="AP1587" i="3"/>
  <c r="AP1588" i="3"/>
  <c r="AP1589" i="3"/>
  <c r="AP1590" i="3"/>
  <c r="AP1591" i="3"/>
  <c r="AP1592" i="3"/>
  <c r="AP1593" i="3"/>
  <c r="AP1594" i="3"/>
  <c r="AP1595" i="3"/>
  <c r="AP1596" i="3"/>
  <c r="AP1597" i="3"/>
  <c r="AP1598" i="3"/>
  <c r="AP1599" i="3"/>
  <c r="AP1600" i="3"/>
  <c r="AP1601" i="3"/>
  <c r="AP1602" i="3"/>
  <c r="AP1603" i="3"/>
  <c r="AP1604" i="3"/>
  <c r="AP1605" i="3"/>
  <c r="AP1606" i="3"/>
  <c r="AP1607" i="3"/>
  <c r="AP1608" i="3"/>
  <c r="AP1609" i="3"/>
  <c r="AP1610" i="3"/>
  <c r="AP1611" i="3"/>
  <c r="AP1612" i="3"/>
  <c r="AP1613" i="3"/>
  <c r="AP1614" i="3"/>
  <c r="AP1615" i="3"/>
  <c r="AP1616" i="3"/>
  <c r="AP1617" i="3"/>
  <c r="AP1618" i="3"/>
  <c r="AP1619" i="3"/>
  <c r="AP1620" i="3"/>
  <c r="AP1621" i="3"/>
  <c r="AP1622" i="3"/>
  <c r="AP1623" i="3"/>
  <c r="AP1624" i="3"/>
  <c r="AP1625" i="3"/>
  <c r="AP1626" i="3"/>
  <c r="AP1627" i="3"/>
  <c r="AP1628" i="3"/>
  <c r="AP1629" i="3"/>
  <c r="AP1630" i="3"/>
  <c r="AP1631" i="3"/>
  <c r="AP1632" i="3"/>
  <c r="AP1633" i="3"/>
  <c r="AP1634" i="3"/>
  <c r="AP1635" i="3"/>
  <c r="AP1636" i="3"/>
  <c r="AP1637" i="3"/>
  <c r="AP1638" i="3"/>
  <c r="AP1639" i="3"/>
  <c r="AP1640" i="3"/>
  <c r="AP1641" i="3"/>
  <c r="AP1642" i="3"/>
  <c r="AP1643" i="3"/>
  <c r="AP1644" i="3"/>
  <c r="AP1645" i="3"/>
  <c r="AP1646" i="3"/>
  <c r="AP1647" i="3"/>
  <c r="AP1648" i="3"/>
  <c r="AP1649" i="3"/>
  <c r="AP1650" i="3"/>
  <c r="AP1651" i="3"/>
  <c r="AP1652" i="3"/>
  <c r="AP1653" i="3"/>
  <c r="AP1654" i="3"/>
  <c r="AP1655" i="3"/>
  <c r="AP1656" i="3"/>
  <c r="AP1657" i="3"/>
  <c r="AP1658" i="3"/>
  <c r="AP1659" i="3"/>
  <c r="AP1660" i="3"/>
  <c r="AP1661" i="3"/>
  <c r="AP1662" i="3"/>
  <c r="AP1663" i="3"/>
  <c r="AP1664" i="3"/>
  <c r="AP1665" i="3"/>
  <c r="AP1666" i="3"/>
  <c r="AP1667" i="3"/>
  <c r="AP1668" i="3"/>
  <c r="AP1669" i="3"/>
  <c r="AP1670" i="3"/>
  <c r="AP1671" i="3"/>
  <c r="AP1672" i="3"/>
  <c r="AP1673" i="3"/>
  <c r="AP1674" i="3"/>
  <c r="AP1675" i="3"/>
  <c r="AP1676" i="3"/>
  <c r="AP1677" i="3"/>
  <c r="AP1678" i="3"/>
  <c r="AP1679" i="3"/>
  <c r="AP1680" i="3"/>
  <c r="AP1681" i="3"/>
  <c r="AP1682" i="3"/>
  <c r="AP1683" i="3"/>
  <c r="AP1684" i="3"/>
  <c r="AP1685" i="3"/>
  <c r="AP1686" i="3"/>
  <c r="AP1687" i="3"/>
  <c r="AP1688" i="3"/>
  <c r="AP1689" i="3"/>
  <c r="AP1690" i="3"/>
  <c r="AP1691" i="3"/>
  <c r="AP1692" i="3"/>
  <c r="AP1693" i="3"/>
  <c r="AP1694" i="3"/>
  <c r="AP1695" i="3"/>
  <c r="AP1696" i="3"/>
  <c r="AP1697" i="3"/>
  <c r="AP1698" i="3"/>
  <c r="AP1699" i="3"/>
  <c r="AP1700" i="3"/>
  <c r="AP1701" i="3"/>
  <c r="AP1702" i="3"/>
  <c r="AP1703" i="3"/>
  <c r="AP1704" i="3"/>
  <c r="AP1705" i="3"/>
  <c r="AP1706" i="3"/>
  <c r="AP1707" i="3"/>
  <c r="AP1708" i="3"/>
  <c r="AP1709" i="3"/>
  <c r="AP1710" i="3"/>
  <c r="AP1711" i="3"/>
  <c r="AP1712" i="3"/>
  <c r="AP1713" i="3"/>
  <c r="AP1714" i="3"/>
  <c r="AP1715" i="3"/>
  <c r="AP1716" i="3"/>
  <c r="AP1717" i="3"/>
  <c r="AP1718" i="3"/>
  <c r="AP1719" i="3"/>
  <c r="AP1720" i="3"/>
  <c r="AP1721" i="3"/>
  <c r="AP1722" i="3"/>
  <c r="AP1723" i="3"/>
  <c r="AP1724" i="3"/>
  <c r="AP1725" i="3"/>
  <c r="AP1726" i="3"/>
  <c r="AP1727" i="3"/>
  <c r="AP1728" i="3"/>
  <c r="AP1729" i="3"/>
  <c r="AP1730" i="3"/>
  <c r="AP1731" i="3"/>
  <c r="AP1732" i="3"/>
  <c r="AP1733" i="3"/>
  <c r="AP1734" i="3"/>
  <c r="AP1735" i="3"/>
  <c r="AP1736" i="3"/>
  <c r="AP1737" i="3"/>
  <c r="AP1738" i="3"/>
  <c r="AP1739" i="3"/>
  <c r="AP1740" i="3"/>
  <c r="AP1741" i="3"/>
  <c r="AP1742" i="3"/>
  <c r="AP1743" i="3"/>
  <c r="AP1744" i="3"/>
  <c r="AP1745" i="3"/>
  <c r="AP1746" i="3"/>
  <c r="AP1747" i="3"/>
  <c r="AP1748" i="3"/>
  <c r="AP1749" i="3"/>
  <c r="AP1750" i="3"/>
  <c r="AP1751" i="3"/>
  <c r="AP1752" i="3"/>
  <c r="AP1753" i="3"/>
  <c r="AP1754" i="3"/>
  <c r="AP1755" i="3"/>
  <c r="AP1756" i="3"/>
  <c r="AP1757" i="3"/>
  <c r="AP1758" i="3"/>
  <c r="AP1759" i="3"/>
  <c r="AP1760" i="3"/>
  <c r="AP1761" i="3"/>
  <c r="AP1762" i="3"/>
  <c r="AP1763" i="3"/>
  <c r="AP1764" i="3"/>
  <c r="AP1765" i="3"/>
  <c r="AP1766" i="3"/>
  <c r="AP1767" i="3"/>
  <c r="AP1768" i="3"/>
  <c r="AP1769" i="3"/>
  <c r="AP1770" i="3"/>
  <c r="AP1771" i="3"/>
  <c r="AP1772" i="3"/>
  <c r="AP1773" i="3"/>
  <c r="AP1774" i="3"/>
  <c r="AP1775" i="3"/>
  <c r="AP1776" i="3"/>
  <c r="AP1777" i="3"/>
  <c r="AP1778" i="3"/>
  <c r="AP1779" i="3"/>
  <c r="AP1780" i="3"/>
  <c r="AP1781" i="3"/>
  <c r="AP1782" i="3"/>
  <c r="AP1783" i="3"/>
  <c r="AP1784" i="3"/>
  <c r="AP1785" i="3"/>
  <c r="AP1786" i="3"/>
  <c r="AP1787" i="3"/>
  <c r="AP1788" i="3"/>
  <c r="AP1789" i="3"/>
  <c r="AP1790" i="3"/>
  <c r="AP1791" i="3"/>
  <c r="AP1792" i="3"/>
  <c r="AP1793" i="3"/>
  <c r="AP1794" i="3"/>
  <c r="AP1795" i="3"/>
  <c r="AP1796" i="3"/>
  <c r="AP1797" i="3"/>
  <c r="AP1798" i="3"/>
  <c r="AP1799" i="3"/>
  <c r="AP1800" i="3"/>
  <c r="AP1801" i="3"/>
  <c r="AP1802" i="3"/>
  <c r="AP1803" i="3"/>
  <c r="AP1804" i="3"/>
  <c r="AP1805" i="3"/>
  <c r="AP1806" i="3"/>
  <c r="AP1807" i="3"/>
  <c r="AP1808" i="3"/>
  <c r="AP1809" i="3"/>
  <c r="AP1810" i="3"/>
  <c r="AP1811" i="3"/>
  <c r="AP1812" i="3"/>
  <c r="AP1813" i="3"/>
  <c r="AP1814" i="3"/>
  <c r="AP1815" i="3"/>
  <c r="AP1816" i="3"/>
  <c r="AP1817" i="3"/>
  <c r="AP1818" i="3"/>
  <c r="AP1819" i="3"/>
  <c r="AP1820" i="3"/>
  <c r="AP1821" i="3"/>
  <c r="AP1822" i="3"/>
  <c r="AP1823" i="3"/>
  <c r="AP1824" i="3"/>
  <c r="AP1825" i="3"/>
  <c r="AP1826" i="3"/>
  <c r="AP1827" i="3"/>
  <c r="AP1828" i="3"/>
  <c r="AP1829" i="3"/>
  <c r="AP1830" i="3"/>
  <c r="AP1831" i="3"/>
  <c r="AP1832" i="3"/>
  <c r="AP1833" i="3"/>
  <c r="AP1834" i="3"/>
  <c r="AP1835" i="3"/>
  <c r="AP1836" i="3"/>
  <c r="AP1837" i="3"/>
  <c r="AP1838" i="3"/>
  <c r="AP1839" i="3"/>
  <c r="AP1840" i="3"/>
  <c r="AP1841" i="3"/>
  <c r="AP1842" i="3"/>
  <c r="AP1843" i="3"/>
  <c r="AP1844" i="3"/>
  <c r="AP1845" i="3"/>
  <c r="AP1846" i="3"/>
  <c r="AP1847" i="3"/>
  <c r="AP1848" i="3"/>
  <c r="AP1849" i="3"/>
  <c r="AP1850" i="3"/>
  <c r="AP1851" i="3"/>
  <c r="AP1852" i="3"/>
  <c r="AP1853" i="3"/>
  <c r="AP1854" i="3"/>
  <c r="AP1855" i="3"/>
  <c r="AP1856" i="3"/>
  <c r="AP1857" i="3"/>
  <c r="AP1858" i="3"/>
  <c r="AP1859" i="3"/>
  <c r="AP1860" i="3"/>
  <c r="AP1861" i="3"/>
  <c r="AP1862" i="3"/>
  <c r="AP1863" i="3"/>
  <c r="AP1864" i="3"/>
  <c r="AP1865" i="3"/>
  <c r="AP1866" i="3"/>
  <c r="AP1867" i="3"/>
  <c r="AP1868" i="3"/>
  <c r="AP1869" i="3"/>
  <c r="AP1870" i="3"/>
  <c r="AP1871" i="3"/>
  <c r="AP1872" i="3"/>
  <c r="AP1873" i="3"/>
  <c r="AP1874" i="3"/>
  <c r="AP1875" i="3"/>
  <c r="AP1876" i="3"/>
  <c r="AP1877" i="3"/>
  <c r="AP1878" i="3"/>
  <c r="AP1879" i="3"/>
  <c r="AP1880" i="3"/>
  <c r="AP1881" i="3"/>
  <c r="AP1882" i="3"/>
  <c r="AP1883" i="3"/>
  <c r="AP1884" i="3"/>
  <c r="AP1885" i="3"/>
  <c r="AP1886" i="3"/>
  <c r="AP1887" i="3"/>
  <c r="AP1888" i="3"/>
  <c r="AP1889" i="3"/>
  <c r="AP1890" i="3"/>
  <c r="AP1891" i="3"/>
  <c r="AP1892" i="3"/>
  <c r="AP1893" i="3"/>
  <c r="AP1894" i="3"/>
  <c r="AP1895" i="3"/>
  <c r="AP1896" i="3"/>
  <c r="AP1897" i="3"/>
  <c r="AP1898" i="3"/>
  <c r="AP1899" i="3"/>
  <c r="AP1900" i="3"/>
  <c r="AP1901" i="3"/>
  <c r="AP1902" i="3"/>
  <c r="AP1903" i="3"/>
  <c r="AP1904" i="3"/>
  <c r="AP1905" i="3"/>
  <c r="AP1906" i="3"/>
  <c r="AP1907" i="3"/>
  <c r="AP1908" i="3"/>
  <c r="AP1909" i="3"/>
  <c r="AP1910" i="3"/>
  <c r="AP1911" i="3"/>
  <c r="AP1912" i="3"/>
  <c r="AP1913" i="3"/>
  <c r="AP1914" i="3"/>
  <c r="AP1915" i="3"/>
  <c r="AP1916" i="3"/>
  <c r="AP1917" i="3"/>
  <c r="AP1918" i="3"/>
  <c r="AP1919" i="3"/>
  <c r="AP1920" i="3"/>
  <c r="AP1921" i="3"/>
  <c r="AP1922" i="3"/>
  <c r="AP1923" i="3"/>
  <c r="AP1924" i="3"/>
  <c r="AP1925" i="3"/>
  <c r="AP1926" i="3"/>
  <c r="AP1927" i="3"/>
  <c r="AP1928" i="3"/>
  <c r="AP1929" i="3"/>
  <c r="AP1930" i="3"/>
  <c r="AP1931" i="3"/>
  <c r="AP1932" i="3"/>
  <c r="AP1933" i="3"/>
  <c r="AP1934" i="3"/>
  <c r="AP1935" i="3"/>
  <c r="AP1936" i="3"/>
  <c r="AP1937" i="3"/>
  <c r="AP1938" i="3"/>
  <c r="AP1939" i="3"/>
  <c r="AP1940" i="3"/>
  <c r="AP1941" i="3"/>
  <c r="AP1942" i="3"/>
  <c r="AP1943" i="3"/>
  <c r="AP1944" i="3"/>
  <c r="AP1945" i="3"/>
  <c r="AP1946" i="3"/>
  <c r="AP1947" i="3"/>
  <c r="AP1948" i="3"/>
  <c r="AP1949" i="3"/>
  <c r="AP1950" i="3"/>
  <c r="AP1951" i="3"/>
  <c r="AP1952" i="3"/>
  <c r="AP1953" i="3"/>
  <c r="AP1954" i="3"/>
  <c r="AP1955" i="3"/>
  <c r="AP1956" i="3"/>
  <c r="AP1957" i="3"/>
  <c r="AP1958" i="3"/>
  <c r="AP1959" i="3"/>
  <c r="AP1960" i="3"/>
  <c r="AP1961" i="3"/>
  <c r="AP1962" i="3"/>
  <c r="AP1963" i="3"/>
  <c r="AP1964" i="3"/>
  <c r="AP1965" i="3"/>
  <c r="AP1966" i="3"/>
  <c r="AP1967" i="3"/>
  <c r="AP1968" i="3"/>
  <c r="AP1969" i="3"/>
  <c r="AP1970" i="3"/>
  <c r="AP1971" i="3"/>
  <c r="AP1972" i="3"/>
  <c r="AP1973" i="3"/>
  <c r="AP1974" i="3"/>
  <c r="AP1975" i="3"/>
  <c r="AP1976" i="3"/>
  <c r="AP1977" i="3"/>
  <c r="AP1978" i="3"/>
  <c r="AP1979" i="3"/>
  <c r="AP1980" i="3"/>
  <c r="AP1981" i="3"/>
  <c r="AP1982" i="3"/>
  <c r="AP1983" i="3"/>
  <c r="AP1984" i="3"/>
  <c r="AP1985" i="3"/>
  <c r="AP1986" i="3"/>
  <c r="AP1987" i="3"/>
  <c r="AP1988" i="3"/>
  <c r="AP1989" i="3"/>
  <c r="AP1990" i="3"/>
  <c r="AP1991" i="3"/>
  <c r="AP1992" i="3"/>
  <c r="AP1993" i="3"/>
  <c r="AP1994" i="3"/>
  <c r="AP1995" i="3"/>
  <c r="AP1996" i="3"/>
  <c r="AP1997" i="3"/>
  <c r="AP1998" i="3"/>
  <c r="AP1999" i="3"/>
  <c r="AP2000" i="3"/>
  <c r="AP2001" i="3"/>
  <c r="AP2002" i="3"/>
  <c r="AP2003" i="3"/>
  <c r="AP2004" i="3"/>
  <c r="AP2005" i="3"/>
  <c r="AP2006" i="3"/>
  <c r="AP2007" i="3"/>
  <c r="AP2008" i="3"/>
  <c r="AP2009" i="3"/>
  <c r="AP2010" i="3"/>
  <c r="AP2011" i="3"/>
  <c r="AP2012" i="3"/>
  <c r="AP2013" i="3"/>
  <c r="AP2014" i="3"/>
  <c r="AP2015" i="3"/>
  <c r="AP2016" i="3"/>
  <c r="AP2017" i="3"/>
  <c r="AP2018" i="3"/>
  <c r="AP2019" i="3"/>
  <c r="AP2020" i="3"/>
  <c r="AP2021" i="3"/>
  <c r="AP2022" i="3"/>
  <c r="AP2023" i="3"/>
  <c r="AP2024" i="3"/>
  <c r="AP2025" i="3"/>
  <c r="AP2026" i="3"/>
  <c r="AP2027" i="3"/>
  <c r="AP2028" i="3"/>
  <c r="AP2029" i="3"/>
  <c r="AP2030" i="3"/>
  <c r="AP2031" i="3"/>
  <c r="AP2032" i="3"/>
  <c r="AP2033" i="3"/>
  <c r="AP2034" i="3"/>
  <c r="AP2035" i="3"/>
  <c r="AP2036" i="3"/>
  <c r="AP2037" i="3"/>
  <c r="AP2038" i="3"/>
  <c r="AP2039" i="3"/>
  <c r="AP2040" i="3"/>
  <c r="AP2041" i="3"/>
  <c r="AP2042" i="3"/>
  <c r="AP2043" i="3"/>
  <c r="AP2044" i="3"/>
  <c r="AP2045" i="3"/>
  <c r="AP2046" i="3"/>
  <c r="AP2047" i="3"/>
  <c r="AP2048" i="3"/>
  <c r="AP2049" i="3"/>
  <c r="AP2050" i="3"/>
  <c r="AP2051" i="3"/>
  <c r="AP2052" i="3"/>
  <c r="AP2053" i="3"/>
  <c r="AP2054" i="3"/>
  <c r="AP2055" i="3"/>
  <c r="AP2056" i="3"/>
  <c r="AP2057" i="3"/>
  <c r="AP2058" i="3"/>
  <c r="AP2059" i="3"/>
  <c r="AP2060" i="3"/>
  <c r="AP2061" i="3"/>
  <c r="AP2062" i="3"/>
  <c r="AP2063" i="3"/>
  <c r="AP2064" i="3"/>
  <c r="AP2065" i="3"/>
  <c r="AP2066" i="3"/>
  <c r="AP2067" i="3"/>
  <c r="AP2068" i="3"/>
  <c r="AP2069" i="3"/>
  <c r="AP2070" i="3"/>
  <c r="AP2071" i="3"/>
  <c r="AP2072" i="3"/>
  <c r="AP2073" i="3"/>
  <c r="AP2074" i="3"/>
  <c r="AP2075" i="3"/>
  <c r="AP2076" i="3"/>
  <c r="AP2077" i="3"/>
  <c r="AP2078" i="3"/>
  <c r="AP2079" i="3"/>
  <c r="AP2080" i="3"/>
  <c r="AP2081" i="3"/>
  <c r="AP2082" i="3"/>
  <c r="AP2083" i="3"/>
  <c r="AP2084" i="3"/>
  <c r="AP2085" i="3"/>
  <c r="AP2086" i="3"/>
  <c r="AP2087" i="3"/>
  <c r="AP2088" i="3"/>
  <c r="AP2089" i="3"/>
  <c r="AP2090" i="3"/>
  <c r="AP2091" i="3"/>
  <c r="AP2092" i="3"/>
  <c r="AP2093" i="3"/>
  <c r="AP2094" i="3"/>
  <c r="AP2095" i="3"/>
  <c r="AP2096" i="3"/>
  <c r="AP2097" i="3"/>
  <c r="AP2098" i="3"/>
  <c r="AP2099" i="3"/>
  <c r="AP2100" i="3"/>
  <c r="AP2101" i="3"/>
  <c r="AP2102" i="3"/>
  <c r="AP2103" i="3"/>
  <c r="AP2104" i="3"/>
  <c r="AP2105" i="3"/>
  <c r="AP2106" i="3"/>
  <c r="AP2107" i="3"/>
  <c r="AP2108" i="3"/>
  <c r="AP2109" i="3"/>
  <c r="AP2110" i="3"/>
  <c r="AP2111" i="3"/>
  <c r="AP2112" i="3"/>
  <c r="AP2113" i="3"/>
  <c r="AP2114" i="3"/>
  <c r="AP2115" i="3"/>
  <c r="AP2116" i="3"/>
  <c r="AP2117" i="3"/>
  <c r="AP2118" i="3"/>
  <c r="AP2119" i="3"/>
  <c r="AP2120" i="3"/>
  <c r="AP2121" i="3"/>
  <c r="AP2122" i="3"/>
  <c r="AP2123" i="3"/>
  <c r="AP2124" i="3"/>
  <c r="AP2125" i="3"/>
  <c r="AP2126" i="3"/>
  <c r="AP2127" i="3"/>
  <c r="AP2128" i="3"/>
  <c r="AP2129" i="3"/>
  <c r="AP2130" i="3"/>
  <c r="AP2131" i="3"/>
  <c r="AP2132" i="3"/>
  <c r="AP2133" i="3"/>
  <c r="AP2134" i="3"/>
  <c r="AP2135" i="3"/>
  <c r="AP2136" i="3"/>
  <c r="AP2137" i="3"/>
  <c r="AP2138" i="3"/>
  <c r="AP2139" i="3"/>
  <c r="AP2140" i="3"/>
  <c r="AP2141" i="3"/>
  <c r="AP2142" i="3"/>
  <c r="AP2143" i="3"/>
  <c r="AP2144" i="3"/>
  <c r="AP2145" i="3"/>
  <c r="AP2146" i="3"/>
  <c r="AP2147" i="3"/>
  <c r="AP2148" i="3"/>
  <c r="AP2149" i="3"/>
  <c r="AP2150" i="3"/>
  <c r="AP2151" i="3"/>
  <c r="AP2152" i="3"/>
  <c r="AP2153" i="3"/>
  <c r="AP2154" i="3"/>
  <c r="AP2155" i="3"/>
  <c r="AP2156" i="3"/>
  <c r="AP2157" i="3"/>
  <c r="AP2158" i="3"/>
  <c r="AP2159" i="3"/>
  <c r="AP2160" i="3"/>
  <c r="AP2161" i="3"/>
  <c r="AP2162" i="3"/>
  <c r="AP2163" i="3"/>
  <c r="AP2164" i="3"/>
  <c r="AP2165" i="3"/>
  <c r="AP2166" i="3"/>
  <c r="AP2167" i="3"/>
  <c r="AP2168" i="3"/>
  <c r="AP2169" i="3"/>
  <c r="AP2170" i="3"/>
  <c r="AP2171" i="3"/>
  <c r="AP2172" i="3"/>
  <c r="AP2173" i="3"/>
  <c r="AP2174" i="3"/>
  <c r="AP2175" i="3"/>
  <c r="AP2176" i="3"/>
  <c r="AP2177" i="3"/>
  <c r="AP2178" i="3"/>
  <c r="AP2179" i="3"/>
  <c r="AP2180" i="3"/>
  <c r="AP2181" i="3"/>
  <c r="AP2182" i="3"/>
  <c r="AP2183" i="3"/>
  <c r="AP2184" i="3"/>
  <c r="AP2185" i="3"/>
  <c r="AP2186" i="3"/>
  <c r="AP2187" i="3"/>
  <c r="AP2188" i="3"/>
  <c r="AP2189" i="3"/>
  <c r="AP2190" i="3"/>
  <c r="AP2191" i="3"/>
  <c r="AP2192" i="3"/>
  <c r="AP2193" i="3"/>
  <c r="AP2194" i="3"/>
  <c r="AP2195" i="3"/>
  <c r="AP2196" i="3"/>
  <c r="AP2197" i="3"/>
  <c r="AP2198" i="3"/>
  <c r="AP2199" i="3"/>
  <c r="AP2200" i="3"/>
  <c r="AP2201" i="3"/>
  <c r="AP2202" i="3"/>
  <c r="AP2203" i="3"/>
  <c r="AP2204" i="3"/>
  <c r="AP2205" i="3"/>
  <c r="AP2206" i="3"/>
  <c r="AP2207" i="3"/>
  <c r="AP2208" i="3"/>
  <c r="AP2209" i="3"/>
  <c r="AP2210" i="3"/>
  <c r="AP2211" i="3"/>
  <c r="AP2212" i="3"/>
  <c r="AP2213" i="3"/>
  <c r="AP2214" i="3"/>
  <c r="AP2215" i="3"/>
  <c r="AP2216" i="3"/>
  <c r="AP2217" i="3"/>
  <c r="AP2218" i="3"/>
  <c r="AP2219" i="3"/>
  <c r="AP2220" i="3"/>
  <c r="AP2221" i="3"/>
  <c r="AP2222" i="3"/>
  <c r="AP2223" i="3"/>
  <c r="AP2224" i="3"/>
  <c r="AP2225" i="3"/>
  <c r="AP2226" i="3"/>
  <c r="AP2227" i="3"/>
  <c r="AP2228" i="3"/>
  <c r="AP2229" i="3"/>
  <c r="AP2230" i="3"/>
  <c r="AP2231" i="3"/>
  <c r="AP2232" i="3"/>
  <c r="AP2233" i="3"/>
  <c r="AP2234" i="3"/>
  <c r="AP2235" i="3"/>
  <c r="AP2236" i="3"/>
  <c r="AP2237" i="3"/>
  <c r="AP2238" i="3"/>
  <c r="AP2239" i="3"/>
  <c r="AP2240" i="3"/>
  <c r="AP2241" i="3"/>
  <c r="AO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O722" i="3"/>
  <c r="AO723" i="3"/>
  <c r="AO724" i="3"/>
  <c r="AO725" i="3"/>
  <c r="AO726" i="3"/>
  <c r="AO727" i="3"/>
  <c r="AO728" i="3"/>
  <c r="AO729" i="3"/>
  <c r="AO730" i="3"/>
  <c r="AO731" i="3"/>
  <c r="AO732" i="3"/>
  <c r="AO733" i="3"/>
  <c r="AO734" i="3"/>
  <c r="AO735" i="3"/>
  <c r="AO736" i="3"/>
  <c r="AO737" i="3"/>
  <c r="AO738" i="3"/>
  <c r="AO739" i="3"/>
  <c r="AO740" i="3"/>
  <c r="AO741" i="3"/>
  <c r="AO742" i="3"/>
  <c r="AO743" i="3"/>
  <c r="AO744" i="3"/>
  <c r="AO745" i="3"/>
  <c r="AO746" i="3"/>
  <c r="AO747" i="3"/>
  <c r="AO748" i="3"/>
  <c r="AO749" i="3"/>
  <c r="AO750" i="3"/>
  <c r="AO751" i="3"/>
  <c r="AO752" i="3"/>
  <c r="AO753" i="3"/>
  <c r="AO754" i="3"/>
  <c r="AO755" i="3"/>
  <c r="AO756" i="3"/>
  <c r="AO757" i="3"/>
  <c r="AO758" i="3"/>
  <c r="AO759" i="3"/>
  <c r="AO760" i="3"/>
  <c r="AO761" i="3"/>
  <c r="AO762" i="3"/>
  <c r="AO763" i="3"/>
  <c r="AO764" i="3"/>
  <c r="AO765" i="3"/>
  <c r="AO766" i="3"/>
  <c r="AO767" i="3"/>
  <c r="AO768" i="3"/>
  <c r="AO769" i="3"/>
  <c r="AO770" i="3"/>
  <c r="AO771" i="3"/>
  <c r="AO772" i="3"/>
  <c r="AO773" i="3"/>
  <c r="AO774" i="3"/>
  <c r="AO775" i="3"/>
  <c r="AO776" i="3"/>
  <c r="AO777" i="3"/>
  <c r="AO778" i="3"/>
  <c r="AO779" i="3"/>
  <c r="AO780" i="3"/>
  <c r="AO781" i="3"/>
  <c r="AO782" i="3"/>
  <c r="AO783" i="3"/>
  <c r="AO784" i="3"/>
  <c r="AO785" i="3"/>
  <c r="AO786" i="3"/>
  <c r="AO787" i="3"/>
  <c r="AO788" i="3"/>
  <c r="AO789" i="3"/>
  <c r="AO790" i="3"/>
  <c r="AO791" i="3"/>
  <c r="AO792" i="3"/>
  <c r="AO793" i="3"/>
  <c r="AO794" i="3"/>
  <c r="AO795" i="3"/>
  <c r="AO796" i="3"/>
  <c r="AO797" i="3"/>
  <c r="AO798" i="3"/>
  <c r="AO799" i="3"/>
  <c r="AO800" i="3"/>
  <c r="AO801" i="3"/>
  <c r="AO802" i="3"/>
  <c r="AO803" i="3"/>
  <c r="AO804" i="3"/>
  <c r="AO805" i="3"/>
  <c r="AO806" i="3"/>
  <c r="AO807" i="3"/>
  <c r="AO808" i="3"/>
  <c r="AO809" i="3"/>
  <c r="AO810" i="3"/>
  <c r="AO811" i="3"/>
  <c r="AO812" i="3"/>
  <c r="AO813" i="3"/>
  <c r="AO814" i="3"/>
  <c r="AO815" i="3"/>
  <c r="AO816" i="3"/>
  <c r="AO817" i="3"/>
  <c r="AO818" i="3"/>
  <c r="AO819" i="3"/>
  <c r="AO820" i="3"/>
  <c r="AO821" i="3"/>
  <c r="AO822" i="3"/>
  <c r="AO823" i="3"/>
  <c r="AO824" i="3"/>
  <c r="AO825" i="3"/>
  <c r="AO826" i="3"/>
  <c r="AO827" i="3"/>
  <c r="AO828" i="3"/>
  <c r="AO829" i="3"/>
  <c r="AO830" i="3"/>
  <c r="AO831" i="3"/>
  <c r="AO832" i="3"/>
  <c r="AO833" i="3"/>
  <c r="AO834" i="3"/>
  <c r="AO835" i="3"/>
  <c r="AO836" i="3"/>
  <c r="AO837" i="3"/>
  <c r="AO838" i="3"/>
  <c r="AO839" i="3"/>
  <c r="AO840" i="3"/>
  <c r="AO841" i="3"/>
  <c r="AO842" i="3"/>
  <c r="AO843" i="3"/>
  <c r="AO844" i="3"/>
  <c r="AO845" i="3"/>
  <c r="AO846" i="3"/>
  <c r="AO847" i="3"/>
  <c r="AO848" i="3"/>
  <c r="AO849" i="3"/>
  <c r="AO850" i="3"/>
  <c r="AO851" i="3"/>
  <c r="AO852" i="3"/>
  <c r="AO853" i="3"/>
  <c r="AO854" i="3"/>
  <c r="AO855" i="3"/>
  <c r="AO856" i="3"/>
  <c r="AO857" i="3"/>
  <c r="AO858" i="3"/>
  <c r="AO859" i="3"/>
  <c r="AO860" i="3"/>
  <c r="AO861" i="3"/>
  <c r="AO862" i="3"/>
  <c r="AO863" i="3"/>
  <c r="AO864" i="3"/>
  <c r="AO865" i="3"/>
  <c r="AO866" i="3"/>
  <c r="AO867" i="3"/>
  <c r="AO868" i="3"/>
  <c r="AO869" i="3"/>
  <c r="AO870" i="3"/>
  <c r="AO871" i="3"/>
  <c r="AO872" i="3"/>
  <c r="AO873" i="3"/>
  <c r="AO874" i="3"/>
  <c r="AO875" i="3"/>
  <c r="AO876" i="3"/>
  <c r="AO877" i="3"/>
  <c r="AO878" i="3"/>
  <c r="AO879" i="3"/>
  <c r="AO880" i="3"/>
  <c r="AO881" i="3"/>
  <c r="AO882" i="3"/>
  <c r="AO883" i="3"/>
  <c r="AO884" i="3"/>
  <c r="AO885" i="3"/>
  <c r="AO886" i="3"/>
  <c r="AO887" i="3"/>
  <c r="AO888" i="3"/>
  <c r="AO889" i="3"/>
  <c r="AO890" i="3"/>
  <c r="AO891" i="3"/>
  <c r="AO892" i="3"/>
  <c r="AO893" i="3"/>
  <c r="AO894" i="3"/>
  <c r="AO895" i="3"/>
  <c r="AO896" i="3"/>
  <c r="AO897" i="3"/>
  <c r="AO898" i="3"/>
  <c r="AO899" i="3"/>
  <c r="AO900" i="3"/>
  <c r="AO901" i="3"/>
  <c r="AO902" i="3"/>
  <c r="AO903" i="3"/>
  <c r="AO904" i="3"/>
  <c r="AO905" i="3"/>
  <c r="AO906" i="3"/>
  <c r="AO907" i="3"/>
  <c r="AO908" i="3"/>
  <c r="AO909" i="3"/>
  <c r="AO910" i="3"/>
  <c r="AO911" i="3"/>
  <c r="AO912" i="3"/>
  <c r="AO913" i="3"/>
  <c r="AO914" i="3"/>
  <c r="AO915" i="3"/>
  <c r="AO916" i="3"/>
  <c r="AO917" i="3"/>
  <c r="AO918" i="3"/>
  <c r="AO919" i="3"/>
  <c r="AO920" i="3"/>
  <c r="AO921" i="3"/>
  <c r="AO922" i="3"/>
  <c r="AO923" i="3"/>
  <c r="AO924" i="3"/>
  <c r="AO925" i="3"/>
  <c r="AO926" i="3"/>
  <c r="AO927" i="3"/>
  <c r="AO928" i="3"/>
  <c r="AO929" i="3"/>
  <c r="AO930" i="3"/>
  <c r="AO931" i="3"/>
  <c r="AO932" i="3"/>
  <c r="AO933" i="3"/>
  <c r="AO934" i="3"/>
  <c r="AO935" i="3"/>
  <c r="AO936" i="3"/>
  <c r="AO937" i="3"/>
  <c r="AO938" i="3"/>
  <c r="AO939" i="3"/>
  <c r="AO940" i="3"/>
  <c r="AO941" i="3"/>
  <c r="AO942" i="3"/>
  <c r="AO943" i="3"/>
  <c r="AO944" i="3"/>
  <c r="AO945" i="3"/>
  <c r="AO946" i="3"/>
  <c r="AO947" i="3"/>
  <c r="AO948" i="3"/>
  <c r="AO949" i="3"/>
  <c r="AO950" i="3"/>
  <c r="AO951" i="3"/>
  <c r="AO952" i="3"/>
  <c r="AO953" i="3"/>
  <c r="AO954" i="3"/>
  <c r="AO955" i="3"/>
  <c r="AO956" i="3"/>
  <c r="AO957" i="3"/>
  <c r="AO958" i="3"/>
  <c r="AO959" i="3"/>
  <c r="AO960" i="3"/>
  <c r="AO961" i="3"/>
  <c r="AO962" i="3"/>
  <c r="AO963" i="3"/>
  <c r="AO964" i="3"/>
  <c r="AO965" i="3"/>
  <c r="AO966" i="3"/>
  <c r="AO967" i="3"/>
  <c r="AO968" i="3"/>
  <c r="AO969" i="3"/>
  <c r="AO970" i="3"/>
  <c r="AO971" i="3"/>
  <c r="AO972" i="3"/>
  <c r="AO973" i="3"/>
  <c r="AO974" i="3"/>
  <c r="AO975" i="3"/>
  <c r="AO976" i="3"/>
  <c r="AO977" i="3"/>
  <c r="AO978" i="3"/>
  <c r="AO979" i="3"/>
  <c r="AO980" i="3"/>
  <c r="AO981" i="3"/>
  <c r="AO982" i="3"/>
  <c r="AO983" i="3"/>
  <c r="AO984" i="3"/>
  <c r="AO985" i="3"/>
  <c r="AO986" i="3"/>
  <c r="AO987" i="3"/>
  <c r="AO988" i="3"/>
  <c r="AO989" i="3"/>
  <c r="AO990" i="3"/>
  <c r="AO991" i="3"/>
  <c r="AO992" i="3"/>
  <c r="AO993" i="3"/>
  <c r="AO994" i="3"/>
  <c r="AO995" i="3"/>
  <c r="AO996" i="3"/>
  <c r="AO997" i="3"/>
  <c r="AO998" i="3"/>
  <c r="AO999" i="3"/>
  <c r="AO1000" i="3"/>
  <c r="AO1001" i="3"/>
  <c r="AO1002" i="3"/>
  <c r="AO1003" i="3"/>
  <c r="AO1004" i="3"/>
  <c r="AO1005" i="3"/>
  <c r="AO1006" i="3"/>
  <c r="AO1007" i="3"/>
  <c r="AO1008" i="3"/>
  <c r="AO1009" i="3"/>
  <c r="AO1010" i="3"/>
  <c r="AO1011" i="3"/>
  <c r="AO1012" i="3"/>
  <c r="AO1013" i="3"/>
  <c r="AO1014" i="3"/>
  <c r="AO1015" i="3"/>
  <c r="AO1016" i="3"/>
  <c r="AO1017" i="3"/>
  <c r="AO1018" i="3"/>
  <c r="AO1019" i="3"/>
  <c r="AO1020" i="3"/>
  <c r="AO1021" i="3"/>
  <c r="AO1022" i="3"/>
  <c r="AO1023" i="3"/>
  <c r="AO1024" i="3"/>
  <c r="AO1025" i="3"/>
  <c r="AO1026" i="3"/>
  <c r="AO1027" i="3"/>
  <c r="AO1028" i="3"/>
  <c r="AO1029" i="3"/>
  <c r="AO1030" i="3"/>
  <c r="AO1031" i="3"/>
  <c r="AO1032" i="3"/>
  <c r="AO1033" i="3"/>
  <c r="AO1034" i="3"/>
  <c r="AO1035" i="3"/>
  <c r="AO1036" i="3"/>
  <c r="AO1037" i="3"/>
  <c r="AO1038" i="3"/>
  <c r="AO1039" i="3"/>
  <c r="AO1040" i="3"/>
  <c r="AO1041" i="3"/>
  <c r="AO1042" i="3"/>
  <c r="AO1043" i="3"/>
  <c r="AO1044" i="3"/>
  <c r="AO1045" i="3"/>
  <c r="AO1046" i="3"/>
  <c r="AO1047" i="3"/>
  <c r="AO1048" i="3"/>
  <c r="AO1049" i="3"/>
  <c r="AO1050" i="3"/>
  <c r="AO1051" i="3"/>
  <c r="AO1052" i="3"/>
  <c r="AO1053" i="3"/>
  <c r="AO1054" i="3"/>
  <c r="AO1055" i="3"/>
  <c r="AO1056" i="3"/>
  <c r="AO1057" i="3"/>
  <c r="AO1058" i="3"/>
  <c r="AO1059" i="3"/>
  <c r="AO1060" i="3"/>
  <c r="AO1061" i="3"/>
  <c r="AO1062" i="3"/>
  <c r="AO1063" i="3"/>
  <c r="AO1064" i="3"/>
  <c r="AO1065" i="3"/>
  <c r="AO1066" i="3"/>
  <c r="AO1067" i="3"/>
  <c r="AO1068" i="3"/>
  <c r="AO1069" i="3"/>
  <c r="AO1070" i="3"/>
  <c r="AO1071" i="3"/>
  <c r="AO1072" i="3"/>
  <c r="AO1073" i="3"/>
  <c r="AO1074" i="3"/>
  <c r="AO1075" i="3"/>
  <c r="AO1076" i="3"/>
  <c r="AO1077" i="3"/>
  <c r="AO1078" i="3"/>
  <c r="AO1079" i="3"/>
  <c r="AO1080" i="3"/>
  <c r="AO1081" i="3"/>
  <c r="AO1082" i="3"/>
  <c r="AO1083" i="3"/>
  <c r="AO1084" i="3"/>
  <c r="AO1085" i="3"/>
  <c r="AO1086" i="3"/>
  <c r="AO1087" i="3"/>
  <c r="AO1088" i="3"/>
  <c r="AO1089" i="3"/>
  <c r="AO1090" i="3"/>
  <c r="AO1091" i="3"/>
  <c r="AO1092" i="3"/>
  <c r="AO1093" i="3"/>
  <c r="AO1094" i="3"/>
  <c r="AO1095" i="3"/>
  <c r="AO1096" i="3"/>
  <c r="AO1097" i="3"/>
  <c r="AO1098" i="3"/>
  <c r="AO1099" i="3"/>
  <c r="AO1100" i="3"/>
  <c r="AO1101" i="3"/>
  <c r="AO1102" i="3"/>
  <c r="AO1103" i="3"/>
  <c r="AO1104" i="3"/>
  <c r="AO1105" i="3"/>
  <c r="AO1106" i="3"/>
  <c r="AO1107" i="3"/>
  <c r="AO1108" i="3"/>
  <c r="AO1109" i="3"/>
  <c r="AO1110" i="3"/>
  <c r="AO1111" i="3"/>
  <c r="AO1112" i="3"/>
  <c r="AO1113" i="3"/>
  <c r="AO1114" i="3"/>
  <c r="AO1115" i="3"/>
  <c r="AO1116" i="3"/>
  <c r="AO1117" i="3"/>
  <c r="AO1118" i="3"/>
  <c r="AO1119" i="3"/>
  <c r="AO1120" i="3"/>
  <c r="AO1121" i="3"/>
  <c r="AO1122" i="3"/>
  <c r="AO1123" i="3"/>
  <c r="AO1124" i="3"/>
  <c r="AO1125" i="3"/>
  <c r="AO1126" i="3"/>
  <c r="AO1127" i="3"/>
  <c r="AO1128" i="3"/>
  <c r="AO1129" i="3"/>
  <c r="AO1130" i="3"/>
  <c r="AO1131" i="3"/>
  <c r="AO1132" i="3"/>
  <c r="AO1133" i="3"/>
  <c r="AO1134" i="3"/>
  <c r="AO1135" i="3"/>
  <c r="AO1136" i="3"/>
  <c r="AO1137" i="3"/>
  <c r="AO1138" i="3"/>
  <c r="AO1139" i="3"/>
  <c r="AO1140" i="3"/>
  <c r="AO1141" i="3"/>
  <c r="AO1142" i="3"/>
  <c r="AO1143" i="3"/>
  <c r="AO1144" i="3"/>
  <c r="AO1145" i="3"/>
  <c r="AO1146" i="3"/>
  <c r="AO1147" i="3"/>
  <c r="AO1148" i="3"/>
  <c r="AO1149" i="3"/>
  <c r="AO1150" i="3"/>
  <c r="AO1151" i="3"/>
  <c r="AO1152" i="3"/>
  <c r="AO1153" i="3"/>
  <c r="AO1154" i="3"/>
  <c r="AO1155" i="3"/>
  <c r="AO1156" i="3"/>
  <c r="AO1157" i="3"/>
  <c r="AO1158" i="3"/>
  <c r="AO1159" i="3"/>
  <c r="AO1160" i="3"/>
  <c r="AO1161" i="3"/>
  <c r="AO1162" i="3"/>
  <c r="AO1163" i="3"/>
  <c r="AO1164" i="3"/>
  <c r="AO1165" i="3"/>
  <c r="AO1166" i="3"/>
  <c r="AO1167" i="3"/>
  <c r="AO1168" i="3"/>
  <c r="AO1169" i="3"/>
  <c r="AO1170" i="3"/>
  <c r="AO1171" i="3"/>
  <c r="AO1172" i="3"/>
  <c r="AO1173" i="3"/>
  <c r="AO1174" i="3"/>
  <c r="AO1175" i="3"/>
  <c r="AO1176" i="3"/>
  <c r="AO1177" i="3"/>
  <c r="AO1178" i="3"/>
  <c r="AO1179" i="3"/>
  <c r="AO1180" i="3"/>
  <c r="AO1181" i="3"/>
  <c r="AO1182" i="3"/>
  <c r="AO1183" i="3"/>
  <c r="AO1184" i="3"/>
  <c r="AO1185" i="3"/>
  <c r="AO1186" i="3"/>
  <c r="AO1187" i="3"/>
  <c r="AO1188" i="3"/>
  <c r="AO1189" i="3"/>
  <c r="AO1190" i="3"/>
  <c r="AO1191" i="3"/>
  <c r="AO1192" i="3"/>
  <c r="AO1193" i="3"/>
  <c r="AO1194" i="3"/>
  <c r="AO1195" i="3"/>
  <c r="AO1196" i="3"/>
  <c r="AO1197" i="3"/>
  <c r="AO1198" i="3"/>
  <c r="AO1199" i="3"/>
  <c r="AO1200" i="3"/>
  <c r="AO1201" i="3"/>
  <c r="AO1202" i="3"/>
  <c r="AO1203" i="3"/>
  <c r="AO1204" i="3"/>
  <c r="AO1205" i="3"/>
  <c r="AO1206" i="3"/>
  <c r="AO1207" i="3"/>
  <c r="AO1208" i="3"/>
  <c r="AO1209" i="3"/>
  <c r="AO1210" i="3"/>
  <c r="AO1211" i="3"/>
  <c r="AO1212" i="3"/>
  <c r="AO1213" i="3"/>
  <c r="AO1214" i="3"/>
  <c r="AO1215" i="3"/>
  <c r="AO1216" i="3"/>
  <c r="AO1217" i="3"/>
  <c r="AO1218" i="3"/>
  <c r="AO1219" i="3"/>
  <c r="AO1220" i="3"/>
  <c r="AO1221" i="3"/>
  <c r="AO1222" i="3"/>
  <c r="AO1223" i="3"/>
  <c r="AO1224" i="3"/>
  <c r="AO1225" i="3"/>
  <c r="AO1226" i="3"/>
  <c r="AO1227" i="3"/>
  <c r="AO1228" i="3"/>
  <c r="AO1229" i="3"/>
  <c r="AO1230" i="3"/>
  <c r="AO1231" i="3"/>
  <c r="AO1232" i="3"/>
  <c r="AO1233" i="3"/>
  <c r="AO1234" i="3"/>
  <c r="AO1235" i="3"/>
  <c r="AO1236" i="3"/>
  <c r="AO1237" i="3"/>
  <c r="AO1238" i="3"/>
  <c r="AO1239" i="3"/>
  <c r="AO1240" i="3"/>
  <c r="AO1241" i="3"/>
  <c r="AO1242" i="3"/>
  <c r="AO1243" i="3"/>
  <c r="AO1244" i="3"/>
  <c r="AO1245" i="3"/>
  <c r="AO1246" i="3"/>
  <c r="AO1247" i="3"/>
  <c r="AO1248" i="3"/>
  <c r="AO1249" i="3"/>
  <c r="AO1250" i="3"/>
  <c r="AO1251" i="3"/>
  <c r="AO1252" i="3"/>
  <c r="AO1253" i="3"/>
  <c r="AO1254" i="3"/>
  <c r="AO1255" i="3"/>
  <c r="AO1256" i="3"/>
  <c r="AO1257" i="3"/>
  <c r="AO1258" i="3"/>
  <c r="AO1259" i="3"/>
  <c r="AO1260" i="3"/>
  <c r="AO1261" i="3"/>
  <c r="AO1262" i="3"/>
  <c r="AO1263" i="3"/>
  <c r="AO1264" i="3"/>
  <c r="AO1265" i="3"/>
  <c r="AO1266" i="3"/>
  <c r="AO1267" i="3"/>
  <c r="AO1268" i="3"/>
  <c r="AO1269" i="3"/>
  <c r="AO1270" i="3"/>
  <c r="AO1271" i="3"/>
  <c r="AO1272" i="3"/>
  <c r="AO1273" i="3"/>
  <c r="AO1274" i="3"/>
  <c r="AO1275" i="3"/>
  <c r="AO1276" i="3"/>
  <c r="AO1277" i="3"/>
  <c r="AO1278" i="3"/>
  <c r="AO1279" i="3"/>
  <c r="AO1280" i="3"/>
  <c r="AO1281" i="3"/>
  <c r="AO1282" i="3"/>
  <c r="AO1283" i="3"/>
  <c r="AO1284" i="3"/>
  <c r="AO1285" i="3"/>
  <c r="AO1286" i="3"/>
  <c r="AO1287" i="3"/>
  <c r="AO1288" i="3"/>
  <c r="AO1289" i="3"/>
  <c r="AO1290" i="3"/>
  <c r="AO1291" i="3"/>
  <c r="AO1292" i="3"/>
  <c r="AO1293" i="3"/>
  <c r="AO1294" i="3"/>
  <c r="AO1295" i="3"/>
  <c r="AO1296" i="3"/>
  <c r="AO1297" i="3"/>
  <c r="AO1298" i="3"/>
  <c r="AO1299" i="3"/>
  <c r="AO1300" i="3"/>
  <c r="AO1301" i="3"/>
  <c r="AO1302" i="3"/>
  <c r="AO1303" i="3"/>
  <c r="AO1304" i="3"/>
  <c r="AO1305" i="3"/>
  <c r="AO1306" i="3"/>
  <c r="AO1307" i="3"/>
  <c r="AO1308" i="3"/>
  <c r="AO1309" i="3"/>
  <c r="AO1310" i="3"/>
  <c r="AO1311" i="3"/>
  <c r="AO1312" i="3"/>
  <c r="AO1313" i="3"/>
  <c r="AO1314" i="3"/>
  <c r="AO1315" i="3"/>
  <c r="AO1316" i="3"/>
  <c r="AO1317" i="3"/>
  <c r="AO1318" i="3"/>
  <c r="AO1319" i="3"/>
  <c r="AO1320" i="3"/>
  <c r="AO1321" i="3"/>
  <c r="AO1322" i="3"/>
  <c r="AO1323" i="3"/>
  <c r="AO1324" i="3"/>
  <c r="AO1325" i="3"/>
  <c r="AO1326" i="3"/>
  <c r="AO1327" i="3"/>
  <c r="AO1328" i="3"/>
  <c r="AO1329" i="3"/>
  <c r="AO1330" i="3"/>
  <c r="AO1331" i="3"/>
  <c r="AO1332" i="3"/>
  <c r="AO1333" i="3"/>
  <c r="AO1334" i="3"/>
  <c r="AO1335" i="3"/>
  <c r="AO1336" i="3"/>
  <c r="AO1337" i="3"/>
  <c r="AO1338" i="3"/>
  <c r="AO1339" i="3"/>
  <c r="AO1340" i="3"/>
  <c r="AO1341" i="3"/>
  <c r="AO1342" i="3"/>
  <c r="AO1343" i="3"/>
  <c r="AO1344" i="3"/>
  <c r="AO1345" i="3"/>
  <c r="AO1346" i="3"/>
  <c r="AO1347" i="3"/>
  <c r="AO1348" i="3"/>
  <c r="AO1349" i="3"/>
  <c r="AO1350" i="3"/>
  <c r="AO1351" i="3"/>
  <c r="AO1352" i="3"/>
  <c r="AO1353" i="3"/>
  <c r="AO1354" i="3"/>
  <c r="AO1355" i="3"/>
  <c r="AO1356" i="3"/>
  <c r="AO1357" i="3"/>
  <c r="AO1358" i="3"/>
  <c r="AO1359" i="3"/>
  <c r="AO1360" i="3"/>
  <c r="AO1361" i="3"/>
  <c r="AO1362" i="3"/>
  <c r="AO1363" i="3"/>
  <c r="AO1364" i="3"/>
  <c r="AO1365" i="3"/>
  <c r="AO1366" i="3"/>
  <c r="AO1367" i="3"/>
  <c r="AO1368" i="3"/>
  <c r="AO1369" i="3"/>
  <c r="AO1370" i="3"/>
  <c r="AO1371" i="3"/>
  <c r="AO1372" i="3"/>
  <c r="AO1373" i="3"/>
  <c r="AO1374" i="3"/>
  <c r="AO1375" i="3"/>
  <c r="AO1376" i="3"/>
  <c r="AO1377" i="3"/>
  <c r="AO1378" i="3"/>
  <c r="AO1379" i="3"/>
  <c r="AO1380" i="3"/>
  <c r="AO1381" i="3"/>
  <c r="AO1382" i="3"/>
  <c r="AO1383" i="3"/>
  <c r="AO1384" i="3"/>
  <c r="AO1385" i="3"/>
  <c r="AO1386" i="3"/>
  <c r="AO1387" i="3"/>
  <c r="AO1388" i="3"/>
  <c r="AO1389" i="3"/>
  <c r="AO1390" i="3"/>
  <c r="AO1391" i="3"/>
  <c r="AO1392" i="3"/>
  <c r="AO1393" i="3"/>
  <c r="AO1394" i="3"/>
  <c r="AO1395" i="3"/>
  <c r="AO1396" i="3"/>
  <c r="AO1397" i="3"/>
  <c r="AO1398" i="3"/>
  <c r="AO1399" i="3"/>
  <c r="AO1400" i="3"/>
  <c r="AO1401" i="3"/>
  <c r="AO1402" i="3"/>
  <c r="AO1403" i="3"/>
  <c r="AO1404" i="3"/>
  <c r="AO1405" i="3"/>
  <c r="AO1406" i="3"/>
  <c r="AO1407" i="3"/>
  <c r="AO1408" i="3"/>
  <c r="AO1409" i="3"/>
  <c r="AO1410" i="3"/>
  <c r="AO1411" i="3"/>
  <c r="AO1412" i="3"/>
  <c r="AO1413" i="3"/>
  <c r="AO1414" i="3"/>
  <c r="AO1415" i="3"/>
  <c r="AO1416" i="3"/>
  <c r="AO1417" i="3"/>
  <c r="AO1418" i="3"/>
  <c r="AO1419" i="3"/>
  <c r="AO1420" i="3"/>
  <c r="AO1421" i="3"/>
  <c r="AO1422" i="3"/>
  <c r="AO1423" i="3"/>
  <c r="AO1424" i="3"/>
  <c r="AO1425" i="3"/>
  <c r="AO1426" i="3"/>
  <c r="AO1427" i="3"/>
  <c r="AO1428" i="3"/>
  <c r="AO1429" i="3"/>
  <c r="AO1430" i="3"/>
  <c r="AO1431" i="3"/>
  <c r="AO1432" i="3"/>
  <c r="AO1433" i="3"/>
  <c r="AO1434" i="3"/>
  <c r="AO1435" i="3"/>
  <c r="AO1436" i="3"/>
  <c r="AO1437" i="3"/>
  <c r="AO1438" i="3"/>
  <c r="AO1439" i="3"/>
  <c r="AO1440" i="3"/>
  <c r="AO1441" i="3"/>
  <c r="AO1442" i="3"/>
  <c r="AO1443" i="3"/>
  <c r="AO1444" i="3"/>
  <c r="AO1445" i="3"/>
  <c r="AO1446" i="3"/>
  <c r="AO1447" i="3"/>
  <c r="AO1448" i="3"/>
  <c r="AO1449" i="3"/>
  <c r="AO1450" i="3"/>
  <c r="AO1451" i="3"/>
  <c r="AO1452" i="3"/>
  <c r="AO1453" i="3"/>
  <c r="AO1454" i="3"/>
  <c r="AO1455" i="3"/>
  <c r="AO1456" i="3"/>
  <c r="AO1457" i="3"/>
  <c r="AO1458" i="3"/>
  <c r="AO1459" i="3"/>
  <c r="AO1460" i="3"/>
  <c r="AO1461" i="3"/>
  <c r="AO1462" i="3"/>
  <c r="AO1463" i="3"/>
  <c r="AO1464" i="3"/>
  <c r="AO1465" i="3"/>
  <c r="AO1466" i="3"/>
  <c r="AO1467" i="3"/>
  <c r="AO1468" i="3"/>
  <c r="AO1469" i="3"/>
  <c r="AO1470" i="3"/>
  <c r="AO1471" i="3"/>
  <c r="AO1472" i="3"/>
  <c r="AO1473" i="3"/>
  <c r="AO1474" i="3"/>
  <c r="AO1475" i="3"/>
  <c r="AO1476" i="3"/>
  <c r="AO1477" i="3"/>
  <c r="AO1478" i="3"/>
  <c r="AO1479" i="3"/>
  <c r="AO1480" i="3"/>
  <c r="AO1481" i="3"/>
  <c r="AO1482" i="3"/>
  <c r="AO1483" i="3"/>
  <c r="AO1484" i="3"/>
  <c r="AO1485" i="3"/>
  <c r="AO1486" i="3"/>
  <c r="AO1487" i="3"/>
  <c r="AO1488" i="3"/>
  <c r="AO1489" i="3"/>
  <c r="AO1490" i="3"/>
  <c r="AO1491" i="3"/>
  <c r="AO1492" i="3"/>
  <c r="AO1493" i="3"/>
  <c r="AO1494" i="3"/>
  <c r="AO1495" i="3"/>
  <c r="AO1496" i="3"/>
  <c r="AO1497" i="3"/>
  <c r="AO1498" i="3"/>
  <c r="AO1499" i="3"/>
  <c r="AO1500" i="3"/>
  <c r="AO1501" i="3"/>
  <c r="AO1502" i="3"/>
  <c r="AO1503" i="3"/>
  <c r="AO1504" i="3"/>
  <c r="AO1505" i="3"/>
  <c r="AO1506" i="3"/>
  <c r="AO1507" i="3"/>
  <c r="AO1508" i="3"/>
  <c r="AO1509" i="3"/>
  <c r="AO1510" i="3"/>
  <c r="AO1511" i="3"/>
  <c r="AO1512" i="3"/>
  <c r="AO1513" i="3"/>
  <c r="AO1514" i="3"/>
  <c r="AO1515" i="3"/>
  <c r="AO1516" i="3"/>
  <c r="AO1517" i="3"/>
  <c r="AO1518" i="3"/>
  <c r="AO1519" i="3"/>
  <c r="AO1520" i="3"/>
  <c r="AO1521" i="3"/>
  <c r="AO1522" i="3"/>
  <c r="AO1523" i="3"/>
  <c r="AO1524" i="3"/>
  <c r="AO1525" i="3"/>
  <c r="AO1526" i="3"/>
  <c r="AO1527" i="3"/>
  <c r="AO1528" i="3"/>
  <c r="AO1529" i="3"/>
  <c r="AO1530" i="3"/>
  <c r="AO1531" i="3"/>
  <c r="AO1532" i="3"/>
  <c r="AO1533" i="3"/>
  <c r="AO1534" i="3"/>
  <c r="AO1535" i="3"/>
  <c r="AO1536" i="3"/>
  <c r="AO1537" i="3"/>
  <c r="AO1538" i="3"/>
  <c r="AO1539" i="3"/>
  <c r="AO1540" i="3"/>
  <c r="AO1541" i="3"/>
  <c r="AO1542" i="3"/>
  <c r="AO1543" i="3"/>
  <c r="AO1544" i="3"/>
  <c r="AO1545" i="3"/>
  <c r="AO1546" i="3"/>
  <c r="AO1547" i="3"/>
  <c r="AO1548" i="3"/>
  <c r="AO1549" i="3"/>
  <c r="AO1550" i="3"/>
  <c r="AO1551" i="3"/>
  <c r="AO1552" i="3"/>
  <c r="AO1553" i="3"/>
  <c r="AO1554" i="3"/>
  <c r="AO1555" i="3"/>
  <c r="AO1556" i="3"/>
  <c r="AO1557" i="3"/>
  <c r="AO1558" i="3"/>
  <c r="AO1559" i="3"/>
  <c r="AO1560" i="3"/>
  <c r="AO1561" i="3"/>
  <c r="AO1562" i="3"/>
  <c r="AO1563" i="3"/>
  <c r="AO1564" i="3"/>
  <c r="AO1565" i="3"/>
  <c r="AO1566" i="3"/>
  <c r="AO1567" i="3"/>
  <c r="AO1568" i="3"/>
  <c r="AO1569" i="3"/>
  <c r="AO1570" i="3"/>
  <c r="AO1571" i="3"/>
  <c r="AO1572" i="3"/>
  <c r="AO1573" i="3"/>
  <c r="AO1574" i="3"/>
  <c r="AO1575" i="3"/>
  <c r="AO1576" i="3"/>
  <c r="AO1577" i="3"/>
  <c r="AO1578" i="3"/>
  <c r="AO1579" i="3"/>
  <c r="AO1580" i="3"/>
  <c r="AO1581" i="3"/>
  <c r="AO1582" i="3"/>
  <c r="AO1583" i="3"/>
  <c r="AO1584" i="3"/>
  <c r="AO1585" i="3"/>
  <c r="AO1586" i="3"/>
  <c r="AO1587" i="3"/>
  <c r="AO1588" i="3"/>
  <c r="AO1589" i="3"/>
  <c r="AO1590" i="3"/>
  <c r="AO1591" i="3"/>
  <c r="AO1592" i="3"/>
  <c r="AO1593" i="3"/>
  <c r="AO1594" i="3"/>
  <c r="AO1595" i="3"/>
  <c r="AO1596" i="3"/>
  <c r="AO1597" i="3"/>
  <c r="AO1598" i="3"/>
  <c r="AO1599" i="3"/>
  <c r="AO1600" i="3"/>
  <c r="AO1601" i="3"/>
  <c r="AO1602" i="3"/>
  <c r="AO1603" i="3"/>
  <c r="AO1604" i="3"/>
  <c r="AO1605" i="3"/>
  <c r="AO1606" i="3"/>
  <c r="AO1607" i="3"/>
  <c r="AO1608" i="3"/>
  <c r="AO1609" i="3"/>
  <c r="AO1610" i="3"/>
  <c r="AO1611" i="3"/>
  <c r="AO1612" i="3"/>
  <c r="AO1613" i="3"/>
  <c r="AO1614" i="3"/>
  <c r="AO1615" i="3"/>
  <c r="AO1616" i="3"/>
  <c r="AO1617" i="3"/>
  <c r="AO1618" i="3"/>
  <c r="AO1619" i="3"/>
  <c r="AO1620" i="3"/>
  <c r="AO1621" i="3"/>
  <c r="AO1622" i="3"/>
  <c r="AO1623" i="3"/>
  <c r="AO1624" i="3"/>
  <c r="AO1625" i="3"/>
  <c r="AO1626" i="3"/>
  <c r="AO1627" i="3"/>
  <c r="AO1628" i="3"/>
  <c r="AO1629" i="3"/>
  <c r="AO1630" i="3"/>
  <c r="AO1631" i="3"/>
  <c r="AO1632" i="3"/>
  <c r="AO1633" i="3"/>
  <c r="AO1634" i="3"/>
  <c r="AO1635" i="3"/>
  <c r="AO1636" i="3"/>
  <c r="AO1637" i="3"/>
  <c r="AO1638" i="3"/>
  <c r="AO1639" i="3"/>
  <c r="AO1640" i="3"/>
  <c r="AO1641" i="3"/>
  <c r="AO1642" i="3"/>
  <c r="AO1643" i="3"/>
  <c r="AO1644" i="3"/>
  <c r="AO1645" i="3"/>
  <c r="AO1646" i="3"/>
  <c r="AO1647" i="3"/>
  <c r="AO1648" i="3"/>
  <c r="AO1649" i="3"/>
  <c r="AO1650" i="3"/>
  <c r="AO1651" i="3"/>
  <c r="AO1652" i="3"/>
  <c r="AO1653" i="3"/>
  <c r="AO1654" i="3"/>
  <c r="AO1655" i="3"/>
  <c r="AO1656" i="3"/>
  <c r="AO1657" i="3"/>
  <c r="AO1658" i="3"/>
  <c r="AO1659" i="3"/>
  <c r="AO1660" i="3"/>
  <c r="AO1661" i="3"/>
  <c r="AO1662" i="3"/>
  <c r="AO1663" i="3"/>
  <c r="AO1664" i="3"/>
  <c r="AO1665" i="3"/>
  <c r="AO1666" i="3"/>
  <c r="AO1667" i="3"/>
  <c r="AO1668" i="3"/>
  <c r="AO1669" i="3"/>
  <c r="AO1670" i="3"/>
  <c r="AO1671" i="3"/>
  <c r="AO1672" i="3"/>
  <c r="AO1673" i="3"/>
  <c r="AO1674" i="3"/>
  <c r="AO1675" i="3"/>
  <c r="AO1676" i="3"/>
  <c r="AO1677" i="3"/>
  <c r="AO1678" i="3"/>
  <c r="AO1679" i="3"/>
  <c r="AO1680" i="3"/>
  <c r="AO1681" i="3"/>
  <c r="AO1682" i="3"/>
  <c r="AO1683" i="3"/>
  <c r="AO1684" i="3"/>
  <c r="AO1685" i="3"/>
  <c r="AO1686" i="3"/>
  <c r="AO1687" i="3"/>
  <c r="AO1688" i="3"/>
  <c r="AO1689" i="3"/>
  <c r="AO1690" i="3"/>
  <c r="AO1691" i="3"/>
  <c r="AO1692" i="3"/>
  <c r="AO1693" i="3"/>
  <c r="AO1694" i="3"/>
  <c r="AO1695" i="3"/>
  <c r="AO1696" i="3"/>
  <c r="AO1697" i="3"/>
  <c r="AO1698" i="3"/>
  <c r="AO1699" i="3"/>
  <c r="AO1700" i="3"/>
  <c r="AO1701" i="3"/>
  <c r="AO1702" i="3"/>
  <c r="AO1703" i="3"/>
  <c r="AO1704" i="3"/>
  <c r="AO1705" i="3"/>
  <c r="AO1706" i="3"/>
  <c r="AO1707" i="3"/>
  <c r="AO1708" i="3"/>
  <c r="AO1709" i="3"/>
  <c r="AO1710" i="3"/>
  <c r="AO1711" i="3"/>
  <c r="AO1712" i="3"/>
  <c r="AO1713" i="3"/>
  <c r="AO1714" i="3"/>
  <c r="AO1715" i="3"/>
  <c r="AO1716" i="3"/>
  <c r="AO1717" i="3"/>
  <c r="AO1718" i="3"/>
  <c r="AO1719" i="3"/>
  <c r="AO1720" i="3"/>
  <c r="AO1721" i="3"/>
  <c r="AO1722" i="3"/>
  <c r="AO1723" i="3"/>
  <c r="AO1724" i="3"/>
  <c r="AO1725" i="3"/>
  <c r="AO1726" i="3"/>
  <c r="AO1727" i="3"/>
  <c r="AO1728" i="3"/>
  <c r="AO1729" i="3"/>
  <c r="AO1730" i="3"/>
  <c r="AO1731" i="3"/>
  <c r="AO1732" i="3"/>
  <c r="AO1733" i="3"/>
  <c r="AO1734" i="3"/>
  <c r="AO1735" i="3"/>
  <c r="AO1736" i="3"/>
  <c r="AO1737" i="3"/>
  <c r="AO1738" i="3"/>
  <c r="AO1739" i="3"/>
  <c r="AO1740" i="3"/>
  <c r="AO1741" i="3"/>
  <c r="AO1742" i="3"/>
  <c r="AO1743" i="3"/>
  <c r="AO1744" i="3"/>
  <c r="AO1745" i="3"/>
  <c r="AO1746" i="3"/>
  <c r="AO1747" i="3"/>
  <c r="AO1748" i="3"/>
  <c r="AO1749" i="3"/>
  <c r="AO1750" i="3"/>
  <c r="AO1751" i="3"/>
  <c r="AO1752" i="3"/>
  <c r="AO1753" i="3"/>
  <c r="AO1754" i="3"/>
  <c r="AO1755" i="3"/>
  <c r="AO1756" i="3"/>
  <c r="AO1757" i="3"/>
  <c r="AO1758" i="3"/>
  <c r="AO1759" i="3"/>
  <c r="AO1760" i="3"/>
  <c r="AO1761" i="3"/>
  <c r="AO1762" i="3"/>
  <c r="AO1763" i="3"/>
  <c r="AO1764" i="3"/>
  <c r="AO1765" i="3"/>
  <c r="AO1766" i="3"/>
  <c r="AO1767" i="3"/>
  <c r="AO1768" i="3"/>
  <c r="AO1769" i="3"/>
  <c r="AO1770" i="3"/>
  <c r="AO1771" i="3"/>
  <c r="AO1772" i="3"/>
  <c r="AO1773" i="3"/>
  <c r="AO1774" i="3"/>
  <c r="AO1775" i="3"/>
  <c r="AO1776" i="3"/>
  <c r="AO1777" i="3"/>
  <c r="AO1778" i="3"/>
  <c r="AO1779" i="3"/>
  <c r="AO1780" i="3"/>
  <c r="AO1781" i="3"/>
  <c r="AO1782" i="3"/>
  <c r="AO1783" i="3"/>
  <c r="AO1784" i="3"/>
  <c r="AO1785" i="3"/>
  <c r="AO1786" i="3"/>
  <c r="AO1787" i="3"/>
  <c r="AO1788" i="3"/>
  <c r="AO1789" i="3"/>
  <c r="AO1790" i="3"/>
  <c r="AO1791" i="3"/>
  <c r="AO1792" i="3"/>
  <c r="AO1793" i="3"/>
  <c r="AO1794" i="3"/>
  <c r="AO1795" i="3"/>
  <c r="AO1796" i="3"/>
  <c r="AO1797" i="3"/>
  <c r="AO1798" i="3"/>
  <c r="AO1799" i="3"/>
  <c r="AO1800" i="3"/>
  <c r="AO1801" i="3"/>
  <c r="AO1802" i="3"/>
  <c r="AO1803" i="3"/>
  <c r="AO1804" i="3"/>
  <c r="AO1805" i="3"/>
  <c r="AO1806" i="3"/>
  <c r="AO1807" i="3"/>
  <c r="AO1808" i="3"/>
  <c r="AO1809" i="3"/>
  <c r="AO1810" i="3"/>
  <c r="AO1811" i="3"/>
  <c r="AO1812" i="3"/>
  <c r="AO1813" i="3"/>
  <c r="AO1814" i="3"/>
  <c r="AO1815" i="3"/>
  <c r="AO1816" i="3"/>
  <c r="AO1817" i="3"/>
  <c r="AO1818" i="3"/>
  <c r="AO1819" i="3"/>
  <c r="AO1820" i="3"/>
  <c r="AO1821" i="3"/>
  <c r="AO1822" i="3"/>
  <c r="AO1823" i="3"/>
  <c r="AO1824" i="3"/>
  <c r="AO1825" i="3"/>
  <c r="AO1826" i="3"/>
  <c r="AO1827" i="3"/>
  <c r="AO1828" i="3"/>
  <c r="AO1829" i="3"/>
  <c r="AO1830" i="3"/>
  <c r="AO1831" i="3"/>
  <c r="AO1832" i="3"/>
  <c r="AO1833" i="3"/>
  <c r="AO1834" i="3"/>
  <c r="AO1835" i="3"/>
  <c r="AO1836" i="3"/>
  <c r="AO1837" i="3"/>
  <c r="AO1838" i="3"/>
  <c r="AO1839" i="3"/>
  <c r="AO1840" i="3"/>
  <c r="AO1841" i="3"/>
  <c r="AO1842" i="3"/>
  <c r="AO1843" i="3"/>
  <c r="AO1844" i="3"/>
  <c r="AO1845" i="3"/>
  <c r="AO1846" i="3"/>
  <c r="AO1847" i="3"/>
  <c r="AO1848" i="3"/>
  <c r="AO1849" i="3"/>
  <c r="AO1850" i="3"/>
  <c r="AO1851" i="3"/>
  <c r="AO1852" i="3"/>
  <c r="AO1853" i="3"/>
  <c r="AO1854" i="3"/>
  <c r="AO1855" i="3"/>
  <c r="AO1856" i="3"/>
  <c r="AO1857" i="3"/>
  <c r="AO1858" i="3"/>
  <c r="AO1859" i="3"/>
  <c r="AO1860" i="3"/>
  <c r="AO1861" i="3"/>
  <c r="AO1862" i="3"/>
  <c r="AO1863" i="3"/>
  <c r="AO1864" i="3"/>
  <c r="AO1865" i="3"/>
  <c r="AO1866" i="3"/>
  <c r="AO1867" i="3"/>
  <c r="AO1868" i="3"/>
  <c r="AO1869" i="3"/>
  <c r="AO1870" i="3"/>
  <c r="AO1871" i="3"/>
  <c r="AO1872" i="3"/>
  <c r="AO1873" i="3"/>
  <c r="AO1874" i="3"/>
  <c r="AO1875" i="3"/>
  <c r="AO1876" i="3"/>
  <c r="AO1877" i="3"/>
  <c r="AO1878" i="3"/>
  <c r="AO1879" i="3"/>
  <c r="AO1880" i="3"/>
  <c r="AO1881" i="3"/>
  <c r="AO1882" i="3"/>
  <c r="AO1883" i="3"/>
  <c r="AO1884" i="3"/>
  <c r="AO1885" i="3"/>
  <c r="AO1886" i="3"/>
  <c r="AO1887" i="3"/>
  <c r="AO1888" i="3"/>
  <c r="AO1889" i="3"/>
  <c r="AO1890" i="3"/>
  <c r="AO1891" i="3"/>
  <c r="AO1892" i="3"/>
  <c r="AO1893" i="3"/>
  <c r="AO1894" i="3"/>
  <c r="AO1895" i="3"/>
  <c r="AO1896" i="3"/>
  <c r="AO1897" i="3"/>
  <c r="AO1898" i="3"/>
  <c r="AO1899" i="3"/>
  <c r="AO1900" i="3"/>
  <c r="AO1901" i="3"/>
  <c r="AO1902" i="3"/>
  <c r="AO1903" i="3"/>
  <c r="AO1904" i="3"/>
  <c r="AO1905" i="3"/>
  <c r="AO1906" i="3"/>
  <c r="AO1907" i="3"/>
  <c r="AO1908" i="3"/>
  <c r="AO1909" i="3"/>
  <c r="AO1910" i="3"/>
  <c r="AO1911" i="3"/>
  <c r="AO1912" i="3"/>
  <c r="AO1913" i="3"/>
  <c r="AO1914" i="3"/>
  <c r="AO1915" i="3"/>
  <c r="AO1916" i="3"/>
  <c r="AO1917" i="3"/>
  <c r="AO1918" i="3"/>
  <c r="AO1919" i="3"/>
  <c r="AO1920" i="3"/>
  <c r="AO1921" i="3"/>
  <c r="AO1922" i="3"/>
  <c r="AO1923" i="3"/>
  <c r="AO1924" i="3"/>
  <c r="AO1925" i="3"/>
  <c r="AO1926" i="3"/>
  <c r="AO1927" i="3"/>
  <c r="AO1928" i="3"/>
  <c r="AO1929" i="3"/>
  <c r="AO1930" i="3"/>
  <c r="AO1931" i="3"/>
  <c r="AO1932" i="3"/>
  <c r="AO1933" i="3"/>
  <c r="AO1934" i="3"/>
  <c r="AO1935" i="3"/>
  <c r="AO1936" i="3"/>
  <c r="AO1937" i="3"/>
  <c r="AO1938" i="3"/>
  <c r="AO1939" i="3"/>
  <c r="AO1940" i="3"/>
  <c r="AO1941" i="3"/>
  <c r="AO1942" i="3"/>
  <c r="AO1943" i="3"/>
  <c r="AO1944" i="3"/>
  <c r="AO1945" i="3"/>
  <c r="AO1946" i="3"/>
  <c r="AO1947" i="3"/>
  <c r="AO1948" i="3"/>
  <c r="AO1949" i="3"/>
  <c r="AO1950" i="3"/>
  <c r="AO1951" i="3"/>
  <c r="AO1952" i="3"/>
  <c r="AO1953" i="3"/>
  <c r="AO1954" i="3"/>
  <c r="AO1955" i="3"/>
  <c r="AO1956" i="3"/>
  <c r="AO1957" i="3"/>
  <c r="AO1958" i="3"/>
  <c r="AO1959" i="3"/>
  <c r="AO1960" i="3"/>
  <c r="AO1961" i="3"/>
  <c r="AO1962" i="3"/>
  <c r="AO1963" i="3"/>
  <c r="AO1964" i="3"/>
  <c r="AO1965" i="3"/>
  <c r="AO1966" i="3"/>
  <c r="AO1967" i="3"/>
  <c r="AO1968" i="3"/>
  <c r="AO1969" i="3"/>
  <c r="AO1970" i="3"/>
  <c r="AO1971" i="3"/>
  <c r="AO1972" i="3"/>
  <c r="AO1973" i="3"/>
  <c r="AO1974" i="3"/>
  <c r="AO1975" i="3"/>
  <c r="AO1976" i="3"/>
  <c r="AO1977" i="3"/>
  <c r="AO1978" i="3"/>
  <c r="AO1979" i="3"/>
  <c r="AO1980" i="3"/>
  <c r="AO1981" i="3"/>
  <c r="AO1982" i="3"/>
  <c r="AO1983" i="3"/>
  <c r="AO1984" i="3"/>
  <c r="AO1985" i="3"/>
  <c r="AO1986" i="3"/>
  <c r="AO1987" i="3"/>
  <c r="AO1988" i="3"/>
  <c r="AO1989" i="3"/>
  <c r="AO1990" i="3"/>
  <c r="AO1991" i="3"/>
  <c r="AO1992" i="3"/>
  <c r="AO1993" i="3"/>
  <c r="AO1994" i="3"/>
  <c r="AO1995" i="3"/>
  <c r="AO1996" i="3"/>
  <c r="AO1997" i="3"/>
  <c r="AO1998" i="3"/>
  <c r="AO1999" i="3"/>
  <c r="AO2000" i="3"/>
  <c r="AO2001" i="3"/>
  <c r="AO2002" i="3"/>
  <c r="AO2003" i="3"/>
  <c r="AO2004" i="3"/>
  <c r="AO2005" i="3"/>
  <c r="AO2006" i="3"/>
  <c r="AO2007" i="3"/>
  <c r="AO2008" i="3"/>
  <c r="AO2009" i="3"/>
  <c r="AO2010" i="3"/>
  <c r="AO2011" i="3"/>
  <c r="AO2012" i="3"/>
  <c r="AO2013" i="3"/>
  <c r="AO2014" i="3"/>
  <c r="AO2015" i="3"/>
  <c r="AO2016" i="3"/>
  <c r="AO2017" i="3"/>
  <c r="AO2018" i="3"/>
  <c r="AO2019" i="3"/>
  <c r="AO2020" i="3"/>
  <c r="AO2021" i="3"/>
  <c r="AO2022" i="3"/>
  <c r="AO2023" i="3"/>
  <c r="AO2024" i="3"/>
  <c r="AO2025" i="3"/>
  <c r="AO2026" i="3"/>
  <c r="AO2027" i="3"/>
  <c r="AO2028" i="3"/>
  <c r="AO2029" i="3"/>
  <c r="AO2030" i="3"/>
  <c r="AO2031" i="3"/>
  <c r="AO2032" i="3"/>
  <c r="AO2033" i="3"/>
  <c r="AO2034" i="3"/>
  <c r="AO2035" i="3"/>
  <c r="AO2036" i="3"/>
  <c r="AO2037" i="3"/>
  <c r="AO2038" i="3"/>
  <c r="AO2039" i="3"/>
  <c r="AO2040" i="3"/>
  <c r="AO2041" i="3"/>
  <c r="AO2042" i="3"/>
  <c r="AO2043" i="3"/>
  <c r="AO2044" i="3"/>
  <c r="AO2045" i="3"/>
  <c r="AO2046" i="3"/>
  <c r="AO2047" i="3"/>
  <c r="AO2048" i="3"/>
  <c r="AO2049" i="3"/>
  <c r="AO2050" i="3"/>
  <c r="AO2051" i="3"/>
  <c r="AO2052" i="3"/>
  <c r="AO2053" i="3"/>
  <c r="AO2054" i="3"/>
  <c r="AO2055" i="3"/>
  <c r="AO2056" i="3"/>
  <c r="AO2057" i="3"/>
  <c r="AO2058" i="3"/>
  <c r="AO2059" i="3"/>
  <c r="AO2060" i="3"/>
  <c r="AO2061" i="3"/>
  <c r="AO2062" i="3"/>
  <c r="AO2063" i="3"/>
  <c r="AO2064" i="3"/>
  <c r="AO2065" i="3"/>
  <c r="AO2066" i="3"/>
  <c r="AO2067" i="3"/>
  <c r="AO2068" i="3"/>
  <c r="AO2069" i="3"/>
  <c r="AO2070" i="3"/>
  <c r="AO2071" i="3"/>
  <c r="AO2072" i="3"/>
  <c r="AO2073" i="3"/>
  <c r="AO2074" i="3"/>
  <c r="AO2075" i="3"/>
  <c r="AO2076" i="3"/>
  <c r="AO2077" i="3"/>
  <c r="AO2078" i="3"/>
  <c r="AO2079" i="3"/>
  <c r="AO2080" i="3"/>
  <c r="AO2081" i="3"/>
  <c r="AO2082" i="3"/>
  <c r="AO2083" i="3"/>
  <c r="AO2084" i="3"/>
  <c r="AO2085" i="3"/>
  <c r="AO2086" i="3"/>
  <c r="AO2087" i="3"/>
  <c r="AO2088" i="3"/>
  <c r="AO2089" i="3"/>
  <c r="AO2090" i="3"/>
  <c r="AO2091" i="3"/>
  <c r="AO2092" i="3"/>
  <c r="AO2093" i="3"/>
  <c r="AO2094" i="3"/>
  <c r="AO2095" i="3"/>
  <c r="AO2096" i="3"/>
  <c r="AO2097" i="3"/>
  <c r="AO2098" i="3"/>
  <c r="AO2099" i="3"/>
  <c r="AO2100" i="3"/>
  <c r="AO2101" i="3"/>
  <c r="AO2102" i="3"/>
  <c r="AO2103" i="3"/>
  <c r="AO2104" i="3"/>
  <c r="AO2105" i="3"/>
  <c r="AO2106" i="3"/>
  <c r="AO2107" i="3"/>
  <c r="AO2108" i="3"/>
  <c r="AO2109" i="3"/>
  <c r="AO2110" i="3"/>
  <c r="AO2111" i="3"/>
  <c r="AO2112" i="3"/>
  <c r="AO2113" i="3"/>
  <c r="AO2114" i="3"/>
  <c r="AO2115" i="3"/>
  <c r="AO2116" i="3"/>
  <c r="AO2117" i="3"/>
  <c r="AO2118" i="3"/>
  <c r="AO2119" i="3"/>
  <c r="AO2120" i="3"/>
  <c r="AO2121" i="3"/>
  <c r="AO2122" i="3"/>
  <c r="AO2123" i="3"/>
  <c r="AO2124" i="3"/>
  <c r="AO2125" i="3"/>
  <c r="AO2126" i="3"/>
  <c r="AO2127" i="3"/>
  <c r="AO2128" i="3"/>
  <c r="AO2129" i="3"/>
  <c r="AO2130" i="3"/>
  <c r="AO2131" i="3"/>
  <c r="AO2132" i="3"/>
  <c r="AO2133" i="3"/>
  <c r="AO2134" i="3"/>
  <c r="AO2135" i="3"/>
  <c r="AO2136" i="3"/>
  <c r="AO2137" i="3"/>
  <c r="AO2138" i="3"/>
  <c r="AO2139" i="3"/>
  <c r="AO2140" i="3"/>
  <c r="AO2141" i="3"/>
  <c r="AO2142" i="3"/>
  <c r="AO2143" i="3"/>
  <c r="AO2144" i="3"/>
  <c r="AO2145" i="3"/>
  <c r="AO2146" i="3"/>
  <c r="AO2147" i="3"/>
  <c r="AO2148" i="3"/>
  <c r="AO2149" i="3"/>
  <c r="AO2150" i="3"/>
  <c r="AO2151" i="3"/>
  <c r="AO2152" i="3"/>
  <c r="AO2153" i="3"/>
  <c r="AO2154" i="3"/>
  <c r="AO2155" i="3"/>
  <c r="AO2156" i="3"/>
  <c r="AO2157" i="3"/>
  <c r="AO2158" i="3"/>
  <c r="AO2159" i="3"/>
  <c r="AO2160" i="3"/>
  <c r="AO2161" i="3"/>
  <c r="AO2162" i="3"/>
  <c r="AO2163" i="3"/>
  <c r="AO2164" i="3"/>
  <c r="AO2165" i="3"/>
  <c r="AO2166" i="3"/>
  <c r="AO2167" i="3"/>
  <c r="AO2168" i="3"/>
  <c r="AO2169" i="3"/>
  <c r="AO2170" i="3"/>
  <c r="AO2171" i="3"/>
  <c r="AO2172" i="3"/>
  <c r="AO2173" i="3"/>
  <c r="AO2174" i="3"/>
  <c r="AO2175" i="3"/>
  <c r="AO2176" i="3"/>
  <c r="AO2177" i="3"/>
  <c r="AO2178" i="3"/>
  <c r="AO2179" i="3"/>
  <c r="AO2180" i="3"/>
  <c r="AO2181" i="3"/>
  <c r="AO2182" i="3"/>
  <c r="AO2183" i="3"/>
  <c r="AO2184" i="3"/>
  <c r="AO2185" i="3"/>
  <c r="AO2186" i="3"/>
  <c r="AO2187" i="3"/>
  <c r="AO2188" i="3"/>
  <c r="AO2189" i="3"/>
  <c r="AO2190" i="3"/>
  <c r="AO2191" i="3"/>
  <c r="AO2192" i="3"/>
  <c r="AO2193" i="3"/>
  <c r="AO2194" i="3"/>
  <c r="AO2195" i="3"/>
  <c r="AO2196" i="3"/>
  <c r="AO2197" i="3"/>
  <c r="AO2198" i="3"/>
  <c r="AO2199" i="3"/>
  <c r="AO2200" i="3"/>
  <c r="AO2201" i="3"/>
  <c r="AO2202" i="3"/>
  <c r="AO2203" i="3"/>
  <c r="AO2204" i="3"/>
  <c r="AO2205" i="3"/>
  <c r="AO2206" i="3"/>
  <c r="AO2207" i="3"/>
  <c r="AO2208" i="3"/>
  <c r="AO2209" i="3"/>
  <c r="AO2210" i="3"/>
  <c r="AO2211" i="3"/>
  <c r="AO2212" i="3"/>
  <c r="AO2213" i="3"/>
  <c r="AO2214" i="3"/>
  <c r="AO2215" i="3"/>
  <c r="AO2216" i="3"/>
  <c r="AO2217" i="3"/>
  <c r="AO2218" i="3"/>
  <c r="AO2219" i="3"/>
  <c r="AO2220" i="3"/>
  <c r="AO2221" i="3"/>
  <c r="AO2222" i="3"/>
  <c r="AO2223" i="3"/>
  <c r="AO2224" i="3"/>
  <c r="AO2225" i="3"/>
  <c r="AO2226" i="3"/>
  <c r="AO2227" i="3"/>
  <c r="AO2228" i="3"/>
  <c r="AO2229" i="3"/>
  <c r="AO2230" i="3"/>
  <c r="AO2231" i="3"/>
  <c r="AO2232" i="3"/>
  <c r="AO2233" i="3"/>
  <c r="AO2234" i="3"/>
  <c r="AO2235" i="3"/>
  <c r="AO2236" i="3"/>
  <c r="AO2237" i="3"/>
  <c r="AO2238" i="3"/>
  <c r="AO2239" i="3"/>
  <c r="AO2240" i="3"/>
  <c r="AO2241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N1005" i="3"/>
  <c r="AN1006" i="3"/>
  <c r="AN1007" i="3"/>
  <c r="AN1008" i="3"/>
  <c r="AN1009" i="3"/>
  <c r="AN1010" i="3"/>
  <c r="AN1011" i="3"/>
  <c r="AN1012" i="3"/>
  <c r="AN1013" i="3"/>
  <c r="AN1014" i="3"/>
  <c r="AN1015" i="3"/>
  <c r="AN1016" i="3"/>
  <c r="AN1017" i="3"/>
  <c r="AN1018" i="3"/>
  <c r="AN1019" i="3"/>
  <c r="AN1020" i="3"/>
  <c r="AN1021" i="3"/>
  <c r="AN1022" i="3"/>
  <c r="AN1023" i="3"/>
  <c r="AN1024" i="3"/>
  <c r="AN1025" i="3"/>
  <c r="AN1026" i="3"/>
  <c r="AN1027" i="3"/>
  <c r="AN1028" i="3"/>
  <c r="AN1029" i="3"/>
  <c r="AN1030" i="3"/>
  <c r="AN1031" i="3"/>
  <c r="AN1032" i="3"/>
  <c r="AN1033" i="3"/>
  <c r="AN1034" i="3"/>
  <c r="AN1035" i="3"/>
  <c r="AN1036" i="3"/>
  <c r="AN1037" i="3"/>
  <c r="AN1038" i="3"/>
  <c r="AN1039" i="3"/>
  <c r="AN1040" i="3"/>
  <c r="AN1041" i="3"/>
  <c r="AN1042" i="3"/>
  <c r="AN1043" i="3"/>
  <c r="AN1044" i="3"/>
  <c r="AN1045" i="3"/>
  <c r="AN1046" i="3"/>
  <c r="AN1047" i="3"/>
  <c r="AN1048" i="3"/>
  <c r="AN1049" i="3"/>
  <c r="AN1050" i="3"/>
  <c r="AN1051" i="3"/>
  <c r="AN1052" i="3"/>
  <c r="AN1053" i="3"/>
  <c r="AN1054" i="3"/>
  <c r="AN1055" i="3"/>
  <c r="AN1056" i="3"/>
  <c r="AN1057" i="3"/>
  <c r="AN1058" i="3"/>
  <c r="AN1059" i="3"/>
  <c r="AN1060" i="3"/>
  <c r="AN1061" i="3"/>
  <c r="AN1062" i="3"/>
  <c r="AN1063" i="3"/>
  <c r="AN1064" i="3"/>
  <c r="AN1065" i="3"/>
  <c r="AN1066" i="3"/>
  <c r="AN1067" i="3"/>
  <c r="AN1068" i="3"/>
  <c r="AN1069" i="3"/>
  <c r="AN1070" i="3"/>
  <c r="AN1071" i="3"/>
  <c r="AN1072" i="3"/>
  <c r="AN1073" i="3"/>
  <c r="AN1074" i="3"/>
  <c r="AN1075" i="3"/>
  <c r="AN1076" i="3"/>
  <c r="AN1077" i="3"/>
  <c r="AN1078" i="3"/>
  <c r="AN1079" i="3"/>
  <c r="AN1080" i="3"/>
  <c r="AN1081" i="3"/>
  <c r="AN1082" i="3"/>
  <c r="AN1083" i="3"/>
  <c r="AN1084" i="3"/>
  <c r="AN1085" i="3"/>
  <c r="AN1086" i="3"/>
  <c r="AN1087" i="3"/>
  <c r="AN1088" i="3"/>
  <c r="AN1089" i="3"/>
  <c r="AN1090" i="3"/>
  <c r="AN1091" i="3"/>
  <c r="AN1092" i="3"/>
  <c r="AN1093" i="3"/>
  <c r="AN1094" i="3"/>
  <c r="AN1095" i="3"/>
  <c r="AN1096" i="3"/>
  <c r="AN1097" i="3"/>
  <c r="AN1098" i="3"/>
  <c r="AN1099" i="3"/>
  <c r="AN1100" i="3"/>
  <c r="AN1101" i="3"/>
  <c r="AN1102" i="3"/>
  <c r="AN1103" i="3"/>
  <c r="AN1104" i="3"/>
  <c r="AN1105" i="3"/>
  <c r="AN1106" i="3"/>
  <c r="AN1107" i="3"/>
  <c r="AN1108" i="3"/>
  <c r="AN1109" i="3"/>
  <c r="AN1110" i="3"/>
  <c r="AN1111" i="3"/>
  <c r="AN1112" i="3"/>
  <c r="AN1113" i="3"/>
  <c r="AN1114" i="3"/>
  <c r="AN1115" i="3"/>
  <c r="AN1116" i="3"/>
  <c r="AN1117" i="3"/>
  <c r="AN1118" i="3"/>
  <c r="AN1119" i="3"/>
  <c r="AN1120" i="3"/>
  <c r="AN1121" i="3"/>
  <c r="AN1122" i="3"/>
  <c r="AN1123" i="3"/>
  <c r="AN1124" i="3"/>
  <c r="AN1125" i="3"/>
  <c r="AN1126" i="3"/>
  <c r="AN1127" i="3"/>
  <c r="AN1128" i="3"/>
  <c r="AN1129" i="3"/>
  <c r="AN1130" i="3"/>
  <c r="AN1131" i="3"/>
  <c r="AN1132" i="3"/>
  <c r="AN1133" i="3"/>
  <c r="AN1134" i="3"/>
  <c r="AN1135" i="3"/>
  <c r="AN1136" i="3"/>
  <c r="AN1137" i="3"/>
  <c r="AN1138" i="3"/>
  <c r="AN1139" i="3"/>
  <c r="AN1140" i="3"/>
  <c r="AN1141" i="3"/>
  <c r="AN1142" i="3"/>
  <c r="AN1143" i="3"/>
  <c r="AN1144" i="3"/>
  <c r="AN1145" i="3"/>
  <c r="AN1146" i="3"/>
  <c r="AN1147" i="3"/>
  <c r="AN1148" i="3"/>
  <c r="AN1149" i="3"/>
  <c r="AN1150" i="3"/>
  <c r="AN1151" i="3"/>
  <c r="AN1152" i="3"/>
  <c r="AN1153" i="3"/>
  <c r="AN1154" i="3"/>
  <c r="AN1155" i="3"/>
  <c r="AN1156" i="3"/>
  <c r="AN1157" i="3"/>
  <c r="AN1158" i="3"/>
  <c r="AN1159" i="3"/>
  <c r="AN1160" i="3"/>
  <c r="AN1161" i="3"/>
  <c r="AN1162" i="3"/>
  <c r="AN1163" i="3"/>
  <c r="AN1164" i="3"/>
  <c r="AN1165" i="3"/>
  <c r="AN1166" i="3"/>
  <c r="AN1167" i="3"/>
  <c r="AN1168" i="3"/>
  <c r="AN1169" i="3"/>
  <c r="AN1170" i="3"/>
  <c r="AN1171" i="3"/>
  <c r="AN1172" i="3"/>
  <c r="AN1173" i="3"/>
  <c r="AN1174" i="3"/>
  <c r="AN1175" i="3"/>
  <c r="AN1176" i="3"/>
  <c r="AN1177" i="3"/>
  <c r="AN1178" i="3"/>
  <c r="AN1179" i="3"/>
  <c r="AN1180" i="3"/>
  <c r="AN1181" i="3"/>
  <c r="AN1182" i="3"/>
  <c r="AN1183" i="3"/>
  <c r="AN1184" i="3"/>
  <c r="AN1185" i="3"/>
  <c r="AN1186" i="3"/>
  <c r="AN1187" i="3"/>
  <c r="AN1188" i="3"/>
  <c r="AN1189" i="3"/>
  <c r="AN1190" i="3"/>
  <c r="AN1191" i="3"/>
  <c r="AN1192" i="3"/>
  <c r="AN1193" i="3"/>
  <c r="AN1194" i="3"/>
  <c r="AN1195" i="3"/>
  <c r="AN1196" i="3"/>
  <c r="AN1197" i="3"/>
  <c r="AN1198" i="3"/>
  <c r="AN1199" i="3"/>
  <c r="AN1200" i="3"/>
  <c r="AN1201" i="3"/>
  <c r="AN1202" i="3"/>
  <c r="AN1203" i="3"/>
  <c r="AN1204" i="3"/>
  <c r="AN1205" i="3"/>
  <c r="AN1206" i="3"/>
  <c r="AN1207" i="3"/>
  <c r="AN1208" i="3"/>
  <c r="AN1209" i="3"/>
  <c r="AN1210" i="3"/>
  <c r="AN1211" i="3"/>
  <c r="AN1212" i="3"/>
  <c r="AN1213" i="3"/>
  <c r="AN1214" i="3"/>
  <c r="AN1215" i="3"/>
  <c r="AN1216" i="3"/>
  <c r="AN1217" i="3"/>
  <c r="AN1218" i="3"/>
  <c r="AN1219" i="3"/>
  <c r="AN1220" i="3"/>
  <c r="AN1221" i="3"/>
  <c r="AN1222" i="3"/>
  <c r="AN1223" i="3"/>
  <c r="AN1224" i="3"/>
  <c r="AN1225" i="3"/>
  <c r="AN1226" i="3"/>
  <c r="AN1227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N1267" i="3"/>
  <c r="AN1268" i="3"/>
  <c r="AN1269" i="3"/>
  <c r="AN1270" i="3"/>
  <c r="AN1271" i="3"/>
  <c r="AN1272" i="3"/>
  <c r="AN1273" i="3"/>
  <c r="AN1274" i="3"/>
  <c r="AN1275" i="3"/>
  <c r="AN1276" i="3"/>
  <c r="AN1277" i="3"/>
  <c r="AN1278" i="3"/>
  <c r="AN1279" i="3"/>
  <c r="AN1280" i="3"/>
  <c r="AN1281" i="3"/>
  <c r="AN1282" i="3"/>
  <c r="AN1283" i="3"/>
  <c r="AN1284" i="3"/>
  <c r="AN1285" i="3"/>
  <c r="AN1286" i="3"/>
  <c r="AN1287" i="3"/>
  <c r="AN1288" i="3"/>
  <c r="AN1289" i="3"/>
  <c r="AN1290" i="3"/>
  <c r="AN1291" i="3"/>
  <c r="AN1292" i="3"/>
  <c r="AN1293" i="3"/>
  <c r="AN1294" i="3"/>
  <c r="AN1295" i="3"/>
  <c r="AN1296" i="3"/>
  <c r="AN1297" i="3"/>
  <c r="AN1298" i="3"/>
  <c r="AN1299" i="3"/>
  <c r="AN1300" i="3"/>
  <c r="AN1301" i="3"/>
  <c r="AN1302" i="3"/>
  <c r="AN1303" i="3"/>
  <c r="AN1304" i="3"/>
  <c r="AN1305" i="3"/>
  <c r="AN1306" i="3"/>
  <c r="AN1307" i="3"/>
  <c r="AN1308" i="3"/>
  <c r="AN1309" i="3"/>
  <c r="AN1310" i="3"/>
  <c r="AN1311" i="3"/>
  <c r="AN1312" i="3"/>
  <c r="AN1313" i="3"/>
  <c r="AN1314" i="3"/>
  <c r="AN1315" i="3"/>
  <c r="AN1316" i="3"/>
  <c r="AN1317" i="3"/>
  <c r="AN1318" i="3"/>
  <c r="AN1319" i="3"/>
  <c r="AN1320" i="3"/>
  <c r="AN1321" i="3"/>
  <c r="AN1322" i="3"/>
  <c r="AN1323" i="3"/>
  <c r="AN1324" i="3"/>
  <c r="AN1325" i="3"/>
  <c r="AN1326" i="3"/>
  <c r="AN1327" i="3"/>
  <c r="AN1328" i="3"/>
  <c r="AN1329" i="3"/>
  <c r="AN1330" i="3"/>
  <c r="AN1331" i="3"/>
  <c r="AN1332" i="3"/>
  <c r="AN1333" i="3"/>
  <c r="AN1334" i="3"/>
  <c r="AN1335" i="3"/>
  <c r="AN1336" i="3"/>
  <c r="AN1337" i="3"/>
  <c r="AN1338" i="3"/>
  <c r="AN1339" i="3"/>
  <c r="AN1340" i="3"/>
  <c r="AN1341" i="3"/>
  <c r="AN1342" i="3"/>
  <c r="AN1343" i="3"/>
  <c r="AN1344" i="3"/>
  <c r="AN1345" i="3"/>
  <c r="AN1346" i="3"/>
  <c r="AN1347" i="3"/>
  <c r="AN1348" i="3"/>
  <c r="AN1349" i="3"/>
  <c r="AN1350" i="3"/>
  <c r="AN1351" i="3"/>
  <c r="AN1352" i="3"/>
  <c r="AN1353" i="3"/>
  <c r="AN1354" i="3"/>
  <c r="AN1355" i="3"/>
  <c r="AN1356" i="3"/>
  <c r="AN1357" i="3"/>
  <c r="AN1358" i="3"/>
  <c r="AN1359" i="3"/>
  <c r="AN1360" i="3"/>
  <c r="AN1361" i="3"/>
  <c r="AN1362" i="3"/>
  <c r="AN1363" i="3"/>
  <c r="AN1364" i="3"/>
  <c r="AN1365" i="3"/>
  <c r="AN1366" i="3"/>
  <c r="AN1367" i="3"/>
  <c r="AN1368" i="3"/>
  <c r="AN1369" i="3"/>
  <c r="AN1370" i="3"/>
  <c r="AN1371" i="3"/>
  <c r="AN1372" i="3"/>
  <c r="AN1373" i="3"/>
  <c r="AN1374" i="3"/>
  <c r="AN1375" i="3"/>
  <c r="AN1376" i="3"/>
  <c r="AN1377" i="3"/>
  <c r="AN1378" i="3"/>
  <c r="AN1379" i="3"/>
  <c r="AN1380" i="3"/>
  <c r="AN1381" i="3"/>
  <c r="AN1382" i="3"/>
  <c r="AN1383" i="3"/>
  <c r="AN1384" i="3"/>
  <c r="AN1385" i="3"/>
  <c r="AN1386" i="3"/>
  <c r="AN1387" i="3"/>
  <c r="AN1388" i="3"/>
  <c r="AN1389" i="3"/>
  <c r="AN1390" i="3"/>
  <c r="AN1391" i="3"/>
  <c r="AN1392" i="3"/>
  <c r="AN1393" i="3"/>
  <c r="AN1394" i="3"/>
  <c r="AN1395" i="3"/>
  <c r="AN1396" i="3"/>
  <c r="AN1397" i="3"/>
  <c r="AN1398" i="3"/>
  <c r="AN1399" i="3"/>
  <c r="AN1400" i="3"/>
  <c r="AN1401" i="3"/>
  <c r="AN1402" i="3"/>
  <c r="AN1403" i="3"/>
  <c r="AN1404" i="3"/>
  <c r="AN1405" i="3"/>
  <c r="AN1406" i="3"/>
  <c r="AN1407" i="3"/>
  <c r="AN1408" i="3"/>
  <c r="AN1409" i="3"/>
  <c r="AN1410" i="3"/>
  <c r="AN1411" i="3"/>
  <c r="AN1412" i="3"/>
  <c r="AN1413" i="3"/>
  <c r="AN1414" i="3"/>
  <c r="AN1415" i="3"/>
  <c r="AN1416" i="3"/>
  <c r="AN1417" i="3"/>
  <c r="AN1418" i="3"/>
  <c r="AN1419" i="3"/>
  <c r="AN1420" i="3"/>
  <c r="AN1421" i="3"/>
  <c r="AN1422" i="3"/>
  <c r="AN1423" i="3"/>
  <c r="AN1424" i="3"/>
  <c r="AN1425" i="3"/>
  <c r="AN1426" i="3"/>
  <c r="AN1427" i="3"/>
  <c r="AN1428" i="3"/>
  <c r="AN1429" i="3"/>
  <c r="AN1430" i="3"/>
  <c r="AN1431" i="3"/>
  <c r="AN1432" i="3"/>
  <c r="AN1433" i="3"/>
  <c r="AN1434" i="3"/>
  <c r="AN1435" i="3"/>
  <c r="AN1436" i="3"/>
  <c r="AN1437" i="3"/>
  <c r="AN1438" i="3"/>
  <c r="AN1439" i="3"/>
  <c r="AN1440" i="3"/>
  <c r="AN1441" i="3"/>
  <c r="AN1442" i="3"/>
  <c r="AN1443" i="3"/>
  <c r="AN1444" i="3"/>
  <c r="AN1445" i="3"/>
  <c r="AN1446" i="3"/>
  <c r="AN1447" i="3"/>
  <c r="AN1448" i="3"/>
  <c r="AN1449" i="3"/>
  <c r="AN1450" i="3"/>
  <c r="AN1451" i="3"/>
  <c r="AN1452" i="3"/>
  <c r="AN1453" i="3"/>
  <c r="AN1454" i="3"/>
  <c r="AN1455" i="3"/>
  <c r="AN1456" i="3"/>
  <c r="AN1457" i="3"/>
  <c r="AN1458" i="3"/>
  <c r="AN1459" i="3"/>
  <c r="AN1460" i="3"/>
  <c r="AN1461" i="3"/>
  <c r="AN1462" i="3"/>
  <c r="AN1463" i="3"/>
  <c r="AN1464" i="3"/>
  <c r="AN1465" i="3"/>
  <c r="AN1466" i="3"/>
  <c r="AN1467" i="3"/>
  <c r="AN1468" i="3"/>
  <c r="AN1469" i="3"/>
  <c r="AN1470" i="3"/>
  <c r="AN1471" i="3"/>
  <c r="AN1472" i="3"/>
  <c r="AN1473" i="3"/>
  <c r="AN1474" i="3"/>
  <c r="AN1475" i="3"/>
  <c r="AN1476" i="3"/>
  <c r="AN1477" i="3"/>
  <c r="AN1478" i="3"/>
  <c r="AN1479" i="3"/>
  <c r="AN1480" i="3"/>
  <c r="AN1481" i="3"/>
  <c r="AN1482" i="3"/>
  <c r="AN1483" i="3"/>
  <c r="AN1484" i="3"/>
  <c r="AN1485" i="3"/>
  <c r="AN1486" i="3"/>
  <c r="AN1487" i="3"/>
  <c r="AN1488" i="3"/>
  <c r="AN1489" i="3"/>
  <c r="AN1490" i="3"/>
  <c r="AN1491" i="3"/>
  <c r="AN1492" i="3"/>
  <c r="AN1493" i="3"/>
  <c r="AN1494" i="3"/>
  <c r="AN1495" i="3"/>
  <c r="AN1496" i="3"/>
  <c r="AN1497" i="3"/>
  <c r="AN1498" i="3"/>
  <c r="AN1499" i="3"/>
  <c r="AN1500" i="3"/>
  <c r="AN1501" i="3"/>
  <c r="AN1502" i="3"/>
  <c r="AN1503" i="3"/>
  <c r="AN1504" i="3"/>
  <c r="AN1505" i="3"/>
  <c r="AN1506" i="3"/>
  <c r="AN1507" i="3"/>
  <c r="AN1508" i="3"/>
  <c r="AN1509" i="3"/>
  <c r="AN1510" i="3"/>
  <c r="AN1511" i="3"/>
  <c r="AN1512" i="3"/>
  <c r="AN1513" i="3"/>
  <c r="AN1514" i="3"/>
  <c r="AN1515" i="3"/>
  <c r="AN1516" i="3"/>
  <c r="AN1517" i="3"/>
  <c r="AN1518" i="3"/>
  <c r="AN1519" i="3"/>
  <c r="AN1520" i="3"/>
  <c r="AN1521" i="3"/>
  <c r="AN1522" i="3"/>
  <c r="AN1523" i="3"/>
  <c r="AN1524" i="3"/>
  <c r="AN1525" i="3"/>
  <c r="AN1526" i="3"/>
  <c r="AN1527" i="3"/>
  <c r="AN1528" i="3"/>
  <c r="AN1529" i="3"/>
  <c r="AN1530" i="3"/>
  <c r="AN1531" i="3"/>
  <c r="AN1532" i="3"/>
  <c r="AN1533" i="3"/>
  <c r="AN1534" i="3"/>
  <c r="AN1535" i="3"/>
  <c r="AN1536" i="3"/>
  <c r="AN1537" i="3"/>
  <c r="AN1538" i="3"/>
  <c r="AN1539" i="3"/>
  <c r="AN1540" i="3"/>
  <c r="AN1541" i="3"/>
  <c r="AN1542" i="3"/>
  <c r="AN1543" i="3"/>
  <c r="AN1544" i="3"/>
  <c r="AN1545" i="3"/>
  <c r="AN1546" i="3"/>
  <c r="AN1547" i="3"/>
  <c r="AN1548" i="3"/>
  <c r="AN1549" i="3"/>
  <c r="AN1550" i="3"/>
  <c r="AN1551" i="3"/>
  <c r="AN1552" i="3"/>
  <c r="AN1553" i="3"/>
  <c r="AN1554" i="3"/>
  <c r="AN1555" i="3"/>
  <c r="AN1556" i="3"/>
  <c r="AN1557" i="3"/>
  <c r="AN1558" i="3"/>
  <c r="AN1559" i="3"/>
  <c r="AN1560" i="3"/>
  <c r="AN1561" i="3"/>
  <c r="AN1562" i="3"/>
  <c r="AN1563" i="3"/>
  <c r="AN1564" i="3"/>
  <c r="AN1565" i="3"/>
  <c r="AN1566" i="3"/>
  <c r="AN1567" i="3"/>
  <c r="AN1568" i="3"/>
  <c r="AN1569" i="3"/>
  <c r="AN1570" i="3"/>
  <c r="AN1571" i="3"/>
  <c r="AN1572" i="3"/>
  <c r="AN1573" i="3"/>
  <c r="AN1574" i="3"/>
  <c r="AN1575" i="3"/>
  <c r="AN1576" i="3"/>
  <c r="AN1577" i="3"/>
  <c r="AN1578" i="3"/>
  <c r="AN1579" i="3"/>
  <c r="AN1580" i="3"/>
  <c r="AN1581" i="3"/>
  <c r="AN1582" i="3"/>
  <c r="AN1583" i="3"/>
  <c r="AN1584" i="3"/>
  <c r="AN1585" i="3"/>
  <c r="AN1586" i="3"/>
  <c r="AN1587" i="3"/>
  <c r="AN1588" i="3"/>
  <c r="AN1589" i="3"/>
  <c r="AN1590" i="3"/>
  <c r="AN1591" i="3"/>
  <c r="AN1592" i="3"/>
  <c r="AN1593" i="3"/>
  <c r="AN1594" i="3"/>
  <c r="AN1595" i="3"/>
  <c r="AN1596" i="3"/>
  <c r="AN1597" i="3"/>
  <c r="AN1598" i="3"/>
  <c r="AN1599" i="3"/>
  <c r="AN1600" i="3"/>
  <c r="AN1601" i="3"/>
  <c r="AN1602" i="3"/>
  <c r="AN1603" i="3"/>
  <c r="AN1604" i="3"/>
  <c r="AN1605" i="3"/>
  <c r="AN1606" i="3"/>
  <c r="AN1607" i="3"/>
  <c r="AN1608" i="3"/>
  <c r="AN1609" i="3"/>
  <c r="AN1610" i="3"/>
  <c r="AN1611" i="3"/>
  <c r="AN1612" i="3"/>
  <c r="AN1613" i="3"/>
  <c r="AN1614" i="3"/>
  <c r="AN1615" i="3"/>
  <c r="AN1616" i="3"/>
  <c r="AN1617" i="3"/>
  <c r="AN1618" i="3"/>
  <c r="AN1619" i="3"/>
  <c r="AN1620" i="3"/>
  <c r="AN1621" i="3"/>
  <c r="AN1622" i="3"/>
  <c r="AN1623" i="3"/>
  <c r="AN1624" i="3"/>
  <c r="AN1625" i="3"/>
  <c r="AN1626" i="3"/>
  <c r="AN1627" i="3"/>
  <c r="AN1628" i="3"/>
  <c r="AN1629" i="3"/>
  <c r="AN1630" i="3"/>
  <c r="AN1631" i="3"/>
  <c r="AN1632" i="3"/>
  <c r="AN1633" i="3"/>
  <c r="AN1634" i="3"/>
  <c r="AN1635" i="3"/>
  <c r="AN1636" i="3"/>
  <c r="AN1637" i="3"/>
  <c r="AN1638" i="3"/>
  <c r="AN1639" i="3"/>
  <c r="AN1640" i="3"/>
  <c r="AN1641" i="3"/>
  <c r="AN1642" i="3"/>
  <c r="AN1643" i="3"/>
  <c r="AN1644" i="3"/>
  <c r="AN1645" i="3"/>
  <c r="AN1646" i="3"/>
  <c r="AN1647" i="3"/>
  <c r="AN1648" i="3"/>
  <c r="AN1649" i="3"/>
  <c r="AN1650" i="3"/>
  <c r="AN1651" i="3"/>
  <c r="AN1652" i="3"/>
  <c r="AN1653" i="3"/>
  <c r="AN1654" i="3"/>
  <c r="AN1655" i="3"/>
  <c r="AN1656" i="3"/>
  <c r="AN1657" i="3"/>
  <c r="AN1658" i="3"/>
  <c r="AN1659" i="3"/>
  <c r="AN1660" i="3"/>
  <c r="AN1661" i="3"/>
  <c r="AN1662" i="3"/>
  <c r="AN1663" i="3"/>
  <c r="AN1664" i="3"/>
  <c r="AN1665" i="3"/>
  <c r="AN1666" i="3"/>
  <c r="AN1667" i="3"/>
  <c r="AN1668" i="3"/>
  <c r="AN1669" i="3"/>
  <c r="AN1670" i="3"/>
  <c r="AN1671" i="3"/>
  <c r="AN1672" i="3"/>
  <c r="AN1673" i="3"/>
  <c r="AN1674" i="3"/>
  <c r="AN1675" i="3"/>
  <c r="AN1676" i="3"/>
  <c r="AN1677" i="3"/>
  <c r="AN1678" i="3"/>
  <c r="AN1679" i="3"/>
  <c r="AN1680" i="3"/>
  <c r="AN1681" i="3"/>
  <c r="AN1682" i="3"/>
  <c r="AN1683" i="3"/>
  <c r="AN1684" i="3"/>
  <c r="AN1685" i="3"/>
  <c r="AN1686" i="3"/>
  <c r="AN1687" i="3"/>
  <c r="AN1688" i="3"/>
  <c r="AN1689" i="3"/>
  <c r="AN1690" i="3"/>
  <c r="AN1691" i="3"/>
  <c r="AN1692" i="3"/>
  <c r="AN1693" i="3"/>
  <c r="AN1694" i="3"/>
  <c r="AN1695" i="3"/>
  <c r="AN1696" i="3"/>
  <c r="AN1697" i="3"/>
  <c r="AN1698" i="3"/>
  <c r="AN1699" i="3"/>
  <c r="AN1700" i="3"/>
  <c r="AN1701" i="3"/>
  <c r="AN1702" i="3"/>
  <c r="AN1703" i="3"/>
  <c r="AN1704" i="3"/>
  <c r="AN1705" i="3"/>
  <c r="AN1706" i="3"/>
  <c r="AN1707" i="3"/>
  <c r="AN1708" i="3"/>
  <c r="AN1709" i="3"/>
  <c r="AN1710" i="3"/>
  <c r="AN1711" i="3"/>
  <c r="AN1712" i="3"/>
  <c r="AN1713" i="3"/>
  <c r="AN1714" i="3"/>
  <c r="AN1715" i="3"/>
  <c r="AN1716" i="3"/>
  <c r="AN1717" i="3"/>
  <c r="AN1718" i="3"/>
  <c r="AN1719" i="3"/>
  <c r="AN1720" i="3"/>
  <c r="AN1721" i="3"/>
  <c r="AN1722" i="3"/>
  <c r="AN1723" i="3"/>
  <c r="AN1724" i="3"/>
  <c r="AN1725" i="3"/>
  <c r="AN1726" i="3"/>
  <c r="AN1727" i="3"/>
  <c r="AN1728" i="3"/>
  <c r="AN1729" i="3"/>
  <c r="AN1730" i="3"/>
  <c r="AN1731" i="3"/>
  <c r="AN1732" i="3"/>
  <c r="AN1733" i="3"/>
  <c r="AN1734" i="3"/>
  <c r="AN1735" i="3"/>
  <c r="AN1736" i="3"/>
  <c r="AN1737" i="3"/>
  <c r="AN1738" i="3"/>
  <c r="AN1739" i="3"/>
  <c r="AN1740" i="3"/>
  <c r="AN1741" i="3"/>
  <c r="AN1742" i="3"/>
  <c r="AN1743" i="3"/>
  <c r="AN1744" i="3"/>
  <c r="AN1745" i="3"/>
  <c r="AN1746" i="3"/>
  <c r="AN1747" i="3"/>
  <c r="AN1748" i="3"/>
  <c r="AN1749" i="3"/>
  <c r="AN1750" i="3"/>
  <c r="AN1751" i="3"/>
  <c r="AN1752" i="3"/>
  <c r="AN1753" i="3"/>
  <c r="AN1754" i="3"/>
  <c r="AN1755" i="3"/>
  <c r="AN1756" i="3"/>
  <c r="AN1757" i="3"/>
  <c r="AN1758" i="3"/>
  <c r="AN1759" i="3"/>
  <c r="AN1760" i="3"/>
  <c r="AN1761" i="3"/>
  <c r="AN1762" i="3"/>
  <c r="AN1763" i="3"/>
  <c r="AN1764" i="3"/>
  <c r="AN1765" i="3"/>
  <c r="AN1766" i="3"/>
  <c r="AN1767" i="3"/>
  <c r="AN1768" i="3"/>
  <c r="AN1769" i="3"/>
  <c r="AN1770" i="3"/>
  <c r="AN1771" i="3"/>
  <c r="AN1772" i="3"/>
  <c r="AN1773" i="3"/>
  <c r="AN1774" i="3"/>
  <c r="AN1775" i="3"/>
  <c r="AN1776" i="3"/>
  <c r="AN1777" i="3"/>
  <c r="AN1778" i="3"/>
  <c r="AN1779" i="3"/>
  <c r="AN1780" i="3"/>
  <c r="AN1781" i="3"/>
  <c r="AN1782" i="3"/>
  <c r="AN1783" i="3"/>
  <c r="AN1784" i="3"/>
  <c r="AN1785" i="3"/>
  <c r="AN1786" i="3"/>
  <c r="AN1787" i="3"/>
  <c r="AN1788" i="3"/>
  <c r="AN1789" i="3"/>
  <c r="AN1790" i="3"/>
  <c r="AN1791" i="3"/>
  <c r="AN1792" i="3"/>
  <c r="AN1793" i="3"/>
  <c r="AN1794" i="3"/>
  <c r="AN1795" i="3"/>
  <c r="AN1796" i="3"/>
  <c r="AN1797" i="3"/>
  <c r="AN1798" i="3"/>
  <c r="AN1799" i="3"/>
  <c r="AN1800" i="3"/>
  <c r="AN1801" i="3"/>
  <c r="AN1802" i="3"/>
  <c r="AN1803" i="3"/>
  <c r="AN1804" i="3"/>
  <c r="AN1805" i="3"/>
  <c r="AN1806" i="3"/>
  <c r="AN1807" i="3"/>
  <c r="AN1808" i="3"/>
  <c r="AN1809" i="3"/>
  <c r="AN1810" i="3"/>
  <c r="AN1811" i="3"/>
  <c r="AN1812" i="3"/>
  <c r="AN1813" i="3"/>
  <c r="AN1814" i="3"/>
  <c r="AN1815" i="3"/>
  <c r="AN1816" i="3"/>
  <c r="AN1817" i="3"/>
  <c r="AN1818" i="3"/>
  <c r="AN1819" i="3"/>
  <c r="AN1820" i="3"/>
  <c r="AN1821" i="3"/>
  <c r="AN1822" i="3"/>
  <c r="AN1823" i="3"/>
  <c r="AN1824" i="3"/>
  <c r="AN1825" i="3"/>
  <c r="AN1826" i="3"/>
  <c r="AN1827" i="3"/>
  <c r="AN1828" i="3"/>
  <c r="AN1829" i="3"/>
  <c r="AN1830" i="3"/>
  <c r="AN1831" i="3"/>
  <c r="AN1832" i="3"/>
  <c r="AN1833" i="3"/>
  <c r="AN1834" i="3"/>
  <c r="AN1835" i="3"/>
  <c r="AN1836" i="3"/>
  <c r="AN1837" i="3"/>
  <c r="AN1838" i="3"/>
  <c r="AN1839" i="3"/>
  <c r="AN1840" i="3"/>
  <c r="AN1841" i="3"/>
  <c r="AN1842" i="3"/>
  <c r="AN1843" i="3"/>
  <c r="AN1844" i="3"/>
  <c r="AN1845" i="3"/>
  <c r="AN1846" i="3"/>
  <c r="AN1847" i="3"/>
  <c r="AN1848" i="3"/>
  <c r="AN1849" i="3"/>
  <c r="AN1850" i="3"/>
  <c r="AN1851" i="3"/>
  <c r="AN1852" i="3"/>
  <c r="AN1853" i="3"/>
  <c r="AN1854" i="3"/>
  <c r="AN1855" i="3"/>
  <c r="AN1856" i="3"/>
  <c r="AN1857" i="3"/>
  <c r="AN1858" i="3"/>
  <c r="AN1859" i="3"/>
  <c r="AN1860" i="3"/>
  <c r="AN1861" i="3"/>
  <c r="AN1862" i="3"/>
  <c r="AN1863" i="3"/>
  <c r="AN1864" i="3"/>
  <c r="AN1865" i="3"/>
  <c r="AN1866" i="3"/>
  <c r="AN1867" i="3"/>
  <c r="AN1868" i="3"/>
  <c r="AN1869" i="3"/>
  <c r="AN1870" i="3"/>
  <c r="AN1871" i="3"/>
  <c r="AN1872" i="3"/>
  <c r="AN1873" i="3"/>
  <c r="AN1874" i="3"/>
  <c r="AN1875" i="3"/>
  <c r="AN1876" i="3"/>
  <c r="AN1877" i="3"/>
  <c r="AN1878" i="3"/>
  <c r="AN1879" i="3"/>
  <c r="AN1880" i="3"/>
  <c r="AN1881" i="3"/>
  <c r="AN1882" i="3"/>
  <c r="AN1883" i="3"/>
  <c r="AN1884" i="3"/>
  <c r="AN1885" i="3"/>
  <c r="AN1886" i="3"/>
  <c r="AN1887" i="3"/>
  <c r="AN1888" i="3"/>
  <c r="AN1889" i="3"/>
  <c r="AN1890" i="3"/>
  <c r="AN1891" i="3"/>
  <c r="AN1892" i="3"/>
  <c r="AN1893" i="3"/>
  <c r="AN1894" i="3"/>
  <c r="AN1895" i="3"/>
  <c r="AN1896" i="3"/>
  <c r="AN1897" i="3"/>
  <c r="AN1898" i="3"/>
  <c r="AN1899" i="3"/>
  <c r="AN1900" i="3"/>
  <c r="AN1901" i="3"/>
  <c r="AN1902" i="3"/>
  <c r="AN1903" i="3"/>
  <c r="AN1904" i="3"/>
  <c r="AN1905" i="3"/>
  <c r="AN1906" i="3"/>
  <c r="AN1907" i="3"/>
  <c r="AN1908" i="3"/>
  <c r="AN1909" i="3"/>
  <c r="AN1910" i="3"/>
  <c r="AN1911" i="3"/>
  <c r="AN1912" i="3"/>
  <c r="AN1913" i="3"/>
  <c r="AN1914" i="3"/>
  <c r="AN1915" i="3"/>
  <c r="AN1916" i="3"/>
  <c r="AN1917" i="3"/>
  <c r="AN1918" i="3"/>
  <c r="AN1919" i="3"/>
  <c r="AN1920" i="3"/>
  <c r="AN1921" i="3"/>
  <c r="AN1922" i="3"/>
  <c r="AN1923" i="3"/>
  <c r="AN1924" i="3"/>
  <c r="AN1925" i="3"/>
  <c r="AN1926" i="3"/>
  <c r="AN1927" i="3"/>
  <c r="AN1928" i="3"/>
  <c r="AN1929" i="3"/>
  <c r="AN1930" i="3"/>
  <c r="AN1931" i="3"/>
  <c r="AN1932" i="3"/>
  <c r="AN1933" i="3"/>
  <c r="AN1934" i="3"/>
  <c r="AN1935" i="3"/>
  <c r="AN1936" i="3"/>
  <c r="AN1937" i="3"/>
  <c r="AN1938" i="3"/>
  <c r="AN1939" i="3"/>
  <c r="AN1940" i="3"/>
  <c r="AN1941" i="3"/>
  <c r="AN1942" i="3"/>
  <c r="AN1943" i="3"/>
  <c r="AN1944" i="3"/>
  <c r="AN1945" i="3"/>
  <c r="AN1946" i="3"/>
  <c r="AN1947" i="3"/>
  <c r="AN1948" i="3"/>
  <c r="AN1949" i="3"/>
  <c r="AN1950" i="3"/>
  <c r="AN1951" i="3"/>
  <c r="AN1952" i="3"/>
  <c r="AN1953" i="3"/>
  <c r="AN1954" i="3"/>
  <c r="AN1955" i="3"/>
  <c r="AN1956" i="3"/>
  <c r="AN1957" i="3"/>
  <c r="AN1958" i="3"/>
  <c r="AN1959" i="3"/>
  <c r="AN1960" i="3"/>
  <c r="AN1961" i="3"/>
  <c r="AN1962" i="3"/>
  <c r="AN1963" i="3"/>
  <c r="AN1964" i="3"/>
  <c r="AN1965" i="3"/>
  <c r="AN1966" i="3"/>
  <c r="AN1967" i="3"/>
  <c r="AN1968" i="3"/>
  <c r="AN1969" i="3"/>
  <c r="AN1970" i="3"/>
  <c r="AN1971" i="3"/>
  <c r="AN1972" i="3"/>
  <c r="AN1973" i="3"/>
  <c r="AN1974" i="3"/>
  <c r="AN1975" i="3"/>
  <c r="AN1976" i="3"/>
  <c r="AN1977" i="3"/>
  <c r="AN1978" i="3"/>
  <c r="AN1979" i="3"/>
  <c r="AN1980" i="3"/>
  <c r="AN1981" i="3"/>
  <c r="AN1982" i="3"/>
  <c r="AN1983" i="3"/>
  <c r="AN1984" i="3"/>
  <c r="AN1985" i="3"/>
  <c r="AN1986" i="3"/>
  <c r="AN1987" i="3"/>
  <c r="AN1988" i="3"/>
  <c r="AN1989" i="3"/>
  <c r="AN1990" i="3"/>
  <c r="AN1991" i="3"/>
  <c r="AN1992" i="3"/>
  <c r="AN1993" i="3"/>
  <c r="AN1994" i="3"/>
  <c r="AN1995" i="3"/>
  <c r="AN1996" i="3"/>
  <c r="AN1997" i="3"/>
  <c r="AN1998" i="3"/>
  <c r="AN1999" i="3"/>
  <c r="AN2000" i="3"/>
  <c r="AN2001" i="3"/>
  <c r="AN2002" i="3"/>
  <c r="AN2003" i="3"/>
  <c r="AN2004" i="3"/>
  <c r="AN2005" i="3"/>
  <c r="AN2006" i="3"/>
  <c r="AN2007" i="3"/>
  <c r="AN2008" i="3"/>
  <c r="AN2009" i="3"/>
  <c r="AN2010" i="3"/>
  <c r="AN2011" i="3"/>
  <c r="AN2012" i="3"/>
  <c r="AN2013" i="3"/>
  <c r="AN2014" i="3"/>
  <c r="AN2015" i="3"/>
  <c r="AN2016" i="3"/>
  <c r="AN2017" i="3"/>
  <c r="AN2018" i="3"/>
  <c r="AN2019" i="3"/>
  <c r="AN2020" i="3"/>
  <c r="AN2021" i="3"/>
  <c r="AN2022" i="3"/>
  <c r="AN2023" i="3"/>
  <c r="AN2024" i="3"/>
  <c r="AN2025" i="3"/>
  <c r="AN2026" i="3"/>
  <c r="AN2027" i="3"/>
  <c r="AN2028" i="3"/>
  <c r="AN2029" i="3"/>
  <c r="AN2030" i="3"/>
  <c r="AN2031" i="3"/>
  <c r="AN2032" i="3"/>
  <c r="AN2033" i="3"/>
  <c r="AN2034" i="3"/>
  <c r="AN2035" i="3"/>
  <c r="AN2036" i="3"/>
  <c r="AN2037" i="3"/>
  <c r="AN2038" i="3"/>
  <c r="AN2039" i="3"/>
  <c r="AN2040" i="3"/>
  <c r="AN2041" i="3"/>
  <c r="AN2042" i="3"/>
  <c r="AN2043" i="3"/>
  <c r="AN2044" i="3"/>
  <c r="AN2045" i="3"/>
  <c r="AN2046" i="3"/>
  <c r="AN2047" i="3"/>
  <c r="AN2048" i="3"/>
  <c r="AN2049" i="3"/>
  <c r="AN2050" i="3"/>
  <c r="AN2051" i="3"/>
  <c r="AN2052" i="3"/>
  <c r="AN2053" i="3"/>
  <c r="AN2054" i="3"/>
  <c r="AN2055" i="3"/>
  <c r="AN2056" i="3"/>
  <c r="AN2057" i="3"/>
  <c r="AN2058" i="3"/>
  <c r="AN2059" i="3"/>
  <c r="AN2060" i="3"/>
  <c r="AN2061" i="3"/>
  <c r="AN2062" i="3"/>
  <c r="AN2063" i="3"/>
  <c r="AN2064" i="3"/>
  <c r="AN2065" i="3"/>
  <c r="AN2066" i="3"/>
  <c r="AN2067" i="3"/>
  <c r="AN2068" i="3"/>
  <c r="AN2069" i="3"/>
  <c r="AN2070" i="3"/>
  <c r="AN2071" i="3"/>
  <c r="AN2072" i="3"/>
  <c r="AN2073" i="3"/>
  <c r="AN2074" i="3"/>
  <c r="AN2075" i="3"/>
  <c r="AN2076" i="3"/>
  <c r="AN2077" i="3"/>
  <c r="AN2078" i="3"/>
  <c r="AN2079" i="3"/>
  <c r="AN2080" i="3"/>
  <c r="AN2081" i="3"/>
  <c r="AN2082" i="3"/>
  <c r="AN2083" i="3"/>
  <c r="AN2084" i="3"/>
  <c r="AN2085" i="3"/>
  <c r="AN2086" i="3"/>
  <c r="AN2087" i="3"/>
  <c r="AN2088" i="3"/>
  <c r="AN2089" i="3"/>
  <c r="AN2090" i="3"/>
  <c r="AN2091" i="3"/>
  <c r="AN2092" i="3"/>
  <c r="AN2093" i="3"/>
  <c r="AN2094" i="3"/>
  <c r="AN2095" i="3"/>
  <c r="AN2096" i="3"/>
  <c r="AN2097" i="3"/>
  <c r="AN2098" i="3"/>
  <c r="AN2099" i="3"/>
  <c r="AN2100" i="3"/>
  <c r="AN2101" i="3"/>
  <c r="AN2102" i="3"/>
  <c r="AN2103" i="3"/>
  <c r="AN2104" i="3"/>
  <c r="AN2105" i="3"/>
  <c r="AN2106" i="3"/>
  <c r="AN2107" i="3"/>
  <c r="AN2108" i="3"/>
  <c r="AN2109" i="3"/>
  <c r="AN2110" i="3"/>
  <c r="AN2111" i="3"/>
  <c r="AN2112" i="3"/>
  <c r="AN2113" i="3"/>
  <c r="AN2114" i="3"/>
  <c r="AN2115" i="3"/>
  <c r="AN2116" i="3"/>
  <c r="AN2117" i="3"/>
  <c r="AN2118" i="3"/>
  <c r="AN2119" i="3"/>
  <c r="AN2120" i="3"/>
  <c r="AN2121" i="3"/>
  <c r="AN2122" i="3"/>
  <c r="AN2123" i="3"/>
  <c r="AN2124" i="3"/>
  <c r="AN2125" i="3"/>
  <c r="AN2126" i="3"/>
  <c r="AN2127" i="3"/>
  <c r="AN2128" i="3"/>
  <c r="AN2129" i="3"/>
  <c r="AN2130" i="3"/>
  <c r="AN2131" i="3"/>
  <c r="AN2132" i="3"/>
  <c r="AN2133" i="3"/>
  <c r="AN2134" i="3"/>
  <c r="AN2135" i="3"/>
  <c r="AN2136" i="3"/>
  <c r="AN2137" i="3"/>
  <c r="AN2138" i="3"/>
  <c r="AN2139" i="3"/>
  <c r="AN2140" i="3"/>
  <c r="AN2141" i="3"/>
  <c r="AN2142" i="3"/>
  <c r="AN2143" i="3"/>
  <c r="AN2144" i="3"/>
  <c r="AN2145" i="3"/>
  <c r="AN2146" i="3"/>
  <c r="AN2147" i="3"/>
  <c r="AN2148" i="3"/>
  <c r="AN2149" i="3"/>
  <c r="AN2150" i="3"/>
  <c r="AN2151" i="3"/>
  <c r="AN2152" i="3"/>
  <c r="AN2153" i="3"/>
  <c r="AN2154" i="3"/>
  <c r="AN2155" i="3"/>
  <c r="AN2156" i="3"/>
  <c r="AN2157" i="3"/>
  <c r="AN2158" i="3"/>
  <c r="AN2159" i="3"/>
  <c r="AN2160" i="3"/>
  <c r="AN2161" i="3"/>
  <c r="AN2162" i="3"/>
  <c r="AN2163" i="3"/>
  <c r="AN2164" i="3"/>
  <c r="AN2165" i="3"/>
  <c r="AN2166" i="3"/>
  <c r="AN2167" i="3"/>
  <c r="AN2168" i="3"/>
  <c r="AN2169" i="3"/>
  <c r="AN2170" i="3"/>
  <c r="AN2171" i="3"/>
  <c r="AN2172" i="3"/>
  <c r="AN2173" i="3"/>
  <c r="AN2174" i="3"/>
  <c r="AN2175" i="3"/>
  <c r="AN2176" i="3"/>
  <c r="AN2177" i="3"/>
  <c r="AN2178" i="3"/>
  <c r="AN2179" i="3"/>
  <c r="AN2180" i="3"/>
  <c r="AN2181" i="3"/>
  <c r="AN2182" i="3"/>
  <c r="AN2183" i="3"/>
  <c r="AN2184" i="3"/>
  <c r="AN2185" i="3"/>
  <c r="AN2186" i="3"/>
  <c r="AN2187" i="3"/>
  <c r="AN2188" i="3"/>
  <c r="AN2189" i="3"/>
  <c r="AN2190" i="3"/>
  <c r="AN2191" i="3"/>
  <c r="AN2192" i="3"/>
  <c r="AN2193" i="3"/>
  <c r="AN2194" i="3"/>
  <c r="AN2195" i="3"/>
  <c r="AN2196" i="3"/>
  <c r="AN2197" i="3"/>
  <c r="AN2198" i="3"/>
  <c r="AN2199" i="3"/>
  <c r="AN2200" i="3"/>
  <c r="AN2201" i="3"/>
  <c r="AN2202" i="3"/>
  <c r="AN2203" i="3"/>
  <c r="AN2204" i="3"/>
  <c r="AN2205" i="3"/>
  <c r="AN2206" i="3"/>
  <c r="AN2207" i="3"/>
  <c r="AN2208" i="3"/>
  <c r="AN2209" i="3"/>
  <c r="AN2210" i="3"/>
  <c r="AN2211" i="3"/>
  <c r="AN2212" i="3"/>
  <c r="AN2213" i="3"/>
  <c r="AN2214" i="3"/>
  <c r="AN2215" i="3"/>
  <c r="AN2216" i="3"/>
  <c r="AN2217" i="3"/>
  <c r="AN2218" i="3"/>
  <c r="AN2219" i="3"/>
  <c r="AN2220" i="3"/>
  <c r="AN2221" i="3"/>
  <c r="AN2222" i="3"/>
  <c r="AN2223" i="3"/>
  <c r="AN2224" i="3"/>
  <c r="AN2225" i="3"/>
  <c r="AN2226" i="3"/>
  <c r="AN2227" i="3"/>
  <c r="AN2228" i="3"/>
  <c r="AN2229" i="3"/>
  <c r="AN2230" i="3"/>
  <c r="AN2231" i="3"/>
  <c r="AN2232" i="3"/>
  <c r="AN2233" i="3"/>
  <c r="AN2234" i="3"/>
  <c r="AN2235" i="3"/>
  <c r="AN2236" i="3"/>
  <c r="AN2237" i="3"/>
  <c r="AN2238" i="3"/>
  <c r="AN2239" i="3"/>
  <c r="AN2240" i="3"/>
  <c r="AN2241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M1005" i="3"/>
  <c r="AM1006" i="3"/>
  <c r="AM1007" i="3"/>
  <c r="AM1008" i="3"/>
  <c r="AM1009" i="3"/>
  <c r="AM1010" i="3"/>
  <c r="AM1011" i="3"/>
  <c r="AM1012" i="3"/>
  <c r="AM1013" i="3"/>
  <c r="AM1014" i="3"/>
  <c r="AM1015" i="3"/>
  <c r="AM1016" i="3"/>
  <c r="AM1017" i="3"/>
  <c r="AM1018" i="3"/>
  <c r="AM1019" i="3"/>
  <c r="AM1020" i="3"/>
  <c r="AM1021" i="3"/>
  <c r="AM1022" i="3"/>
  <c r="AM1023" i="3"/>
  <c r="AM1024" i="3"/>
  <c r="AM1025" i="3"/>
  <c r="AM1026" i="3"/>
  <c r="AM1027" i="3"/>
  <c r="AM1028" i="3"/>
  <c r="AM1029" i="3"/>
  <c r="AM1030" i="3"/>
  <c r="AM1031" i="3"/>
  <c r="AM1032" i="3"/>
  <c r="AM1033" i="3"/>
  <c r="AM1034" i="3"/>
  <c r="AM1035" i="3"/>
  <c r="AM1036" i="3"/>
  <c r="AM1037" i="3"/>
  <c r="AM1038" i="3"/>
  <c r="AM1039" i="3"/>
  <c r="AM1040" i="3"/>
  <c r="AM1041" i="3"/>
  <c r="AM1042" i="3"/>
  <c r="AM1043" i="3"/>
  <c r="AM1044" i="3"/>
  <c r="AM1045" i="3"/>
  <c r="AM1046" i="3"/>
  <c r="AM1047" i="3"/>
  <c r="AM1048" i="3"/>
  <c r="AM1049" i="3"/>
  <c r="AM1050" i="3"/>
  <c r="AM1051" i="3"/>
  <c r="AM1052" i="3"/>
  <c r="AM1053" i="3"/>
  <c r="AM1054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0" i="3"/>
  <c r="AM1091" i="3"/>
  <c r="AM1092" i="3"/>
  <c r="AM1093" i="3"/>
  <c r="AM1094" i="3"/>
  <c r="AM1095" i="3"/>
  <c r="AM1096" i="3"/>
  <c r="AM1097" i="3"/>
  <c r="AM1098" i="3"/>
  <c r="AM1099" i="3"/>
  <c r="AM1100" i="3"/>
  <c r="AM1101" i="3"/>
  <c r="AM1102" i="3"/>
  <c r="AM1103" i="3"/>
  <c r="AM1104" i="3"/>
  <c r="AM1105" i="3"/>
  <c r="AM1106" i="3"/>
  <c r="AM1107" i="3"/>
  <c r="AM1108" i="3"/>
  <c r="AM1109" i="3"/>
  <c r="AM1110" i="3"/>
  <c r="AM1111" i="3"/>
  <c r="AM1112" i="3"/>
  <c r="AM1113" i="3"/>
  <c r="AM1114" i="3"/>
  <c r="AM1115" i="3"/>
  <c r="AM1116" i="3"/>
  <c r="AM1117" i="3"/>
  <c r="AM1118" i="3"/>
  <c r="AM1119" i="3"/>
  <c r="AM1120" i="3"/>
  <c r="AM1121" i="3"/>
  <c r="AM1122" i="3"/>
  <c r="AM1123" i="3"/>
  <c r="AM1124" i="3"/>
  <c r="AM1125" i="3"/>
  <c r="AM1126" i="3"/>
  <c r="AM1127" i="3"/>
  <c r="AM1128" i="3"/>
  <c r="AM1129" i="3"/>
  <c r="AM1130" i="3"/>
  <c r="AM1131" i="3"/>
  <c r="AM1132" i="3"/>
  <c r="AM1133" i="3"/>
  <c r="AM1134" i="3"/>
  <c r="AM1135" i="3"/>
  <c r="AM1136" i="3"/>
  <c r="AM1137" i="3"/>
  <c r="AM1138" i="3"/>
  <c r="AM1139" i="3"/>
  <c r="AM1140" i="3"/>
  <c r="AM1141" i="3"/>
  <c r="AM1142" i="3"/>
  <c r="AM1143" i="3"/>
  <c r="AM1144" i="3"/>
  <c r="AM1145" i="3"/>
  <c r="AM1146" i="3"/>
  <c r="AM1147" i="3"/>
  <c r="AM1148" i="3"/>
  <c r="AM1149" i="3"/>
  <c r="AM1150" i="3"/>
  <c r="AM1151" i="3"/>
  <c r="AM1152" i="3"/>
  <c r="AM1153" i="3"/>
  <c r="AM1154" i="3"/>
  <c r="AM1155" i="3"/>
  <c r="AM1156" i="3"/>
  <c r="AM1157" i="3"/>
  <c r="AM1158" i="3"/>
  <c r="AM1159" i="3"/>
  <c r="AM1160" i="3"/>
  <c r="AM1161" i="3"/>
  <c r="AM1162" i="3"/>
  <c r="AM1163" i="3"/>
  <c r="AM1164" i="3"/>
  <c r="AM1165" i="3"/>
  <c r="AM1166" i="3"/>
  <c r="AM1167" i="3"/>
  <c r="AM1168" i="3"/>
  <c r="AM1169" i="3"/>
  <c r="AM1170" i="3"/>
  <c r="AM1171" i="3"/>
  <c r="AM1172" i="3"/>
  <c r="AM1173" i="3"/>
  <c r="AM1174" i="3"/>
  <c r="AM1175" i="3"/>
  <c r="AM1176" i="3"/>
  <c r="AM1177" i="3"/>
  <c r="AM1178" i="3"/>
  <c r="AM1179" i="3"/>
  <c r="AM1180" i="3"/>
  <c r="AM1181" i="3"/>
  <c r="AM1182" i="3"/>
  <c r="AM1183" i="3"/>
  <c r="AM1184" i="3"/>
  <c r="AM1185" i="3"/>
  <c r="AM1186" i="3"/>
  <c r="AM1187" i="3"/>
  <c r="AM1188" i="3"/>
  <c r="AM1189" i="3"/>
  <c r="AM1190" i="3"/>
  <c r="AM1191" i="3"/>
  <c r="AM1192" i="3"/>
  <c r="AM1193" i="3"/>
  <c r="AM1194" i="3"/>
  <c r="AM1195" i="3"/>
  <c r="AM1196" i="3"/>
  <c r="AM1197" i="3"/>
  <c r="AM1198" i="3"/>
  <c r="AM1199" i="3"/>
  <c r="AM1200" i="3"/>
  <c r="AM1201" i="3"/>
  <c r="AM1202" i="3"/>
  <c r="AM1203" i="3"/>
  <c r="AM1204" i="3"/>
  <c r="AM1205" i="3"/>
  <c r="AM1206" i="3"/>
  <c r="AM1207" i="3"/>
  <c r="AM1208" i="3"/>
  <c r="AM1209" i="3"/>
  <c r="AM1210" i="3"/>
  <c r="AM1211" i="3"/>
  <c r="AM1212" i="3"/>
  <c r="AM1213" i="3"/>
  <c r="AM1214" i="3"/>
  <c r="AM1215" i="3"/>
  <c r="AM1216" i="3"/>
  <c r="AM1217" i="3"/>
  <c r="AM1218" i="3"/>
  <c r="AM1219" i="3"/>
  <c r="AM1220" i="3"/>
  <c r="AM1221" i="3"/>
  <c r="AM1222" i="3"/>
  <c r="AM1223" i="3"/>
  <c r="AM1224" i="3"/>
  <c r="AM1225" i="3"/>
  <c r="AM1226" i="3"/>
  <c r="AM1227" i="3"/>
  <c r="AM1228" i="3"/>
  <c r="AM1229" i="3"/>
  <c r="AM1230" i="3"/>
  <c r="AM1231" i="3"/>
  <c r="AM1232" i="3"/>
  <c r="AM1233" i="3"/>
  <c r="AM1234" i="3"/>
  <c r="AM1235" i="3"/>
  <c r="AM1236" i="3"/>
  <c r="AM1237" i="3"/>
  <c r="AM1238" i="3"/>
  <c r="AM1239" i="3"/>
  <c r="AM1240" i="3"/>
  <c r="AM1241" i="3"/>
  <c r="AM1242" i="3"/>
  <c r="AM1243" i="3"/>
  <c r="AM1244" i="3"/>
  <c r="AM1245" i="3"/>
  <c r="AM1246" i="3"/>
  <c r="AM1247" i="3"/>
  <c r="AM1248" i="3"/>
  <c r="AM1249" i="3"/>
  <c r="AM1250" i="3"/>
  <c r="AM1251" i="3"/>
  <c r="AM1252" i="3"/>
  <c r="AM1253" i="3"/>
  <c r="AM1254" i="3"/>
  <c r="AM1255" i="3"/>
  <c r="AM1256" i="3"/>
  <c r="AM1257" i="3"/>
  <c r="AM1258" i="3"/>
  <c r="AM1259" i="3"/>
  <c r="AM1260" i="3"/>
  <c r="AM1261" i="3"/>
  <c r="AM1262" i="3"/>
  <c r="AM1263" i="3"/>
  <c r="AM1264" i="3"/>
  <c r="AM1265" i="3"/>
  <c r="AM1266" i="3"/>
  <c r="AM1267" i="3"/>
  <c r="AM1268" i="3"/>
  <c r="AM1269" i="3"/>
  <c r="AM1270" i="3"/>
  <c r="AM1271" i="3"/>
  <c r="AM1272" i="3"/>
  <c r="AM1273" i="3"/>
  <c r="AM1274" i="3"/>
  <c r="AM1275" i="3"/>
  <c r="AM1276" i="3"/>
  <c r="AM1277" i="3"/>
  <c r="AM1278" i="3"/>
  <c r="AM1279" i="3"/>
  <c r="AM1280" i="3"/>
  <c r="AM1281" i="3"/>
  <c r="AM1282" i="3"/>
  <c r="AM1283" i="3"/>
  <c r="AM1284" i="3"/>
  <c r="AM1285" i="3"/>
  <c r="AM1286" i="3"/>
  <c r="AM1287" i="3"/>
  <c r="AM1288" i="3"/>
  <c r="AM1289" i="3"/>
  <c r="AM1290" i="3"/>
  <c r="AM1291" i="3"/>
  <c r="AM1292" i="3"/>
  <c r="AM1293" i="3"/>
  <c r="AM1294" i="3"/>
  <c r="AM1295" i="3"/>
  <c r="AM1296" i="3"/>
  <c r="AM1297" i="3"/>
  <c r="AM1298" i="3"/>
  <c r="AM1299" i="3"/>
  <c r="AM1300" i="3"/>
  <c r="AM1301" i="3"/>
  <c r="AM1302" i="3"/>
  <c r="AM1303" i="3"/>
  <c r="AM1304" i="3"/>
  <c r="AM1305" i="3"/>
  <c r="AM1306" i="3"/>
  <c r="AM1307" i="3"/>
  <c r="AM1308" i="3"/>
  <c r="AM1309" i="3"/>
  <c r="AM1310" i="3"/>
  <c r="AM1311" i="3"/>
  <c r="AM1312" i="3"/>
  <c r="AM1313" i="3"/>
  <c r="AM1314" i="3"/>
  <c r="AM1315" i="3"/>
  <c r="AM1316" i="3"/>
  <c r="AM1317" i="3"/>
  <c r="AM1318" i="3"/>
  <c r="AM1319" i="3"/>
  <c r="AM1320" i="3"/>
  <c r="AM1321" i="3"/>
  <c r="AM1322" i="3"/>
  <c r="AM1323" i="3"/>
  <c r="AM1324" i="3"/>
  <c r="AM1325" i="3"/>
  <c r="AM1326" i="3"/>
  <c r="AM1327" i="3"/>
  <c r="AM1328" i="3"/>
  <c r="AM1329" i="3"/>
  <c r="AM1330" i="3"/>
  <c r="AM1331" i="3"/>
  <c r="AM1332" i="3"/>
  <c r="AM1333" i="3"/>
  <c r="AM1334" i="3"/>
  <c r="AM1335" i="3"/>
  <c r="AM1336" i="3"/>
  <c r="AM1337" i="3"/>
  <c r="AM1338" i="3"/>
  <c r="AM1339" i="3"/>
  <c r="AM1340" i="3"/>
  <c r="AM1341" i="3"/>
  <c r="AM1342" i="3"/>
  <c r="AM1343" i="3"/>
  <c r="AM1344" i="3"/>
  <c r="AM1345" i="3"/>
  <c r="AM1346" i="3"/>
  <c r="AM1347" i="3"/>
  <c r="AM1348" i="3"/>
  <c r="AM1349" i="3"/>
  <c r="AM1350" i="3"/>
  <c r="AM1351" i="3"/>
  <c r="AM1352" i="3"/>
  <c r="AM1353" i="3"/>
  <c r="AM1354" i="3"/>
  <c r="AM1355" i="3"/>
  <c r="AM1356" i="3"/>
  <c r="AM1357" i="3"/>
  <c r="AM1358" i="3"/>
  <c r="AM1359" i="3"/>
  <c r="AM1360" i="3"/>
  <c r="AM1361" i="3"/>
  <c r="AM1362" i="3"/>
  <c r="AM1363" i="3"/>
  <c r="AM1364" i="3"/>
  <c r="AM1365" i="3"/>
  <c r="AM1366" i="3"/>
  <c r="AM1367" i="3"/>
  <c r="AM1368" i="3"/>
  <c r="AM1369" i="3"/>
  <c r="AM1370" i="3"/>
  <c r="AM1371" i="3"/>
  <c r="AM1372" i="3"/>
  <c r="AM1373" i="3"/>
  <c r="AM1374" i="3"/>
  <c r="AM1375" i="3"/>
  <c r="AM1376" i="3"/>
  <c r="AM1377" i="3"/>
  <c r="AM1378" i="3"/>
  <c r="AM1379" i="3"/>
  <c r="AM1380" i="3"/>
  <c r="AM1381" i="3"/>
  <c r="AM1382" i="3"/>
  <c r="AM1383" i="3"/>
  <c r="AM1384" i="3"/>
  <c r="AM1385" i="3"/>
  <c r="AM1386" i="3"/>
  <c r="AM1387" i="3"/>
  <c r="AM1388" i="3"/>
  <c r="AM1389" i="3"/>
  <c r="AM1390" i="3"/>
  <c r="AM1391" i="3"/>
  <c r="AM1392" i="3"/>
  <c r="AM1393" i="3"/>
  <c r="AM1394" i="3"/>
  <c r="AM1395" i="3"/>
  <c r="AM1396" i="3"/>
  <c r="AM1397" i="3"/>
  <c r="AM1398" i="3"/>
  <c r="AM1399" i="3"/>
  <c r="AM1400" i="3"/>
  <c r="AM1401" i="3"/>
  <c r="AM1402" i="3"/>
  <c r="AM1403" i="3"/>
  <c r="AM1404" i="3"/>
  <c r="AM1405" i="3"/>
  <c r="AM1406" i="3"/>
  <c r="AM1407" i="3"/>
  <c r="AM1408" i="3"/>
  <c r="AM1409" i="3"/>
  <c r="AM1410" i="3"/>
  <c r="AM1411" i="3"/>
  <c r="AM1412" i="3"/>
  <c r="AM1413" i="3"/>
  <c r="AM1414" i="3"/>
  <c r="AM1415" i="3"/>
  <c r="AM1416" i="3"/>
  <c r="AM1417" i="3"/>
  <c r="AM1418" i="3"/>
  <c r="AM1419" i="3"/>
  <c r="AM1420" i="3"/>
  <c r="AM1421" i="3"/>
  <c r="AM1422" i="3"/>
  <c r="AM1423" i="3"/>
  <c r="AM1424" i="3"/>
  <c r="AM1425" i="3"/>
  <c r="AM1426" i="3"/>
  <c r="AM1427" i="3"/>
  <c r="AM1428" i="3"/>
  <c r="AM1429" i="3"/>
  <c r="AM1430" i="3"/>
  <c r="AM1431" i="3"/>
  <c r="AM1432" i="3"/>
  <c r="AM1433" i="3"/>
  <c r="AM1434" i="3"/>
  <c r="AM1435" i="3"/>
  <c r="AM1436" i="3"/>
  <c r="AM1437" i="3"/>
  <c r="AM1438" i="3"/>
  <c r="AM1439" i="3"/>
  <c r="AM1440" i="3"/>
  <c r="AM1441" i="3"/>
  <c r="AM1442" i="3"/>
  <c r="AM1443" i="3"/>
  <c r="AM1444" i="3"/>
  <c r="AM1445" i="3"/>
  <c r="AM1446" i="3"/>
  <c r="AM1447" i="3"/>
  <c r="AM1448" i="3"/>
  <c r="AM1449" i="3"/>
  <c r="AM1450" i="3"/>
  <c r="AM1451" i="3"/>
  <c r="AM1452" i="3"/>
  <c r="AM1453" i="3"/>
  <c r="AM1454" i="3"/>
  <c r="AM1455" i="3"/>
  <c r="AM1456" i="3"/>
  <c r="AM1457" i="3"/>
  <c r="AM1458" i="3"/>
  <c r="AM1459" i="3"/>
  <c r="AM1460" i="3"/>
  <c r="AM1461" i="3"/>
  <c r="AM1462" i="3"/>
  <c r="AM1463" i="3"/>
  <c r="AM1464" i="3"/>
  <c r="AM1465" i="3"/>
  <c r="AM1466" i="3"/>
  <c r="AM1467" i="3"/>
  <c r="AM1468" i="3"/>
  <c r="AM1469" i="3"/>
  <c r="AM1470" i="3"/>
  <c r="AM1471" i="3"/>
  <c r="AM1472" i="3"/>
  <c r="AM1473" i="3"/>
  <c r="AM1474" i="3"/>
  <c r="AM1475" i="3"/>
  <c r="AM1476" i="3"/>
  <c r="AM1477" i="3"/>
  <c r="AM1478" i="3"/>
  <c r="AM1479" i="3"/>
  <c r="AM1480" i="3"/>
  <c r="AM1481" i="3"/>
  <c r="AM1482" i="3"/>
  <c r="AM1483" i="3"/>
  <c r="AM1484" i="3"/>
  <c r="AM1485" i="3"/>
  <c r="AM1486" i="3"/>
  <c r="AM1487" i="3"/>
  <c r="AM1488" i="3"/>
  <c r="AM1489" i="3"/>
  <c r="AM1490" i="3"/>
  <c r="AM1491" i="3"/>
  <c r="AM1492" i="3"/>
  <c r="AM1493" i="3"/>
  <c r="AM1494" i="3"/>
  <c r="AM1495" i="3"/>
  <c r="AM1496" i="3"/>
  <c r="AM1497" i="3"/>
  <c r="AM1498" i="3"/>
  <c r="AM1499" i="3"/>
  <c r="AM1500" i="3"/>
  <c r="AM1501" i="3"/>
  <c r="AM1502" i="3"/>
  <c r="AM1503" i="3"/>
  <c r="AM1504" i="3"/>
  <c r="AM1505" i="3"/>
  <c r="AM1506" i="3"/>
  <c r="AM1507" i="3"/>
  <c r="AM1508" i="3"/>
  <c r="AM1509" i="3"/>
  <c r="AM1510" i="3"/>
  <c r="AM1511" i="3"/>
  <c r="AM1512" i="3"/>
  <c r="AM1513" i="3"/>
  <c r="AM1514" i="3"/>
  <c r="AM1515" i="3"/>
  <c r="AM1516" i="3"/>
  <c r="AM1517" i="3"/>
  <c r="AM1518" i="3"/>
  <c r="AM1519" i="3"/>
  <c r="AM1520" i="3"/>
  <c r="AM1521" i="3"/>
  <c r="AM1522" i="3"/>
  <c r="AM1523" i="3"/>
  <c r="AM1524" i="3"/>
  <c r="AM1525" i="3"/>
  <c r="AM1526" i="3"/>
  <c r="AM1527" i="3"/>
  <c r="AM1528" i="3"/>
  <c r="AM1529" i="3"/>
  <c r="AM1530" i="3"/>
  <c r="AM1531" i="3"/>
  <c r="AM1532" i="3"/>
  <c r="AM1533" i="3"/>
  <c r="AM1534" i="3"/>
  <c r="AM1535" i="3"/>
  <c r="AM1536" i="3"/>
  <c r="AM1537" i="3"/>
  <c r="AM1538" i="3"/>
  <c r="AM1539" i="3"/>
  <c r="AM1540" i="3"/>
  <c r="AM1541" i="3"/>
  <c r="AM1542" i="3"/>
  <c r="AM1543" i="3"/>
  <c r="AM1544" i="3"/>
  <c r="AM1545" i="3"/>
  <c r="AM1546" i="3"/>
  <c r="AM1547" i="3"/>
  <c r="AM1548" i="3"/>
  <c r="AM1549" i="3"/>
  <c r="AM1550" i="3"/>
  <c r="AM1551" i="3"/>
  <c r="AM1552" i="3"/>
  <c r="AM1553" i="3"/>
  <c r="AM1554" i="3"/>
  <c r="AM1555" i="3"/>
  <c r="AM1556" i="3"/>
  <c r="AM1557" i="3"/>
  <c r="AM1558" i="3"/>
  <c r="AM1559" i="3"/>
  <c r="AM1560" i="3"/>
  <c r="AM1561" i="3"/>
  <c r="AM1562" i="3"/>
  <c r="AM1563" i="3"/>
  <c r="AM1564" i="3"/>
  <c r="AM1565" i="3"/>
  <c r="AM1566" i="3"/>
  <c r="AM1567" i="3"/>
  <c r="AM1568" i="3"/>
  <c r="AM1569" i="3"/>
  <c r="AM1570" i="3"/>
  <c r="AM1571" i="3"/>
  <c r="AM1572" i="3"/>
  <c r="AM1573" i="3"/>
  <c r="AM1574" i="3"/>
  <c r="AM1575" i="3"/>
  <c r="AM1576" i="3"/>
  <c r="AM1577" i="3"/>
  <c r="AM1578" i="3"/>
  <c r="AM1579" i="3"/>
  <c r="AM1580" i="3"/>
  <c r="AM1581" i="3"/>
  <c r="AM1582" i="3"/>
  <c r="AM1583" i="3"/>
  <c r="AM1584" i="3"/>
  <c r="AM1585" i="3"/>
  <c r="AM1586" i="3"/>
  <c r="AM1587" i="3"/>
  <c r="AM1588" i="3"/>
  <c r="AM1589" i="3"/>
  <c r="AM1590" i="3"/>
  <c r="AM1591" i="3"/>
  <c r="AM1592" i="3"/>
  <c r="AM1593" i="3"/>
  <c r="AM1594" i="3"/>
  <c r="AM1595" i="3"/>
  <c r="AM1596" i="3"/>
  <c r="AM1597" i="3"/>
  <c r="AM1598" i="3"/>
  <c r="AM1599" i="3"/>
  <c r="AM1600" i="3"/>
  <c r="AM1601" i="3"/>
  <c r="AM1602" i="3"/>
  <c r="AM1603" i="3"/>
  <c r="AM1604" i="3"/>
  <c r="AM1605" i="3"/>
  <c r="AM1606" i="3"/>
  <c r="AM1607" i="3"/>
  <c r="AM1608" i="3"/>
  <c r="AM1609" i="3"/>
  <c r="AM1610" i="3"/>
  <c r="AM1611" i="3"/>
  <c r="AM1612" i="3"/>
  <c r="AM1613" i="3"/>
  <c r="AM1614" i="3"/>
  <c r="AM1615" i="3"/>
  <c r="AM1616" i="3"/>
  <c r="AM1617" i="3"/>
  <c r="AM1618" i="3"/>
  <c r="AM1619" i="3"/>
  <c r="AM1620" i="3"/>
  <c r="AM1621" i="3"/>
  <c r="AM1622" i="3"/>
  <c r="AM1623" i="3"/>
  <c r="AM1624" i="3"/>
  <c r="AM1625" i="3"/>
  <c r="AM1626" i="3"/>
  <c r="AM1627" i="3"/>
  <c r="AM1628" i="3"/>
  <c r="AM1629" i="3"/>
  <c r="AM1630" i="3"/>
  <c r="AM1631" i="3"/>
  <c r="AM1632" i="3"/>
  <c r="AM1633" i="3"/>
  <c r="AM1634" i="3"/>
  <c r="AM1635" i="3"/>
  <c r="AM1636" i="3"/>
  <c r="AM1637" i="3"/>
  <c r="AM1638" i="3"/>
  <c r="AM1639" i="3"/>
  <c r="AM1640" i="3"/>
  <c r="AM1641" i="3"/>
  <c r="AM1642" i="3"/>
  <c r="AM1643" i="3"/>
  <c r="AM1644" i="3"/>
  <c r="AM1645" i="3"/>
  <c r="AM1646" i="3"/>
  <c r="AM1647" i="3"/>
  <c r="AM1648" i="3"/>
  <c r="AM1649" i="3"/>
  <c r="AM1650" i="3"/>
  <c r="AM1651" i="3"/>
  <c r="AM1652" i="3"/>
  <c r="AM1653" i="3"/>
  <c r="AM1654" i="3"/>
  <c r="AM1655" i="3"/>
  <c r="AM1656" i="3"/>
  <c r="AM1657" i="3"/>
  <c r="AM1658" i="3"/>
  <c r="AM1659" i="3"/>
  <c r="AM1660" i="3"/>
  <c r="AM1661" i="3"/>
  <c r="AM1662" i="3"/>
  <c r="AM1663" i="3"/>
  <c r="AM1664" i="3"/>
  <c r="AM1665" i="3"/>
  <c r="AM1666" i="3"/>
  <c r="AM1667" i="3"/>
  <c r="AM1668" i="3"/>
  <c r="AM1669" i="3"/>
  <c r="AM1670" i="3"/>
  <c r="AM1671" i="3"/>
  <c r="AM1672" i="3"/>
  <c r="AM1673" i="3"/>
  <c r="AM1674" i="3"/>
  <c r="AM1675" i="3"/>
  <c r="AM1676" i="3"/>
  <c r="AM1677" i="3"/>
  <c r="AM1678" i="3"/>
  <c r="AM1679" i="3"/>
  <c r="AM1680" i="3"/>
  <c r="AM1681" i="3"/>
  <c r="AM1682" i="3"/>
  <c r="AM1683" i="3"/>
  <c r="AM1684" i="3"/>
  <c r="AM1685" i="3"/>
  <c r="AM1686" i="3"/>
  <c r="AM1687" i="3"/>
  <c r="AM1688" i="3"/>
  <c r="AM1689" i="3"/>
  <c r="AM1690" i="3"/>
  <c r="AM1691" i="3"/>
  <c r="AM1692" i="3"/>
  <c r="AM1693" i="3"/>
  <c r="AM1694" i="3"/>
  <c r="AM1695" i="3"/>
  <c r="AM1696" i="3"/>
  <c r="AM1697" i="3"/>
  <c r="AM1698" i="3"/>
  <c r="AM1699" i="3"/>
  <c r="AM1700" i="3"/>
  <c r="AM1701" i="3"/>
  <c r="AM1702" i="3"/>
  <c r="AM1703" i="3"/>
  <c r="AM1704" i="3"/>
  <c r="AM1705" i="3"/>
  <c r="AM1706" i="3"/>
  <c r="AM1707" i="3"/>
  <c r="AM1708" i="3"/>
  <c r="AM1709" i="3"/>
  <c r="AM1710" i="3"/>
  <c r="AM1711" i="3"/>
  <c r="AM1712" i="3"/>
  <c r="AM1713" i="3"/>
  <c r="AM1714" i="3"/>
  <c r="AM1715" i="3"/>
  <c r="AM1716" i="3"/>
  <c r="AM1717" i="3"/>
  <c r="AM1718" i="3"/>
  <c r="AM1719" i="3"/>
  <c r="AM1720" i="3"/>
  <c r="AM1721" i="3"/>
  <c r="AM1722" i="3"/>
  <c r="AM1723" i="3"/>
  <c r="AM1724" i="3"/>
  <c r="AM1725" i="3"/>
  <c r="AM1726" i="3"/>
  <c r="AM1727" i="3"/>
  <c r="AM1728" i="3"/>
  <c r="AM1729" i="3"/>
  <c r="AM1730" i="3"/>
  <c r="AM1731" i="3"/>
  <c r="AM1732" i="3"/>
  <c r="AM1733" i="3"/>
  <c r="AM1734" i="3"/>
  <c r="AM1735" i="3"/>
  <c r="AM1736" i="3"/>
  <c r="AM1737" i="3"/>
  <c r="AM1738" i="3"/>
  <c r="AM1739" i="3"/>
  <c r="AM1740" i="3"/>
  <c r="AM1741" i="3"/>
  <c r="AM1742" i="3"/>
  <c r="AM1743" i="3"/>
  <c r="AM1744" i="3"/>
  <c r="AM1745" i="3"/>
  <c r="AM1746" i="3"/>
  <c r="AM1747" i="3"/>
  <c r="AM1748" i="3"/>
  <c r="AM1749" i="3"/>
  <c r="AM1750" i="3"/>
  <c r="AM1751" i="3"/>
  <c r="AM1752" i="3"/>
  <c r="AM1753" i="3"/>
  <c r="AM1754" i="3"/>
  <c r="AM1755" i="3"/>
  <c r="AM1756" i="3"/>
  <c r="AM1757" i="3"/>
  <c r="AM1758" i="3"/>
  <c r="AM1759" i="3"/>
  <c r="AM1760" i="3"/>
  <c r="AM1761" i="3"/>
  <c r="AM1762" i="3"/>
  <c r="AM1763" i="3"/>
  <c r="AM1764" i="3"/>
  <c r="AM1765" i="3"/>
  <c r="AM1766" i="3"/>
  <c r="AM1767" i="3"/>
  <c r="AM1768" i="3"/>
  <c r="AM1769" i="3"/>
  <c r="AM1770" i="3"/>
  <c r="AM1771" i="3"/>
  <c r="AM1772" i="3"/>
  <c r="AM1773" i="3"/>
  <c r="AM1774" i="3"/>
  <c r="AM1775" i="3"/>
  <c r="AM1776" i="3"/>
  <c r="AM1777" i="3"/>
  <c r="AM1778" i="3"/>
  <c r="AM1779" i="3"/>
  <c r="AM1780" i="3"/>
  <c r="AM1781" i="3"/>
  <c r="AM1782" i="3"/>
  <c r="AM1783" i="3"/>
  <c r="AM1784" i="3"/>
  <c r="AM1785" i="3"/>
  <c r="AM1786" i="3"/>
  <c r="AM1787" i="3"/>
  <c r="AM1788" i="3"/>
  <c r="AM1789" i="3"/>
  <c r="AM1790" i="3"/>
  <c r="AM1791" i="3"/>
  <c r="AM1792" i="3"/>
  <c r="AM1793" i="3"/>
  <c r="AM1794" i="3"/>
  <c r="AM1795" i="3"/>
  <c r="AM1796" i="3"/>
  <c r="AM1797" i="3"/>
  <c r="AM1798" i="3"/>
  <c r="AM1799" i="3"/>
  <c r="AM1800" i="3"/>
  <c r="AM1801" i="3"/>
  <c r="AM1802" i="3"/>
  <c r="AM1803" i="3"/>
  <c r="AM1804" i="3"/>
  <c r="AM1805" i="3"/>
  <c r="AM1806" i="3"/>
  <c r="AM1807" i="3"/>
  <c r="AM1808" i="3"/>
  <c r="AM1809" i="3"/>
  <c r="AM1810" i="3"/>
  <c r="AM1811" i="3"/>
  <c r="AM1812" i="3"/>
  <c r="AM1813" i="3"/>
  <c r="AM1814" i="3"/>
  <c r="AM1815" i="3"/>
  <c r="AM1816" i="3"/>
  <c r="AM1817" i="3"/>
  <c r="AM1818" i="3"/>
  <c r="AM1819" i="3"/>
  <c r="AM1820" i="3"/>
  <c r="AM1821" i="3"/>
  <c r="AM1822" i="3"/>
  <c r="AM1823" i="3"/>
  <c r="AM1824" i="3"/>
  <c r="AM1825" i="3"/>
  <c r="AM1826" i="3"/>
  <c r="AM1827" i="3"/>
  <c r="AM1828" i="3"/>
  <c r="AM1829" i="3"/>
  <c r="AM1830" i="3"/>
  <c r="AM1831" i="3"/>
  <c r="AM1832" i="3"/>
  <c r="AM1833" i="3"/>
  <c r="AM1834" i="3"/>
  <c r="AM1835" i="3"/>
  <c r="AM1836" i="3"/>
  <c r="AM1837" i="3"/>
  <c r="AM1838" i="3"/>
  <c r="AM1839" i="3"/>
  <c r="AM1840" i="3"/>
  <c r="AM1841" i="3"/>
  <c r="AM1842" i="3"/>
  <c r="AM1843" i="3"/>
  <c r="AM1844" i="3"/>
  <c r="AM1845" i="3"/>
  <c r="AM1846" i="3"/>
  <c r="AM1847" i="3"/>
  <c r="AM1848" i="3"/>
  <c r="AM1849" i="3"/>
  <c r="AM1850" i="3"/>
  <c r="AM1851" i="3"/>
  <c r="AM1852" i="3"/>
  <c r="AM1853" i="3"/>
  <c r="AM1854" i="3"/>
  <c r="AM1855" i="3"/>
  <c r="AM1856" i="3"/>
  <c r="AM1857" i="3"/>
  <c r="AM1858" i="3"/>
  <c r="AM1859" i="3"/>
  <c r="AM1860" i="3"/>
  <c r="AM1861" i="3"/>
  <c r="AM1862" i="3"/>
  <c r="AM1863" i="3"/>
  <c r="AM1864" i="3"/>
  <c r="AM1865" i="3"/>
  <c r="AM1866" i="3"/>
  <c r="AM1867" i="3"/>
  <c r="AM1868" i="3"/>
  <c r="AM1869" i="3"/>
  <c r="AM1870" i="3"/>
  <c r="AM1871" i="3"/>
  <c r="AM1872" i="3"/>
  <c r="AM1873" i="3"/>
  <c r="AM1874" i="3"/>
  <c r="AM1875" i="3"/>
  <c r="AM1876" i="3"/>
  <c r="AM1877" i="3"/>
  <c r="AM1878" i="3"/>
  <c r="AM1879" i="3"/>
  <c r="AM1880" i="3"/>
  <c r="AM1881" i="3"/>
  <c r="AM1882" i="3"/>
  <c r="AM1883" i="3"/>
  <c r="AM1884" i="3"/>
  <c r="AM1885" i="3"/>
  <c r="AM1886" i="3"/>
  <c r="AM1887" i="3"/>
  <c r="AM1888" i="3"/>
  <c r="AM1889" i="3"/>
  <c r="AM1890" i="3"/>
  <c r="AM1891" i="3"/>
  <c r="AM1892" i="3"/>
  <c r="AM1893" i="3"/>
  <c r="AM1894" i="3"/>
  <c r="AM1895" i="3"/>
  <c r="AM1896" i="3"/>
  <c r="AM1897" i="3"/>
  <c r="AM1898" i="3"/>
  <c r="AM1899" i="3"/>
  <c r="AM1900" i="3"/>
  <c r="AM1901" i="3"/>
  <c r="AM1902" i="3"/>
  <c r="AM1903" i="3"/>
  <c r="AM1904" i="3"/>
  <c r="AM1905" i="3"/>
  <c r="AM1906" i="3"/>
  <c r="AM1907" i="3"/>
  <c r="AM1908" i="3"/>
  <c r="AM1909" i="3"/>
  <c r="AM1910" i="3"/>
  <c r="AM1911" i="3"/>
  <c r="AM1912" i="3"/>
  <c r="AM1913" i="3"/>
  <c r="AM1914" i="3"/>
  <c r="AM1915" i="3"/>
  <c r="AM1916" i="3"/>
  <c r="AM1917" i="3"/>
  <c r="AM1918" i="3"/>
  <c r="AM1919" i="3"/>
  <c r="AM1920" i="3"/>
  <c r="AM1921" i="3"/>
  <c r="AM1922" i="3"/>
  <c r="AM1923" i="3"/>
  <c r="AM1924" i="3"/>
  <c r="AM1925" i="3"/>
  <c r="AM1926" i="3"/>
  <c r="AM1927" i="3"/>
  <c r="AM1928" i="3"/>
  <c r="AM1929" i="3"/>
  <c r="AM1930" i="3"/>
  <c r="AM1931" i="3"/>
  <c r="AM1932" i="3"/>
  <c r="AM1933" i="3"/>
  <c r="AM1934" i="3"/>
  <c r="AM1935" i="3"/>
  <c r="AM1936" i="3"/>
  <c r="AM1937" i="3"/>
  <c r="AM1938" i="3"/>
  <c r="AM1939" i="3"/>
  <c r="AM1940" i="3"/>
  <c r="AM1941" i="3"/>
  <c r="AM1942" i="3"/>
  <c r="AM1943" i="3"/>
  <c r="AM1944" i="3"/>
  <c r="AM1945" i="3"/>
  <c r="AM1946" i="3"/>
  <c r="AM1947" i="3"/>
  <c r="AM1948" i="3"/>
  <c r="AM1949" i="3"/>
  <c r="AM1950" i="3"/>
  <c r="AM1951" i="3"/>
  <c r="AM1952" i="3"/>
  <c r="AM1953" i="3"/>
  <c r="AM1954" i="3"/>
  <c r="AM1955" i="3"/>
  <c r="AM1956" i="3"/>
  <c r="AM1957" i="3"/>
  <c r="AM1958" i="3"/>
  <c r="AM1959" i="3"/>
  <c r="AM1960" i="3"/>
  <c r="AM1961" i="3"/>
  <c r="AM1962" i="3"/>
  <c r="AM1963" i="3"/>
  <c r="AM1964" i="3"/>
  <c r="AM1965" i="3"/>
  <c r="AM1966" i="3"/>
  <c r="AM1967" i="3"/>
  <c r="AM1968" i="3"/>
  <c r="AM1969" i="3"/>
  <c r="AM1970" i="3"/>
  <c r="AM1971" i="3"/>
  <c r="AM1972" i="3"/>
  <c r="AM1973" i="3"/>
  <c r="AM1974" i="3"/>
  <c r="AM1975" i="3"/>
  <c r="AM1976" i="3"/>
  <c r="AM1977" i="3"/>
  <c r="AM1978" i="3"/>
  <c r="AM1979" i="3"/>
  <c r="AM1980" i="3"/>
  <c r="AM1981" i="3"/>
  <c r="AM1982" i="3"/>
  <c r="AM1983" i="3"/>
  <c r="AM1984" i="3"/>
  <c r="AM1985" i="3"/>
  <c r="AM1986" i="3"/>
  <c r="AM1987" i="3"/>
  <c r="AM1988" i="3"/>
  <c r="AM1989" i="3"/>
  <c r="AM1990" i="3"/>
  <c r="AM1991" i="3"/>
  <c r="AM1992" i="3"/>
  <c r="AM1993" i="3"/>
  <c r="AM1994" i="3"/>
  <c r="AM1995" i="3"/>
  <c r="AM1996" i="3"/>
  <c r="AM1997" i="3"/>
  <c r="AM1998" i="3"/>
  <c r="AM1999" i="3"/>
  <c r="AM2000" i="3"/>
  <c r="AM2001" i="3"/>
  <c r="AM2002" i="3"/>
  <c r="AM2003" i="3"/>
  <c r="AM2004" i="3"/>
  <c r="AM2005" i="3"/>
  <c r="AM2006" i="3"/>
  <c r="AM2007" i="3"/>
  <c r="AM2008" i="3"/>
  <c r="AM2009" i="3"/>
  <c r="AM2010" i="3"/>
  <c r="AM2011" i="3"/>
  <c r="AM2012" i="3"/>
  <c r="AM2013" i="3"/>
  <c r="AM2014" i="3"/>
  <c r="AM2015" i="3"/>
  <c r="AM2016" i="3"/>
  <c r="AM2017" i="3"/>
  <c r="AM2018" i="3"/>
  <c r="AM2019" i="3"/>
  <c r="AM2020" i="3"/>
  <c r="AM2021" i="3"/>
  <c r="AM2022" i="3"/>
  <c r="AM2023" i="3"/>
  <c r="AM2024" i="3"/>
  <c r="AM2025" i="3"/>
  <c r="AM2026" i="3"/>
  <c r="AM2027" i="3"/>
  <c r="AM2028" i="3"/>
  <c r="AM2029" i="3"/>
  <c r="AM2030" i="3"/>
  <c r="AM2031" i="3"/>
  <c r="AM2032" i="3"/>
  <c r="AM2033" i="3"/>
  <c r="AM2034" i="3"/>
  <c r="AM2035" i="3"/>
  <c r="AM2036" i="3"/>
  <c r="AM2037" i="3"/>
  <c r="AM2038" i="3"/>
  <c r="AM2039" i="3"/>
  <c r="AM2040" i="3"/>
  <c r="AM2041" i="3"/>
  <c r="AM2042" i="3"/>
  <c r="AM2043" i="3"/>
  <c r="AM2044" i="3"/>
  <c r="AM2045" i="3"/>
  <c r="AM2046" i="3"/>
  <c r="AM2047" i="3"/>
  <c r="AM2048" i="3"/>
  <c r="AM2049" i="3"/>
  <c r="AM2050" i="3"/>
  <c r="AM2051" i="3"/>
  <c r="AM2052" i="3"/>
  <c r="AM2053" i="3"/>
  <c r="AM2054" i="3"/>
  <c r="AM2055" i="3"/>
  <c r="AM2056" i="3"/>
  <c r="AM2057" i="3"/>
  <c r="AM2058" i="3"/>
  <c r="AM2059" i="3"/>
  <c r="AM2060" i="3"/>
  <c r="AM2061" i="3"/>
  <c r="AM2062" i="3"/>
  <c r="AM2063" i="3"/>
  <c r="AM2064" i="3"/>
  <c r="AM2065" i="3"/>
  <c r="AM2066" i="3"/>
  <c r="AM2067" i="3"/>
  <c r="AM2068" i="3"/>
  <c r="AM2069" i="3"/>
  <c r="AM2070" i="3"/>
  <c r="AM2071" i="3"/>
  <c r="AM2072" i="3"/>
  <c r="AM2073" i="3"/>
  <c r="AM2074" i="3"/>
  <c r="AM2075" i="3"/>
  <c r="AM2076" i="3"/>
  <c r="AM2077" i="3"/>
  <c r="AM2078" i="3"/>
  <c r="AM2079" i="3"/>
  <c r="AM2080" i="3"/>
  <c r="AM2081" i="3"/>
  <c r="AM2082" i="3"/>
  <c r="AM2083" i="3"/>
  <c r="AM2084" i="3"/>
  <c r="AM2085" i="3"/>
  <c r="AM2086" i="3"/>
  <c r="AM2087" i="3"/>
  <c r="AM2088" i="3"/>
  <c r="AM2089" i="3"/>
  <c r="AM2090" i="3"/>
  <c r="AM2091" i="3"/>
  <c r="AM2092" i="3"/>
  <c r="AM2093" i="3"/>
  <c r="AM2094" i="3"/>
  <c r="AM2095" i="3"/>
  <c r="AM2096" i="3"/>
  <c r="AM2097" i="3"/>
  <c r="AM2098" i="3"/>
  <c r="AM2099" i="3"/>
  <c r="AM2100" i="3"/>
  <c r="AM2101" i="3"/>
  <c r="AM2102" i="3"/>
  <c r="AM2103" i="3"/>
  <c r="AM2104" i="3"/>
  <c r="AM2105" i="3"/>
  <c r="AM2106" i="3"/>
  <c r="AM2107" i="3"/>
  <c r="AM2108" i="3"/>
  <c r="AM2109" i="3"/>
  <c r="AM2110" i="3"/>
  <c r="AM2111" i="3"/>
  <c r="AM2112" i="3"/>
  <c r="AM2113" i="3"/>
  <c r="AM2114" i="3"/>
  <c r="AM2115" i="3"/>
  <c r="AM2116" i="3"/>
  <c r="AM2117" i="3"/>
  <c r="AM2118" i="3"/>
  <c r="AM2119" i="3"/>
  <c r="AM2120" i="3"/>
  <c r="AM2121" i="3"/>
  <c r="AM2122" i="3"/>
  <c r="AM2123" i="3"/>
  <c r="AM2124" i="3"/>
  <c r="AM2125" i="3"/>
  <c r="AM2126" i="3"/>
  <c r="AM2127" i="3"/>
  <c r="AM2128" i="3"/>
  <c r="AM2129" i="3"/>
  <c r="AM2130" i="3"/>
  <c r="AM2131" i="3"/>
  <c r="AM2132" i="3"/>
  <c r="AM2133" i="3"/>
  <c r="AM2134" i="3"/>
  <c r="AM2135" i="3"/>
  <c r="AM2136" i="3"/>
  <c r="AM2137" i="3"/>
  <c r="AM2138" i="3"/>
  <c r="AM2139" i="3"/>
  <c r="AM2140" i="3"/>
  <c r="AM2141" i="3"/>
  <c r="AM2142" i="3"/>
  <c r="AM2143" i="3"/>
  <c r="AM2144" i="3"/>
  <c r="AM2145" i="3"/>
  <c r="AM2146" i="3"/>
  <c r="AM2147" i="3"/>
  <c r="AM2148" i="3"/>
  <c r="AM2149" i="3"/>
  <c r="AM2150" i="3"/>
  <c r="AM2151" i="3"/>
  <c r="AM2152" i="3"/>
  <c r="AM2153" i="3"/>
  <c r="AM2154" i="3"/>
  <c r="AM2155" i="3"/>
  <c r="AM2156" i="3"/>
  <c r="AM2157" i="3"/>
  <c r="AM2158" i="3"/>
  <c r="AM2159" i="3"/>
  <c r="AM2160" i="3"/>
  <c r="AM2161" i="3"/>
  <c r="AM2162" i="3"/>
  <c r="AM2163" i="3"/>
  <c r="AM2164" i="3"/>
  <c r="AM2165" i="3"/>
  <c r="AM2166" i="3"/>
  <c r="AM2167" i="3"/>
  <c r="AM2168" i="3"/>
  <c r="AM2169" i="3"/>
  <c r="AM2170" i="3"/>
  <c r="AM2171" i="3"/>
  <c r="AM2172" i="3"/>
  <c r="AM2173" i="3"/>
  <c r="AM2174" i="3"/>
  <c r="AM2175" i="3"/>
  <c r="AM2176" i="3"/>
  <c r="AM2177" i="3"/>
  <c r="AM2178" i="3"/>
  <c r="AM2179" i="3"/>
  <c r="AM2180" i="3"/>
  <c r="AM2181" i="3"/>
  <c r="AM2182" i="3"/>
  <c r="AM2183" i="3"/>
  <c r="AM2184" i="3"/>
  <c r="AM2185" i="3"/>
  <c r="AM2186" i="3"/>
  <c r="AM2187" i="3"/>
  <c r="AM2188" i="3"/>
  <c r="AM2189" i="3"/>
  <c r="AM2190" i="3"/>
  <c r="AM2191" i="3"/>
  <c r="AM2192" i="3"/>
  <c r="AM2193" i="3"/>
  <c r="AM2194" i="3"/>
  <c r="AM2195" i="3"/>
  <c r="AM2196" i="3"/>
  <c r="AM2197" i="3"/>
  <c r="AM2198" i="3"/>
  <c r="AM2199" i="3"/>
  <c r="AM2200" i="3"/>
  <c r="AM2201" i="3"/>
  <c r="AM2202" i="3"/>
  <c r="AM2203" i="3"/>
  <c r="AM2204" i="3"/>
  <c r="AM2205" i="3"/>
  <c r="AM2206" i="3"/>
  <c r="AM2207" i="3"/>
  <c r="AM2208" i="3"/>
  <c r="AM2209" i="3"/>
  <c r="AM2210" i="3"/>
  <c r="AM2211" i="3"/>
  <c r="AM2212" i="3"/>
  <c r="AM2213" i="3"/>
  <c r="AM2214" i="3"/>
  <c r="AM2215" i="3"/>
  <c r="AM2216" i="3"/>
  <c r="AM2217" i="3"/>
  <c r="AM2218" i="3"/>
  <c r="AM2219" i="3"/>
  <c r="AM2220" i="3"/>
  <c r="AM2221" i="3"/>
  <c r="AM2222" i="3"/>
  <c r="AM2223" i="3"/>
  <c r="AM2224" i="3"/>
  <c r="AM2225" i="3"/>
  <c r="AM2226" i="3"/>
  <c r="AM2227" i="3"/>
  <c r="AM2228" i="3"/>
  <c r="AM2229" i="3"/>
  <c r="AM2230" i="3"/>
  <c r="AM2231" i="3"/>
  <c r="AM2232" i="3"/>
  <c r="AM2233" i="3"/>
  <c r="AM2234" i="3"/>
  <c r="AM2235" i="3"/>
  <c r="AM2236" i="3"/>
  <c r="AM2237" i="3"/>
  <c r="AM2238" i="3"/>
  <c r="AM2239" i="3"/>
  <c r="AM2240" i="3"/>
  <c r="AM2241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L850" i="3"/>
  <c r="AL851" i="3"/>
  <c r="AL852" i="3"/>
  <c r="AL853" i="3"/>
  <c r="AL854" i="3"/>
  <c r="AL855" i="3"/>
  <c r="AL856" i="3"/>
  <c r="AL857" i="3"/>
  <c r="AL858" i="3"/>
  <c r="AL859" i="3"/>
  <c r="AL860" i="3"/>
  <c r="AL861" i="3"/>
  <c r="AL862" i="3"/>
  <c r="AL863" i="3"/>
  <c r="AL864" i="3"/>
  <c r="AL865" i="3"/>
  <c r="AL866" i="3"/>
  <c r="AL867" i="3"/>
  <c r="AL868" i="3"/>
  <c r="AL869" i="3"/>
  <c r="AL870" i="3"/>
  <c r="AL871" i="3"/>
  <c r="AL872" i="3"/>
  <c r="AL873" i="3"/>
  <c r="AL874" i="3"/>
  <c r="AL875" i="3"/>
  <c r="AL876" i="3"/>
  <c r="AL877" i="3"/>
  <c r="AL878" i="3"/>
  <c r="AL879" i="3"/>
  <c r="AL880" i="3"/>
  <c r="AL881" i="3"/>
  <c r="AL882" i="3"/>
  <c r="AL883" i="3"/>
  <c r="AL884" i="3"/>
  <c r="AL885" i="3"/>
  <c r="AL886" i="3"/>
  <c r="AL887" i="3"/>
  <c r="AL888" i="3"/>
  <c r="AL889" i="3"/>
  <c r="AL890" i="3"/>
  <c r="AL891" i="3"/>
  <c r="AL892" i="3"/>
  <c r="AL893" i="3"/>
  <c r="AL894" i="3"/>
  <c r="AL895" i="3"/>
  <c r="AL896" i="3"/>
  <c r="AL897" i="3"/>
  <c r="AL898" i="3"/>
  <c r="AL899" i="3"/>
  <c r="AL900" i="3"/>
  <c r="AL901" i="3"/>
  <c r="AL902" i="3"/>
  <c r="AL903" i="3"/>
  <c r="AL904" i="3"/>
  <c r="AL905" i="3"/>
  <c r="AL906" i="3"/>
  <c r="AL907" i="3"/>
  <c r="AL908" i="3"/>
  <c r="AL909" i="3"/>
  <c r="AL910" i="3"/>
  <c r="AL911" i="3"/>
  <c r="AL912" i="3"/>
  <c r="AL913" i="3"/>
  <c r="AL914" i="3"/>
  <c r="AL915" i="3"/>
  <c r="AL916" i="3"/>
  <c r="AL917" i="3"/>
  <c r="AL918" i="3"/>
  <c r="AL919" i="3"/>
  <c r="AL920" i="3"/>
  <c r="AL921" i="3"/>
  <c r="AL922" i="3"/>
  <c r="AL923" i="3"/>
  <c r="AL924" i="3"/>
  <c r="AL925" i="3"/>
  <c r="AL926" i="3"/>
  <c r="AL927" i="3"/>
  <c r="AL928" i="3"/>
  <c r="AL929" i="3"/>
  <c r="AL930" i="3"/>
  <c r="AL931" i="3"/>
  <c r="AL932" i="3"/>
  <c r="AL933" i="3"/>
  <c r="AL934" i="3"/>
  <c r="AL935" i="3"/>
  <c r="AL936" i="3"/>
  <c r="AL937" i="3"/>
  <c r="AL938" i="3"/>
  <c r="AL939" i="3"/>
  <c r="AL940" i="3"/>
  <c r="AL941" i="3"/>
  <c r="AL942" i="3"/>
  <c r="AL943" i="3"/>
  <c r="AL944" i="3"/>
  <c r="AL945" i="3"/>
  <c r="AL946" i="3"/>
  <c r="AL947" i="3"/>
  <c r="AL948" i="3"/>
  <c r="AL949" i="3"/>
  <c r="AL950" i="3"/>
  <c r="AL951" i="3"/>
  <c r="AL952" i="3"/>
  <c r="AL953" i="3"/>
  <c r="AL954" i="3"/>
  <c r="AL955" i="3"/>
  <c r="AL956" i="3"/>
  <c r="AL957" i="3"/>
  <c r="AL958" i="3"/>
  <c r="AL959" i="3"/>
  <c r="AL960" i="3"/>
  <c r="AL961" i="3"/>
  <c r="AL962" i="3"/>
  <c r="AL963" i="3"/>
  <c r="AL964" i="3"/>
  <c r="AL965" i="3"/>
  <c r="AL966" i="3"/>
  <c r="AL967" i="3"/>
  <c r="AL968" i="3"/>
  <c r="AL969" i="3"/>
  <c r="AL970" i="3"/>
  <c r="AL971" i="3"/>
  <c r="AL972" i="3"/>
  <c r="AL973" i="3"/>
  <c r="AL974" i="3"/>
  <c r="AL975" i="3"/>
  <c r="AL976" i="3"/>
  <c r="AL977" i="3"/>
  <c r="AL978" i="3"/>
  <c r="AL979" i="3"/>
  <c r="AL980" i="3"/>
  <c r="AL981" i="3"/>
  <c r="AL982" i="3"/>
  <c r="AL983" i="3"/>
  <c r="AL984" i="3"/>
  <c r="AL985" i="3"/>
  <c r="AL986" i="3"/>
  <c r="AL987" i="3"/>
  <c r="AL988" i="3"/>
  <c r="AL989" i="3"/>
  <c r="AL990" i="3"/>
  <c r="AL991" i="3"/>
  <c r="AL992" i="3"/>
  <c r="AL993" i="3"/>
  <c r="AL994" i="3"/>
  <c r="AL995" i="3"/>
  <c r="AL996" i="3"/>
  <c r="AL997" i="3"/>
  <c r="AL998" i="3"/>
  <c r="AL999" i="3"/>
  <c r="AL1000" i="3"/>
  <c r="AL1001" i="3"/>
  <c r="AL1002" i="3"/>
  <c r="AL1003" i="3"/>
  <c r="AL1004" i="3"/>
  <c r="AL1005" i="3"/>
  <c r="AL1006" i="3"/>
  <c r="AL1007" i="3"/>
  <c r="AL1008" i="3"/>
  <c r="AL1009" i="3"/>
  <c r="AL1010" i="3"/>
  <c r="AL1011" i="3"/>
  <c r="AL1012" i="3"/>
  <c r="AL1013" i="3"/>
  <c r="AL1014" i="3"/>
  <c r="AL1015" i="3"/>
  <c r="AL1016" i="3"/>
  <c r="AL1017" i="3"/>
  <c r="AL1018" i="3"/>
  <c r="AL1019" i="3"/>
  <c r="AL1020" i="3"/>
  <c r="AL1021" i="3"/>
  <c r="AL1022" i="3"/>
  <c r="AL1023" i="3"/>
  <c r="AL1024" i="3"/>
  <c r="AL1025" i="3"/>
  <c r="AL1026" i="3"/>
  <c r="AL1027" i="3"/>
  <c r="AL1028" i="3"/>
  <c r="AL1029" i="3"/>
  <c r="AL1030" i="3"/>
  <c r="AL1031" i="3"/>
  <c r="AL1032" i="3"/>
  <c r="AL1033" i="3"/>
  <c r="AL1034" i="3"/>
  <c r="AL1035" i="3"/>
  <c r="AL1036" i="3"/>
  <c r="AL1037" i="3"/>
  <c r="AL1038" i="3"/>
  <c r="AL1039" i="3"/>
  <c r="AL1040" i="3"/>
  <c r="AL1041" i="3"/>
  <c r="AL1042" i="3"/>
  <c r="AL1043" i="3"/>
  <c r="AL1044" i="3"/>
  <c r="AL1045" i="3"/>
  <c r="AL1046" i="3"/>
  <c r="AL1047" i="3"/>
  <c r="AL1048" i="3"/>
  <c r="AL1049" i="3"/>
  <c r="AL1050" i="3"/>
  <c r="AL1051" i="3"/>
  <c r="AL1052" i="3"/>
  <c r="AL1053" i="3"/>
  <c r="AL1054" i="3"/>
  <c r="AL1055" i="3"/>
  <c r="AL1056" i="3"/>
  <c r="AL1057" i="3"/>
  <c r="AL1058" i="3"/>
  <c r="AL1059" i="3"/>
  <c r="AL1060" i="3"/>
  <c r="AL1061" i="3"/>
  <c r="AL1062" i="3"/>
  <c r="AL1063" i="3"/>
  <c r="AL1064" i="3"/>
  <c r="AL1065" i="3"/>
  <c r="AL1066" i="3"/>
  <c r="AL1067" i="3"/>
  <c r="AL1068" i="3"/>
  <c r="AL1069" i="3"/>
  <c r="AL1070" i="3"/>
  <c r="AL1071" i="3"/>
  <c r="AL1072" i="3"/>
  <c r="AL1073" i="3"/>
  <c r="AL1074" i="3"/>
  <c r="AL1075" i="3"/>
  <c r="AL1076" i="3"/>
  <c r="AL1077" i="3"/>
  <c r="AL1078" i="3"/>
  <c r="AL1079" i="3"/>
  <c r="AL1080" i="3"/>
  <c r="AL1081" i="3"/>
  <c r="AL1082" i="3"/>
  <c r="AL1083" i="3"/>
  <c r="AL1084" i="3"/>
  <c r="AL1085" i="3"/>
  <c r="AL1086" i="3"/>
  <c r="AL1087" i="3"/>
  <c r="AL1088" i="3"/>
  <c r="AL1089" i="3"/>
  <c r="AL1090" i="3"/>
  <c r="AL1091" i="3"/>
  <c r="AL1092" i="3"/>
  <c r="AL1093" i="3"/>
  <c r="AL1094" i="3"/>
  <c r="AL1095" i="3"/>
  <c r="AL1096" i="3"/>
  <c r="AL1097" i="3"/>
  <c r="AL1098" i="3"/>
  <c r="AL1099" i="3"/>
  <c r="AL1100" i="3"/>
  <c r="AL1101" i="3"/>
  <c r="AL1102" i="3"/>
  <c r="AL1103" i="3"/>
  <c r="AL1104" i="3"/>
  <c r="AL1105" i="3"/>
  <c r="AL1106" i="3"/>
  <c r="AL1107" i="3"/>
  <c r="AL1108" i="3"/>
  <c r="AL1109" i="3"/>
  <c r="AL1110" i="3"/>
  <c r="AL1111" i="3"/>
  <c r="AL1112" i="3"/>
  <c r="AL1113" i="3"/>
  <c r="AL1114" i="3"/>
  <c r="AL1115" i="3"/>
  <c r="AL1116" i="3"/>
  <c r="AL1117" i="3"/>
  <c r="AL1118" i="3"/>
  <c r="AL1119" i="3"/>
  <c r="AL1120" i="3"/>
  <c r="AL1121" i="3"/>
  <c r="AL1122" i="3"/>
  <c r="AL1123" i="3"/>
  <c r="AL1124" i="3"/>
  <c r="AL1125" i="3"/>
  <c r="AL1126" i="3"/>
  <c r="AL1127" i="3"/>
  <c r="AL1128" i="3"/>
  <c r="AL1129" i="3"/>
  <c r="AL1130" i="3"/>
  <c r="AL1131" i="3"/>
  <c r="AL1132" i="3"/>
  <c r="AL1133" i="3"/>
  <c r="AL1134" i="3"/>
  <c r="AL1135" i="3"/>
  <c r="AL1136" i="3"/>
  <c r="AL1137" i="3"/>
  <c r="AL1138" i="3"/>
  <c r="AL1139" i="3"/>
  <c r="AL1140" i="3"/>
  <c r="AL1141" i="3"/>
  <c r="AL1142" i="3"/>
  <c r="AL1143" i="3"/>
  <c r="AL1144" i="3"/>
  <c r="AL1145" i="3"/>
  <c r="AL1146" i="3"/>
  <c r="AL1147" i="3"/>
  <c r="AL1148" i="3"/>
  <c r="AL1149" i="3"/>
  <c r="AL1150" i="3"/>
  <c r="AL1151" i="3"/>
  <c r="AL1152" i="3"/>
  <c r="AL1153" i="3"/>
  <c r="AL1154" i="3"/>
  <c r="AL1155" i="3"/>
  <c r="AL1156" i="3"/>
  <c r="AL1157" i="3"/>
  <c r="AL1158" i="3"/>
  <c r="AL1159" i="3"/>
  <c r="AL1160" i="3"/>
  <c r="AL1161" i="3"/>
  <c r="AL1162" i="3"/>
  <c r="AL1163" i="3"/>
  <c r="AL1164" i="3"/>
  <c r="AL1165" i="3"/>
  <c r="AL1166" i="3"/>
  <c r="AL1167" i="3"/>
  <c r="AL1168" i="3"/>
  <c r="AL1169" i="3"/>
  <c r="AL1170" i="3"/>
  <c r="AL1171" i="3"/>
  <c r="AL1172" i="3"/>
  <c r="AL1173" i="3"/>
  <c r="AL1174" i="3"/>
  <c r="AL1175" i="3"/>
  <c r="AL1176" i="3"/>
  <c r="AL1177" i="3"/>
  <c r="AL1178" i="3"/>
  <c r="AL1179" i="3"/>
  <c r="AL1180" i="3"/>
  <c r="AL1181" i="3"/>
  <c r="AL1182" i="3"/>
  <c r="AL1183" i="3"/>
  <c r="AL1184" i="3"/>
  <c r="AL1185" i="3"/>
  <c r="AL1186" i="3"/>
  <c r="AL1187" i="3"/>
  <c r="AL1188" i="3"/>
  <c r="AL1189" i="3"/>
  <c r="AL1190" i="3"/>
  <c r="AL1191" i="3"/>
  <c r="AL1192" i="3"/>
  <c r="AL1193" i="3"/>
  <c r="AL1194" i="3"/>
  <c r="AL1195" i="3"/>
  <c r="AL1196" i="3"/>
  <c r="AL1197" i="3"/>
  <c r="AL1198" i="3"/>
  <c r="AL1199" i="3"/>
  <c r="AL1200" i="3"/>
  <c r="AL1201" i="3"/>
  <c r="AL1202" i="3"/>
  <c r="AL1203" i="3"/>
  <c r="AL1204" i="3"/>
  <c r="AL1205" i="3"/>
  <c r="AL1206" i="3"/>
  <c r="AL1207" i="3"/>
  <c r="AL1208" i="3"/>
  <c r="AL1209" i="3"/>
  <c r="AL1210" i="3"/>
  <c r="AL1211" i="3"/>
  <c r="AL1212" i="3"/>
  <c r="AL1213" i="3"/>
  <c r="AL1214" i="3"/>
  <c r="AL1215" i="3"/>
  <c r="AL1216" i="3"/>
  <c r="AL1217" i="3"/>
  <c r="AL1218" i="3"/>
  <c r="AL1219" i="3"/>
  <c r="AL1220" i="3"/>
  <c r="AL1221" i="3"/>
  <c r="AL1222" i="3"/>
  <c r="AL1223" i="3"/>
  <c r="AL1224" i="3"/>
  <c r="AL1225" i="3"/>
  <c r="AL1226" i="3"/>
  <c r="AL1227" i="3"/>
  <c r="AL1228" i="3"/>
  <c r="AL1229" i="3"/>
  <c r="AL1230" i="3"/>
  <c r="AL1231" i="3"/>
  <c r="AL1232" i="3"/>
  <c r="AL1233" i="3"/>
  <c r="AL1234" i="3"/>
  <c r="AL1235" i="3"/>
  <c r="AL1236" i="3"/>
  <c r="AL1237" i="3"/>
  <c r="AL1238" i="3"/>
  <c r="AL1239" i="3"/>
  <c r="AL1240" i="3"/>
  <c r="AL1241" i="3"/>
  <c r="AL1242" i="3"/>
  <c r="AL1243" i="3"/>
  <c r="AL1244" i="3"/>
  <c r="AL1245" i="3"/>
  <c r="AL1246" i="3"/>
  <c r="AL1247" i="3"/>
  <c r="AL1248" i="3"/>
  <c r="AL1249" i="3"/>
  <c r="AL1250" i="3"/>
  <c r="AL1251" i="3"/>
  <c r="AL1252" i="3"/>
  <c r="AL1253" i="3"/>
  <c r="AL1254" i="3"/>
  <c r="AL1255" i="3"/>
  <c r="AL1256" i="3"/>
  <c r="AL1257" i="3"/>
  <c r="AL1258" i="3"/>
  <c r="AL1259" i="3"/>
  <c r="AL1260" i="3"/>
  <c r="AL1261" i="3"/>
  <c r="AL1262" i="3"/>
  <c r="AL1263" i="3"/>
  <c r="AL1264" i="3"/>
  <c r="AL1265" i="3"/>
  <c r="AL1266" i="3"/>
  <c r="AL1267" i="3"/>
  <c r="AL1268" i="3"/>
  <c r="AL1269" i="3"/>
  <c r="AL1270" i="3"/>
  <c r="AL1271" i="3"/>
  <c r="AL1272" i="3"/>
  <c r="AL1273" i="3"/>
  <c r="AL1274" i="3"/>
  <c r="AL1275" i="3"/>
  <c r="AL1276" i="3"/>
  <c r="AL1277" i="3"/>
  <c r="AL1278" i="3"/>
  <c r="AL1279" i="3"/>
  <c r="AL1280" i="3"/>
  <c r="AL1281" i="3"/>
  <c r="AL1282" i="3"/>
  <c r="AL1283" i="3"/>
  <c r="AL1284" i="3"/>
  <c r="AL1285" i="3"/>
  <c r="AL1286" i="3"/>
  <c r="AL1287" i="3"/>
  <c r="AL1288" i="3"/>
  <c r="AL1289" i="3"/>
  <c r="AL1290" i="3"/>
  <c r="AL1291" i="3"/>
  <c r="AL1292" i="3"/>
  <c r="AL1293" i="3"/>
  <c r="AL1294" i="3"/>
  <c r="AL1295" i="3"/>
  <c r="AL1296" i="3"/>
  <c r="AL1297" i="3"/>
  <c r="AL1298" i="3"/>
  <c r="AL1299" i="3"/>
  <c r="AL1300" i="3"/>
  <c r="AL1301" i="3"/>
  <c r="AL1302" i="3"/>
  <c r="AL1303" i="3"/>
  <c r="AL1304" i="3"/>
  <c r="AL1305" i="3"/>
  <c r="AL1306" i="3"/>
  <c r="AL1307" i="3"/>
  <c r="AL1308" i="3"/>
  <c r="AL1309" i="3"/>
  <c r="AL1310" i="3"/>
  <c r="AL1311" i="3"/>
  <c r="AL1312" i="3"/>
  <c r="AL1313" i="3"/>
  <c r="AL1314" i="3"/>
  <c r="AL1315" i="3"/>
  <c r="AL1316" i="3"/>
  <c r="AL1317" i="3"/>
  <c r="AL1318" i="3"/>
  <c r="AL1319" i="3"/>
  <c r="AL1320" i="3"/>
  <c r="AL1321" i="3"/>
  <c r="AL1322" i="3"/>
  <c r="AL1323" i="3"/>
  <c r="AL1324" i="3"/>
  <c r="AL1325" i="3"/>
  <c r="AL1326" i="3"/>
  <c r="AL1327" i="3"/>
  <c r="AL1328" i="3"/>
  <c r="AL1329" i="3"/>
  <c r="AL1330" i="3"/>
  <c r="AL1331" i="3"/>
  <c r="AL1332" i="3"/>
  <c r="AL1333" i="3"/>
  <c r="AL1334" i="3"/>
  <c r="AL1335" i="3"/>
  <c r="AL1336" i="3"/>
  <c r="AL1337" i="3"/>
  <c r="AL1338" i="3"/>
  <c r="AL1339" i="3"/>
  <c r="AL1340" i="3"/>
  <c r="AL1341" i="3"/>
  <c r="AL1342" i="3"/>
  <c r="AL1343" i="3"/>
  <c r="AL1344" i="3"/>
  <c r="AL1345" i="3"/>
  <c r="AL1346" i="3"/>
  <c r="AL1347" i="3"/>
  <c r="AL1348" i="3"/>
  <c r="AL1349" i="3"/>
  <c r="AL1350" i="3"/>
  <c r="AL1351" i="3"/>
  <c r="AL1352" i="3"/>
  <c r="AL1353" i="3"/>
  <c r="AL1354" i="3"/>
  <c r="AL1355" i="3"/>
  <c r="AL1356" i="3"/>
  <c r="AL1357" i="3"/>
  <c r="AL1358" i="3"/>
  <c r="AL1359" i="3"/>
  <c r="AL1360" i="3"/>
  <c r="AL1361" i="3"/>
  <c r="AL1362" i="3"/>
  <c r="AL1363" i="3"/>
  <c r="AL1364" i="3"/>
  <c r="AL1365" i="3"/>
  <c r="AL1366" i="3"/>
  <c r="AL1367" i="3"/>
  <c r="AL1368" i="3"/>
  <c r="AL1369" i="3"/>
  <c r="AL1370" i="3"/>
  <c r="AL1371" i="3"/>
  <c r="AL1372" i="3"/>
  <c r="AL1373" i="3"/>
  <c r="AL1374" i="3"/>
  <c r="AL1375" i="3"/>
  <c r="AL1376" i="3"/>
  <c r="AL1377" i="3"/>
  <c r="AL1378" i="3"/>
  <c r="AL1379" i="3"/>
  <c r="AL1380" i="3"/>
  <c r="AL1381" i="3"/>
  <c r="AL1382" i="3"/>
  <c r="AL1383" i="3"/>
  <c r="AL1384" i="3"/>
  <c r="AL1385" i="3"/>
  <c r="AL1386" i="3"/>
  <c r="AL1387" i="3"/>
  <c r="AL1388" i="3"/>
  <c r="AL1389" i="3"/>
  <c r="AL1390" i="3"/>
  <c r="AL1391" i="3"/>
  <c r="AL1392" i="3"/>
  <c r="AL1393" i="3"/>
  <c r="AL1394" i="3"/>
  <c r="AL1395" i="3"/>
  <c r="AL1396" i="3"/>
  <c r="AL1397" i="3"/>
  <c r="AL1398" i="3"/>
  <c r="AL1399" i="3"/>
  <c r="AL1400" i="3"/>
  <c r="AL1401" i="3"/>
  <c r="AL1402" i="3"/>
  <c r="AL1403" i="3"/>
  <c r="AL1404" i="3"/>
  <c r="AL1405" i="3"/>
  <c r="AL1406" i="3"/>
  <c r="AL1407" i="3"/>
  <c r="AL1408" i="3"/>
  <c r="AL1409" i="3"/>
  <c r="AL1410" i="3"/>
  <c r="AL1411" i="3"/>
  <c r="AL1412" i="3"/>
  <c r="AL1413" i="3"/>
  <c r="AL1414" i="3"/>
  <c r="AL1415" i="3"/>
  <c r="AL1416" i="3"/>
  <c r="AL1417" i="3"/>
  <c r="AL1418" i="3"/>
  <c r="AL1419" i="3"/>
  <c r="AL1420" i="3"/>
  <c r="AL1421" i="3"/>
  <c r="AL1422" i="3"/>
  <c r="AL1423" i="3"/>
  <c r="AL1424" i="3"/>
  <c r="AL1425" i="3"/>
  <c r="AL1426" i="3"/>
  <c r="AL1427" i="3"/>
  <c r="AL1428" i="3"/>
  <c r="AL1429" i="3"/>
  <c r="AL1430" i="3"/>
  <c r="AL1431" i="3"/>
  <c r="AL1432" i="3"/>
  <c r="AL1433" i="3"/>
  <c r="AL1434" i="3"/>
  <c r="AL1435" i="3"/>
  <c r="AL1436" i="3"/>
  <c r="AL1437" i="3"/>
  <c r="AL1438" i="3"/>
  <c r="AL1439" i="3"/>
  <c r="AL1440" i="3"/>
  <c r="AL1441" i="3"/>
  <c r="AL1442" i="3"/>
  <c r="AL1443" i="3"/>
  <c r="AL1444" i="3"/>
  <c r="AL1445" i="3"/>
  <c r="AL1446" i="3"/>
  <c r="AL1447" i="3"/>
  <c r="AL1448" i="3"/>
  <c r="AL1449" i="3"/>
  <c r="AL1450" i="3"/>
  <c r="AL1451" i="3"/>
  <c r="AL1452" i="3"/>
  <c r="AL1453" i="3"/>
  <c r="AL1454" i="3"/>
  <c r="AL1455" i="3"/>
  <c r="AL1456" i="3"/>
  <c r="AL1457" i="3"/>
  <c r="AL1458" i="3"/>
  <c r="AL1459" i="3"/>
  <c r="AL1460" i="3"/>
  <c r="AL1461" i="3"/>
  <c r="AL1462" i="3"/>
  <c r="AL1463" i="3"/>
  <c r="AL1464" i="3"/>
  <c r="AL1465" i="3"/>
  <c r="AL1466" i="3"/>
  <c r="AL1467" i="3"/>
  <c r="AL1468" i="3"/>
  <c r="AL1469" i="3"/>
  <c r="AL1470" i="3"/>
  <c r="AL1471" i="3"/>
  <c r="AL1472" i="3"/>
  <c r="AL1473" i="3"/>
  <c r="AL1474" i="3"/>
  <c r="AL1475" i="3"/>
  <c r="AL1476" i="3"/>
  <c r="AL1477" i="3"/>
  <c r="AL1478" i="3"/>
  <c r="AL1479" i="3"/>
  <c r="AL1480" i="3"/>
  <c r="AL1481" i="3"/>
  <c r="AL1482" i="3"/>
  <c r="AL1483" i="3"/>
  <c r="AL1484" i="3"/>
  <c r="AL1485" i="3"/>
  <c r="AL1486" i="3"/>
  <c r="AL1487" i="3"/>
  <c r="AL1488" i="3"/>
  <c r="AL1489" i="3"/>
  <c r="AL1490" i="3"/>
  <c r="AL1491" i="3"/>
  <c r="AL1492" i="3"/>
  <c r="AL1493" i="3"/>
  <c r="AL1494" i="3"/>
  <c r="AL1495" i="3"/>
  <c r="AL1496" i="3"/>
  <c r="AL1497" i="3"/>
  <c r="AL1498" i="3"/>
  <c r="AL1499" i="3"/>
  <c r="AL1500" i="3"/>
  <c r="AL1501" i="3"/>
  <c r="AL1502" i="3"/>
  <c r="AL1503" i="3"/>
  <c r="AL1504" i="3"/>
  <c r="AL1505" i="3"/>
  <c r="AL1506" i="3"/>
  <c r="AL1507" i="3"/>
  <c r="AL1508" i="3"/>
  <c r="AL1509" i="3"/>
  <c r="AL1510" i="3"/>
  <c r="AL1511" i="3"/>
  <c r="AL1512" i="3"/>
  <c r="AL1513" i="3"/>
  <c r="AL1514" i="3"/>
  <c r="AL1515" i="3"/>
  <c r="AL1516" i="3"/>
  <c r="AL1517" i="3"/>
  <c r="AL1518" i="3"/>
  <c r="AL1519" i="3"/>
  <c r="AL1520" i="3"/>
  <c r="AL1521" i="3"/>
  <c r="AL1522" i="3"/>
  <c r="AL1523" i="3"/>
  <c r="AL1524" i="3"/>
  <c r="AL1525" i="3"/>
  <c r="AL1526" i="3"/>
  <c r="AL1527" i="3"/>
  <c r="AL1528" i="3"/>
  <c r="AL1529" i="3"/>
  <c r="AL1530" i="3"/>
  <c r="AL1531" i="3"/>
  <c r="AL1532" i="3"/>
  <c r="AL1533" i="3"/>
  <c r="AL1534" i="3"/>
  <c r="AL1535" i="3"/>
  <c r="AL1536" i="3"/>
  <c r="AL1537" i="3"/>
  <c r="AL1538" i="3"/>
  <c r="AL1539" i="3"/>
  <c r="AL1540" i="3"/>
  <c r="AL1541" i="3"/>
  <c r="AL1542" i="3"/>
  <c r="AL1543" i="3"/>
  <c r="AL1544" i="3"/>
  <c r="AL1545" i="3"/>
  <c r="AL1546" i="3"/>
  <c r="AL1547" i="3"/>
  <c r="AL1548" i="3"/>
  <c r="AL1549" i="3"/>
  <c r="AL1550" i="3"/>
  <c r="AL1551" i="3"/>
  <c r="AL1552" i="3"/>
  <c r="AL1553" i="3"/>
  <c r="AL1554" i="3"/>
  <c r="AL1555" i="3"/>
  <c r="AL1556" i="3"/>
  <c r="AL1557" i="3"/>
  <c r="AL1558" i="3"/>
  <c r="AL1559" i="3"/>
  <c r="AL1560" i="3"/>
  <c r="AL1561" i="3"/>
  <c r="AL1562" i="3"/>
  <c r="AL1563" i="3"/>
  <c r="AL1564" i="3"/>
  <c r="AL1565" i="3"/>
  <c r="AL1566" i="3"/>
  <c r="AL1567" i="3"/>
  <c r="AL1568" i="3"/>
  <c r="AL1569" i="3"/>
  <c r="AL1570" i="3"/>
  <c r="AL1571" i="3"/>
  <c r="AL1572" i="3"/>
  <c r="AL1573" i="3"/>
  <c r="AL1574" i="3"/>
  <c r="AL1575" i="3"/>
  <c r="AL1576" i="3"/>
  <c r="AL1577" i="3"/>
  <c r="AL1578" i="3"/>
  <c r="AL1579" i="3"/>
  <c r="AL1580" i="3"/>
  <c r="AL1581" i="3"/>
  <c r="AL1582" i="3"/>
  <c r="AL1583" i="3"/>
  <c r="AL1584" i="3"/>
  <c r="AL1585" i="3"/>
  <c r="AL1586" i="3"/>
  <c r="AL1587" i="3"/>
  <c r="AL1588" i="3"/>
  <c r="AL1589" i="3"/>
  <c r="AL1590" i="3"/>
  <c r="AL1591" i="3"/>
  <c r="AL1592" i="3"/>
  <c r="AL1593" i="3"/>
  <c r="AL1594" i="3"/>
  <c r="AL1595" i="3"/>
  <c r="AL1596" i="3"/>
  <c r="AL1597" i="3"/>
  <c r="AL1598" i="3"/>
  <c r="AL1599" i="3"/>
  <c r="AL1600" i="3"/>
  <c r="AL1601" i="3"/>
  <c r="AL1602" i="3"/>
  <c r="AL1603" i="3"/>
  <c r="AL1604" i="3"/>
  <c r="AL1605" i="3"/>
  <c r="AL1606" i="3"/>
  <c r="AL1607" i="3"/>
  <c r="AL1608" i="3"/>
  <c r="AL1609" i="3"/>
  <c r="AL1610" i="3"/>
  <c r="AL1611" i="3"/>
  <c r="AL1612" i="3"/>
  <c r="AL1613" i="3"/>
  <c r="AL1614" i="3"/>
  <c r="AL1615" i="3"/>
  <c r="AL1616" i="3"/>
  <c r="AL1617" i="3"/>
  <c r="AL1618" i="3"/>
  <c r="AL1619" i="3"/>
  <c r="AL1620" i="3"/>
  <c r="AL1621" i="3"/>
  <c r="AL1622" i="3"/>
  <c r="AL1623" i="3"/>
  <c r="AL1624" i="3"/>
  <c r="AL1625" i="3"/>
  <c r="AL1626" i="3"/>
  <c r="AL1627" i="3"/>
  <c r="AL1628" i="3"/>
  <c r="AL1629" i="3"/>
  <c r="AL1630" i="3"/>
  <c r="AL1631" i="3"/>
  <c r="AL1632" i="3"/>
  <c r="AL1633" i="3"/>
  <c r="AL1634" i="3"/>
  <c r="AL1635" i="3"/>
  <c r="AL1636" i="3"/>
  <c r="AL1637" i="3"/>
  <c r="AL1638" i="3"/>
  <c r="AL1639" i="3"/>
  <c r="AL1640" i="3"/>
  <c r="AL1641" i="3"/>
  <c r="AL1642" i="3"/>
  <c r="AL1643" i="3"/>
  <c r="AL1644" i="3"/>
  <c r="AL1645" i="3"/>
  <c r="AL1646" i="3"/>
  <c r="AL1647" i="3"/>
  <c r="AL1648" i="3"/>
  <c r="AL1649" i="3"/>
  <c r="AL1650" i="3"/>
  <c r="AL1651" i="3"/>
  <c r="AL1652" i="3"/>
  <c r="AL1653" i="3"/>
  <c r="AL1654" i="3"/>
  <c r="AL1655" i="3"/>
  <c r="AL1656" i="3"/>
  <c r="AL1657" i="3"/>
  <c r="AL1658" i="3"/>
  <c r="AL1659" i="3"/>
  <c r="AL1660" i="3"/>
  <c r="AL1661" i="3"/>
  <c r="AL1662" i="3"/>
  <c r="AL1663" i="3"/>
  <c r="AL1664" i="3"/>
  <c r="AL1665" i="3"/>
  <c r="AL1666" i="3"/>
  <c r="AL1667" i="3"/>
  <c r="AL1668" i="3"/>
  <c r="AL1669" i="3"/>
  <c r="AL1670" i="3"/>
  <c r="AL1671" i="3"/>
  <c r="AL1672" i="3"/>
  <c r="AL1673" i="3"/>
  <c r="AL1674" i="3"/>
  <c r="AL1675" i="3"/>
  <c r="AL1676" i="3"/>
  <c r="AL1677" i="3"/>
  <c r="AL1678" i="3"/>
  <c r="AL1679" i="3"/>
  <c r="AL1680" i="3"/>
  <c r="AL1681" i="3"/>
  <c r="AL1682" i="3"/>
  <c r="AL1683" i="3"/>
  <c r="AL1684" i="3"/>
  <c r="AL1685" i="3"/>
  <c r="AL1686" i="3"/>
  <c r="AL1687" i="3"/>
  <c r="AL1688" i="3"/>
  <c r="AL1689" i="3"/>
  <c r="AL1690" i="3"/>
  <c r="AL1691" i="3"/>
  <c r="AL1692" i="3"/>
  <c r="AL1693" i="3"/>
  <c r="AL1694" i="3"/>
  <c r="AL1695" i="3"/>
  <c r="AL1696" i="3"/>
  <c r="AL1697" i="3"/>
  <c r="AL1698" i="3"/>
  <c r="AL1699" i="3"/>
  <c r="AL1700" i="3"/>
  <c r="AL1701" i="3"/>
  <c r="AL1702" i="3"/>
  <c r="AL1703" i="3"/>
  <c r="AL1704" i="3"/>
  <c r="AL1705" i="3"/>
  <c r="AL1706" i="3"/>
  <c r="AL1707" i="3"/>
  <c r="AL1708" i="3"/>
  <c r="AL1709" i="3"/>
  <c r="AL1710" i="3"/>
  <c r="AL1711" i="3"/>
  <c r="AL1712" i="3"/>
  <c r="AL1713" i="3"/>
  <c r="AL1714" i="3"/>
  <c r="AL1715" i="3"/>
  <c r="AL1716" i="3"/>
  <c r="AL1717" i="3"/>
  <c r="AL1718" i="3"/>
  <c r="AL1719" i="3"/>
  <c r="AL1720" i="3"/>
  <c r="AL1721" i="3"/>
  <c r="AL1722" i="3"/>
  <c r="AL1723" i="3"/>
  <c r="AL1724" i="3"/>
  <c r="AL1725" i="3"/>
  <c r="AL1726" i="3"/>
  <c r="AL1727" i="3"/>
  <c r="AL1728" i="3"/>
  <c r="AL1729" i="3"/>
  <c r="AL1730" i="3"/>
  <c r="AL1731" i="3"/>
  <c r="AL1732" i="3"/>
  <c r="AL1733" i="3"/>
  <c r="AL1734" i="3"/>
  <c r="AL1735" i="3"/>
  <c r="AL1736" i="3"/>
  <c r="AL1737" i="3"/>
  <c r="AL1738" i="3"/>
  <c r="AL1739" i="3"/>
  <c r="AL1740" i="3"/>
  <c r="AL1741" i="3"/>
  <c r="AL1742" i="3"/>
  <c r="AL1743" i="3"/>
  <c r="AL1744" i="3"/>
  <c r="AL1745" i="3"/>
  <c r="AL1746" i="3"/>
  <c r="AL1747" i="3"/>
  <c r="AL1748" i="3"/>
  <c r="AL1749" i="3"/>
  <c r="AL1750" i="3"/>
  <c r="AL1751" i="3"/>
  <c r="AL1752" i="3"/>
  <c r="AL1753" i="3"/>
  <c r="AL1754" i="3"/>
  <c r="AL1755" i="3"/>
  <c r="AL1756" i="3"/>
  <c r="AL1757" i="3"/>
  <c r="AL1758" i="3"/>
  <c r="AL1759" i="3"/>
  <c r="AL1760" i="3"/>
  <c r="AL1761" i="3"/>
  <c r="AL1762" i="3"/>
  <c r="AL1763" i="3"/>
  <c r="AL1764" i="3"/>
  <c r="AL1765" i="3"/>
  <c r="AL1766" i="3"/>
  <c r="AL1767" i="3"/>
  <c r="AL1768" i="3"/>
  <c r="AL1769" i="3"/>
  <c r="AL1770" i="3"/>
  <c r="AL1771" i="3"/>
  <c r="AL1772" i="3"/>
  <c r="AL1773" i="3"/>
  <c r="AL1774" i="3"/>
  <c r="AL1775" i="3"/>
  <c r="AL1776" i="3"/>
  <c r="AL1777" i="3"/>
  <c r="AL1778" i="3"/>
  <c r="AL1779" i="3"/>
  <c r="AL1780" i="3"/>
  <c r="AL1781" i="3"/>
  <c r="AL1782" i="3"/>
  <c r="AL1783" i="3"/>
  <c r="AL1784" i="3"/>
  <c r="AL1785" i="3"/>
  <c r="AL1786" i="3"/>
  <c r="AL1787" i="3"/>
  <c r="AL1788" i="3"/>
  <c r="AL1789" i="3"/>
  <c r="AL1790" i="3"/>
  <c r="AL1791" i="3"/>
  <c r="AL1792" i="3"/>
  <c r="AL1793" i="3"/>
  <c r="AL1794" i="3"/>
  <c r="AL1795" i="3"/>
  <c r="AL1796" i="3"/>
  <c r="AL1797" i="3"/>
  <c r="AL1798" i="3"/>
  <c r="AL1799" i="3"/>
  <c r="AL1800" i="3"/>
  <c r="AL1801" i="3"/>
  <c r="AL1802" i="3"/>
  <c r="AL1803" i="3"/>
  <c r="AL1804" i="3"/>
  <c r="AL1805" i="3"/>
  <c r="AL1806" i="3"/>
  <c r="AL1807" i="3"/>
  <c r="AL1808" i="3"/>
  <c r="AL1809" i="3"/>
  <c r="AL1810" i="3"/>
  <c r="AL1811" i="3"/>
  <c r="AL1812" i="3"/>
  <c r="AL1813" i="3"/>
  <c r="AL1814" i="3"/>
  <c r="AL1815" i="3"/>
  <c r="AL1816" i="3"/>
  <c r="AL1817" i="3"/>
  <c r="AL1818" i="3"/>
  <c r="AL1819" i="3"/>
  <c r="AL1820" i="3"/>
  <c r="AL1821" i="3"/>
  <c r="AL1822" i="3"/>
  <c r="AL1823" i="3"/>
  <c r="AL1824" i="3"/>
  <c r="AL1825" i="3"/>
  <c r="AL1826" i="3"/>
  <c r="AL1827" i="3"/>
  <c r="AL1828" i="3"/>
  <c r="AL1829" i="3"/>
  <c r="AL1830" i="3"/>
  <c r="AL1831" i="3"/>
  <c r="AL1832" i="3"/>
  <c r="AL1833" i="3"/>
  <c r="AL1834" i="3"/>
  <c r="AL1835" i="3"/>
  <c r="AL1836" i="3"/>
  <c r="AL1837" i="3"/>
  <c r="AL1838" i="3"/>
  <c r="AL1839" i="3"/>
  <c r="AL1840" i="3"/>
  <c r="AL1841" i="3"/>
  <c r="AL1842" i="3"/>
  <c r="AL1843" i="3"/>
  <c r="AL1844" i="3"/>
  <c r="AL1845" i="3"/>
  <c r="AL1846" i="3"/>
  <c r="AL1847" i="3"/>
  <c r="AL1848" i="3"/>
  <c r="AL1849" i="3"/>
  <c r="AL1850" i="3"/>
  <c r="AL1851" i="3"/>
  <c r="AL1852" i="3"/>
  <c r="AL1853" i="3"/>
  <c r="AL1854" i="3"/>
  <c r="AL1855" i="3"/>
  <c r="AL1856" i="3"/>
  <c r="AL1857" i="3"/>
  <c r="AL1858" i="3"/>
  <c r="AL1859" i="3"/>
  <c r="AL1860" i="3"/>
  <c r="AL1861" i="3"/>
  <c r="AL1862" i="3"/>
  <c r="AL1863" i="3"/>
  <c r="AL1864" i="3"/>
  <c r="AL1865" i="3"/>
  <c r="AL1866" i="3"/>
  <c r="AL1867" i="3"/>
  <c r="AL1868" i="3"/>
  <c r="AL1869" i="3"/>
  <c r="AL1870" i="3"/>
  <c r="AL1871" i="3"/>
  <c r="AL1872" i="3"/>
  <c r="AL1873" i="3"/>
  <c r="AL1874" i="3"/>
  <c r="AL1875" i="3"/>
  <c r="AL1876" i="3"/>
  <c r="AL1877" i="3"/>
  <c r="AL1878" i="3"/>
  <c r="AL1879" i="3"/>
  <c r="AL1880" i="3"/>
  <c r="AL1881" i="3"/>
  <c r="AL1882" i="3"/>
  <c r="AL1883" i="3"/>
  <c r="AL1884" i="3"/>
  <c r="AL1885" i="3"/>
  <c r="AL1886" i="3"/>
  <c r="AL1887" i="3"/>
  <c r="AL1888" i="3"/>
  <c r="AL1889" i="3"/>
  <c r="AL1890" i="3"/>
  <c r="AL1891" i="3"/>
  <c r="AL1892" i="3"/>
  <c r="AL1893" i="3"/>
  <c r="AL1894" i="3"/>
  <c r="AL1895" i="3"/>
  <c r="AL1896" i="3"/>
  <c r="AL1897" i="3"/>
  <c r="AL1898" i="3"/>
  <c r="AL1899" i="3"/>
  <c r="AL1900" i="3"/>
  <c r="AL1901" i="3"/>
  <c r="AL1902" i="3"/>
  <c r="AL1903" i="3"/>
  <c r="AL1904" i="3"/>
  <c r="AL1905" i="3"/>
  <c r="AL1906" i="3"/>
  <c r="AL1907" i="3"/>
  <c r="AL1908" i="3"/>
  <c r="AL1909" i="3"/>
  <c r="AL1910" i="3"/>
  <c r="AL1911" i="3"/>
  <c r="AL1912" i="3"/>
  <c r="AL1913" i="3"/>
  <c r="AL1914" i="3"/>
  <c r="AL1915" i="3"/>
  <c r="AL1916" i="3"/>
  <c r="AL1917" i="3"/>
  <c r="AL1918" i="3"/>
  <c r="AL1919" i="3"/>
  <c r="AL1920" i="3"/>
  <c r="AL1921" i="3"/>
  <c r="AL1922" i="3"/>
  <c r="AL1923" i="3"/>
  <c r="AL1924" i="3"/>
  <c r="AL1925" i="3"/>
  <c r="AL1926" i="3"/>
  <c r="AL1927" i="3"/>
  <c r="AL1928" i="3"/>
  <c r="AL1929" i="3"/>
  <c r="AL1930" i="3"/>
  <c r="AL1931" i="3"/>
  <c r="AL1932" i="3"/>
  <c r="AL1933" i="3"/>
  <c r="AL1934" i="3"/>
  <c r="AL1935" i="3"/>
  <c r="AL1936" i="3"/>
  <c r="AL1937" i="3"/>
  <c r="AL1938" i="3"/>
  <c r="AL1939" i="3"/>
  <c r="AL1940" i="3"/>
  <c r="AL1941" i="3"/>
  <c r="AL1942" i="3"/>
  <c r="AL1943" i="3"/>
  <c r="AL1944" i="3"/>
  <c r="AL1945" i="3"/>
  <c r="AL1946" i="3"/>
  <c r="AL1947" i="3"/>
  <c r="AL1948" i="3"/>
  <c r="AL1949" i="3"/>
  <c r="AL1950" i="3"/>
  <c r="AL1951" i="3"/>
  <c r="AL1952" i="3"/>
  <c r="AL1953" i="3"/>
  <c r="AL1954" i="3"/>
  <c r="AL1955" i="3"/>
  <c r="AL1956" i="3"/>
  <c r="AL1957" i="3"/>
  <c r="AL1958" i="3"/>
  <c r="AL1959" i="3"/>
  <c r="AL1960" i="3"/>
  <c r="AL1961" i="3"/>
  <c r="AL1962" i="3"/>
  <c r="AL1963" i="3"/>
  <c r="AL1964" i="3"/>
  <c r="AL1965" i="3"/>
  <c r="AL1966" i="3"/>
  <c r="AL1967" i="3"/>
  <c r="AL1968" i="3"/>
  <c r="AL1969" i="3"/>
  <c r="AL1970" i="3"/>
  <c r="AL1971" i="3"/>
  <c r="AL1972" i="3"/>
  <c r="AL1973" i="3"/>
  <c r="AL1974" i="3"/>
  <c r="AL1975" i="3"/>
  <c r="AL1976" i="3"/>
  <c r="AL1977" i="3"/>
  <c r="AL1978" i="3"/>
  <c r="AL1979" i="3"/>
  <c r="AL1980" i="3"/>
  <c r="AL1981" i="3"/>
  <c r="AL1982" i="3"/>
  <c r="AL1983" i="3"/>
  <c r="AL1984" i="3"/>
  <c r="AL1985" i="3"/>
  <c r="AL1986" i="3"/>
  <c r="AL1987" i="3"/>
  <c r="AL1988" i="3"/>
  <c r="AL1989" i="3"/>
  <c r="AL1990" i="3"/>
  <c r="AL1991" i="3"/>
  <c r="AL1992" i="3"/>
  <c r="AL1993" i="3"/>
  <c r="AL1994" i="3"/>
  <c r="AL1995" i="3"/>
  <c r="AL1996" i="3"/>
  <c r="AL1997" i="3"/>
  <c r="AL1998" i="3"/>
  <c r="AL1999" i="3"/>
  <c r="AL2000" i="3"/>
  <c r="AL2001" i="3"/>
  <c r="AL2002" i="3"/>
  <c r="AL2003" i="3"/>
  <c r="AL2004" i="3"/>
  <c r="AL2005" i="3"/>
  <c r="AL2006" i="3"/>
  <c r="AL2007" i="3"/>
  <c r="AL2008" i="3"/>
  <c r="AL2009" i="3"/>
  <c r="AL2010" i="3"/>
  <c r="AL2011" i="3"/>
  <c r="AL2012" i="3"/>
  <c r="AL2013" i="3"/>
  <c r="AL2014" i="3"/>
  <c r="AL2015" i="3"/>
  <c r="AL2016" i="3"/>
  <c r="AL2017" i="3"/>
  <c r="AL2018" i="3"/>
  <c r="AL2019" i="3"/>
  <c r="AL2020" i="3"/>
  <c r="AL2021" i="3"/>
  <c r="AL2022" i="3"/>
  <c r="AL2023" i="3"/>
  <c r="AL2024" i="3"/>
  <c r="AL2025" i="3"/>
  <c r="AL2026" i="3"/>
  <c r="AL2027" i="3"/>
  <c r="AL2028" i="3"/>
  <c r="AL2029" i="3"/>
  <c r="AL2030" i="3"/>
  <c r="AL2031" i="3"/>
  <c r="AL2032" i="3"/>
  <c r="AL2033" i="3"/>
  <c r="AL2034" i="3"/>
  <c r="AL2035" i="3"/>
  <c r="AL2036" i="3"/>
  <c r="AL2037" i="3"/>
  <c r="AL2038" i="3"/>
  <c r="AL2039" i="3"/>
  <c r="AL2040" i="3"/>
  <c r="AL2041" i="3"/>
  <c r="AL2042" i="3"/>
  <c r="AL2043" i="3"/>
  <c r="AL2044" i="3"/>
  <c r="AL2045" i="3"/>
  <c r="AL2046" i="3"/>
  <c r="AL2047" i="3"/>
  <c r="AL2048" i="3"/>
  <c r="AL2049" i="3"/>
  <c r="AL2050" i="3"/>
  <c r="AL2051" i="3"/>
  <c r="AL2052" i="3"/>
  <c r="AL2053" i="3"/>
  <c r="AL2054" i="3"/>
  <c r="AL2055" i="3"/>
  <c r="AL2056" i="3"/>
  <c r="AL2057" i="3"/>
  <c r="AL2058" i="3"/>
  <c r="AL2059" i="3"/>
  <c r="AL2060" i="3"/>
  <c r="AL2061" i="3"/>
  <c r="AL2062" i="3"/>
  <c r="AL2063" i="3"/>
  <c r="AL2064" i="3"/>
  <c r="AL2065" i="3"/>
  <c r="AL2066" i="3"/>
  <c r="AL2067" i="3"/>
  <c r="AL2068" i="3"/>
  <c r="AL2069" i="3"/>
  <c r="AL2070" i="3"/>
  <c r="AL2071" i="3"/>
  <c r="AL2072" i="3"/>
  <c r="AL2073" i="3"/>
  <c r="AL2074" i="3"/>
  <c r="AL2075" i="3"/>
  <c r="AL2076" i="3"/>
  <c r="AL2077" i="3"/>
  <c r="AL2078" i="3"/>
  <c r="AL2079" i="3"/>
  <c r="AL2080" i="3"/>
  <c r="AL2081" i="3"/>
  <c r="AL2082" i="3"/>
  <c r="AL2083" i="3"/>
  <c r="AL2084" i="3"/>
  <c r="AL2085" i="3"/>
  <c r="AL2086" i="3"/>
  <c r="AL2087" i="3"/>
  <c r="AL2088" i="3"/>
  <c r="AL2089" i="3"/>
  <c r="AL2090" i="3"/>
  <c r="AL2091" i="3"/>
  <c r="AL2092" i="3"/>
  <c r="AL2093" i="3"/>
  <c r="AL2094" i="3"/>
  <c r="AL2095" i="3"/>
  <c r="AL2096" i="3"/>
  <c r="AL2097" i="3"/>
  <c r="AL2098" i="3"/>
  <c r="AL2099" i="3"/>
  <c r="AL2100" i="3"/>
  <c r="AL2101" i="3"/>
  <c r="AL2102" i="3"/>
  <c r="AL2103" i="3"/>
  <c r="AL2104" i="3"/>
  <c r="AL2105" i="3"/>
  <c r="AL2106" i="3"/>
  <c r="AL2107" i="3"/>
  <c r="AL2108" i="3"/>
  <c r="AL2109" i="3"/>
  <c r="AL2110" i="3"/>
  <c r="AL2111" i="3"/>
  <c r="AL2112" i="3"/>
  <c r="AL2113" i="3"/>
  <c r="AL2114" i="3"/>
  <c r="AL2115" i="3"/>
  <c r="AL2116" i="3"/>
  <c r="AL2117" i="3"/>
  <c r="AL2118" i="3"/>
  <c r="AL2119" i="3"/>
  <c r="AL2120" i="3"/>
  <c r="AL2121" i="3"/>
  <c r="AL2122" i="3"/>
  <c r="AL2123" i="3"/>
  <c r="AL2124" i="3"/>
  <c r="AL2125" i="3"/>
  <c r="AL2126" i="3"/>
  <c r="AL2127" i="3"/>
  <c r="AL2128" i="3"/>
  <c r="AL2129" i="3"/>
  <c r="AL2130" i="3"/>
  <c r="AL2131" i="3"/>
  <c r="AL2132" i="3"/>
  <c r="AL2133" i="3"/>
  <c r="AL2134" i="3"/>
  <c r="AL2135" i="3"/>
  <c r="AL2136" i="3"/>
  <c r="AL2137" i="3"/>
  <c r="AL2138" i="3"/>
  <c r="AL2139" i="3"/>
  <c r="AL2140" i="3"/>
  <c r="AL2141" i="3"/>
  <c r="AL2142" i="3"/>
  <c r="AL2143" i="3"/>
  <c r="AL2144" i="3"/>
  <c r="AL2145" i="3"/>
  <c r="AL2146" i="3"/>
  <c r="AL2147" i="3"/>
  <c r="AL2148" i="3"/>
  <c r="AL2149" i="3"/>
  <c r="AL2150" i="3"/>
  <c r="AL2151" i="3"/>
  <c r="AL2152" i="3"/>
  <c r="AL2153" i="3"/>
  <c r="AL2154" i="3"/>
  <c r="AL2155" i="3"/>
  <c r="AL2156" i="3"/>
  <c r="AL2157" i="3"/>
  <c r="AL2158" i="3"/>
  <c r="AL2159" i="3"/>
  <c r="AL2160" i="3"/>
  <c r="AL2161" i="3"/>
  <c r="AL2162" i="3"/>
  <c r="AL2163" i="3"/>
  <c r="AL2164" i="3"/>
  <c r="AL2165" i="3"/>
  <c r="AL2166" i="3"/>
  <c r="AL2167" i="3"/>
  <c r="AL2168" i="3"/>
  <c r="AL2169" i="3"/>
  <c r="AL2170" i="3"/>
  <c r="AL2171" i="3"/>
  <c r="AL2172" i="3"/>
  <c r="AL2173" i="3"/>
  <c r="AL2174" i="3"/>
  <c r="AL2175" i="3"/>
  <c r="AL2176" i="3"/>
  <c r="AL2177" i="3"/>
  <c r="AL2178" i="3"/>
  <c r="AL2179" i="3"/>
  <c r="AL2180" i="3"/>
  <c r="AL2181" i="3"/>
  <c r="AL2182" i="3"/>
  <c r="AL2183" i="3"/>
  <c r="AL2184" i="3"/>
  <c r="AL2185" i="3"/>
  <c r="AL2186" i="3"/>
  <c r="AL2187" i="3"/>
  <c r="AL2188" i="3"/>
  <c r="AL2189" i="3"/>
  <c r="AL2190" i="3"/>
  <c r="AL2191" i="3"/>
  <c r="AL2192" i="3"/>
  <c r="AL2193" i="3"/>
  <c r="AL2194" i="3"/>
  <c r="AL2195" i="3"/>
  <c r="AL2196" i="3"/>
  <c r="AL2197" i="3"/>
  <c r="AL2198" i="3"/>
  <c r="AL2199" i="3"/>
  <c r="AL2200" i="3"/>
  <c r="AL2201" i="3"/>
  <c r="AL2202" i="3"/>
  <c r="AL2203" i="3"/>
  <c r="AL2204" i="3"/>
  <c r="AL2205" i="3"/>
  <c r="AL2206" i="3"/>
  <c r="AL2207" i="3"/>
  <c r="AL2208" i="3"/>
  <c r="AL2209" i="3"/>
  <c r="AL2210" i="3"/>
  <c r="AL2211" i="3"/>
  <c r="AL2212" i="3"/>
  <c r="AL2213" i="3"/>
  <c r="AL2214" i="3"/>
  <c r="AL2215" i="3"/>
  <c r="AL2216" i="3"/>
  <c r="AL2217" i="3"/>
  <c r="AL2218" i="3"/>
  <c r="AL2219" i="3"/>
  <c r="AL2220" i="3"/>
  <c r="AL2221" i="3"/>
  <c r="AL2222" i="3"/>
  <c r="AL2223" i="3"/>
  <c r="AL2224" i="3"/>
  <c r="AL2225" i="3"/>
  <c r="AL2226" i="3"/>
  <c r="AL2227" i="3"/>
  <c r="AL2228" i="3"/>
  <c r="AL2229" i="3"/>
  <c r="AL2230" i="3"/>
  <c r="AL2231" i="3"/>
  <c r="AL2232" i="3"/>
  <c r="AL2233" i="3"/>
  <c r="AL2234" i="3"/>
  <c r="AL2235" i="3"/>
  <c r="AL2236" i="3"/>
  <c r="AL2237" i="3"/>
  <c r="AL2238" i="3"/>
  <c r="AL2239" i="3"/>
  <c r="AL2240" i="3"/>
  <c r="AL2241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  <c r="AJ1472" i="3"/>
  <c r="AJ1473" i="3"/>
  <c r="AJ1474" i="3"/>
  <c r="AJ1475" i="3"/>
  <c r="AJ1476" i="3"/>
  <c r="AJ1477" i="3"/>
  <c r="AJ1478" i="3"/>
  <c r="AJ1479" i="3"/>
  <c r="AJ1480" i="3"/>
  <c r="AJ1481" i="3"/>
  <c r="AJ1482" i="3"/>
  <c r="AJ1483" i="3"/>
  <c r="AJ1484" i="3"/>
  <c r="AJ1485" i="3"/>
  <c r="AJ1486" i="3"/>
  <c r="AJ1487" i="3"/>
  <c r="AJ1488" i="3"/>
  <c r="AJ1489" i="3"/>
  <c r="AJ1490" i="3"/>
  <c r="AJ1491" i="3"/>
  <c r="AJ1492" i="3"/>
  <c r="AJ1493" i="3"/>
  <c r="AJ1494" i="3"/>
  <c r="AJ1495" i="3"/>
  <c r="AJ1496" i="3"/>
  <c r="AJ1497" i="3"/>
  <c r="AJ1498" i="3"/>
  <c r="AJ1499" i="3"/>
  <c r="AJ1500" i="3"/>
  <c r="AJ1501" i="3"/>
  <c r="AJ1502" i="3"/>
  <c r="AJ1503" i="3"/>
  <c r="AJ1504" i="3"/>
  <c r="AJ1505" i="3"/>
  <c r="AJ1506" i="3"/>
  <c r="AJ1507" i="3"/>
  <c r="AJ1508" i="3"/>
  <c r="AJ1509" i="3"/>
  <c r="AJ1510" i="3"/>
  <c r="AJ1511" i="3"/>
  <c r="AJ1512" i="3"/>
  <c r="AJ1513" i="3"/>
  <c r="AJ1514" i="3"/>
  <c r="AJ1515" i="3"/>
  <c r="AJ1516" i="3"/>
  <c r="AJ1517" i="3"/>
  <c r="AJ1518" i="3"/>
  <c r="AJ1519" i="3"/>
  <c r="AJ1520" i="3"/>
  <c r="AJ1521" i="3"/>
  <c r="AJ1522" i="3"/>
  <c r="AJ1523" i="3"/>
  <c r="AJ1524" i="3"/>
  <c r="AJ1525" i="3"/>
  <c r="AJ1526" i="3"/>
  <c r="AJ1527" i="3"/>
  <c r="AJ1528" i="3"/>
  <c r="AJ1529" i="3"/>
  <c r="AJ1530" i="3"/>
  <c r="AJ1531" i="3"/>
  <c r="AJ1532" i="3"/>
  <c r="AJ1533" i="3"/>
  <c r="AJ1534" i="3"/>
  <c r="AJ1535" i="3"/>
  <c r="AJ1536" i="3"/>
  <c r="AJ1537" i="3"/>
  <c r="AJ1538" i="3"/>
  <c r="AJ1539" i="3"/>
  <c r="AJ1540" i="3"/>
  <c r="AJ1541" i="3"/>
  <c r="AJ1542" i="3"/>
  <c r="AJ1543" i="3"/>
  <c r="AJ1544" i="3"/>
  <c r="AJ1545" i="3"/>
  <c r="AJ1546" i="3"/>
  <c r="AJ1547" i="3"/>
  <c r="AJ1548" i="3"/>
  <c r="AJ1549" i="3"/>
  <c r="AJ1550" i="3"/>
  <c r="AJ1551" i="3"/>
  <c r="AJ1552" i="3"/>
  <c r="AJ1553" i="3"/>
  <c r="AJ1554" i="3"/>
  <c r="AJ1555" i="3"/>
  <c r="AJ1556" i="3"/>
  <c r="AJ1557" i="3"/>
  <c r="AJ1558" i="3"/>
  <c r="AJ1559" i="3"/>
  <c r="AJ1560" i="3"/>
  <c r="AJ1561" i="3"/>
  <c r="AJ1562" i="3"/>
  <c r="AJ1563" i="3"/>
  <c r="AJ1564" i="3"/>
  <c r="AJ1565" i="3"/>
  <c r="AJ1566" i="3"/>
  <c r="AJ1567" i="3"/>
  <c r="AJ1568" i="3"/>
  <c r="AJ1569" i="3"/>
  <c r="AJ1570" i="3"/>
  <c r="AJ1571" i="3"/>
  <c r="AJ1572" i="3"/>
  <c r="AJ1573" i="3"/>
  <c r="AJ1574" i="3"/>
  <c r="AJ1575" i="3"/>
  <c r="AJ1576" i="3"/>
  <c r="AJ1577" i="3"/>
  <c r="AJ1578" i="3"/>
  <c r="AJ1579" i="3"/>
  <c r="AJ1580" i="3"/>
  <c r="AJ1581" i="3"/>
  <c r="AJ1582" i="3"/>
  <c r="AJ1583" i="3"/>
  <c r="AJ1584" i="3"/>
  <c r="AJ1585" i="3"/>
  <c r="AJ1586" i="3"/>
  <c r="AJ1587" i="3"/>
  <c r="AJ1588" i="3"/>
  <c r="AJ1589" i="3"/>
  <c r="AJ1590" i="3"/>
  <c r="AJ1591" i="3"/>
  <c r="AJ1592" i="3"/>
  <c r="AJ1593" i="3"/>
  <c r="AJ1594" i="3"/>
  <c r="AJ1595" i="3"/>
  <c r="AJ1596" i="3"/>
  <c r="AJ1597" i="3"/>
  <c r="AJ1598" i="3"/>
  <c r="AJ1599" i="3"/>
  <c r="AJ1600" i="3"/>
  <c r="AJ1601" i="3"/>
  <c r="AJ1602" i="3"/>
  <c r="AJ1603" i="3"/>
  <c r="AJ1604" i="3"/>
  <c r="AJ1605" i="3"/>
  <c r="AJ1606" i="3"/>
  <c r="AJ1607" i="3"/>
  <c r="AJ1608" i="3"/>
  <c r="AJ1609" i="3"/>
  <c r="AJ1610" i="3"/>
  <c r="AJ1611" i="3"/>
  <c r="AJ1612" i="3"/>
  <c r="AJ1613" i="3"/>
  <c r="AJ1614" i="3"/>
  <c r="AJ1615" i="3"/>
  <c r="AJ1616" i="3"/>
  <c r="AJ1617" i="3"/>
  <c r="AJ1618" i="3"/>
  <c r="AJ1619" i="3"/>
  <c r="AJ1620" i="3"/>
  <c r="AJ1621" i="3"/>
  <c r="AJ1622" i="3"/>
  <c r="AJ1623" i="3"/>
  <c r="AJ1624" i="3"/>
  <c r="AJ1625" i="3"/>
  <c r="AJ1626" i="3"/>
  <c r="AJ1627" i="3"/>
  <c r="AJ1628" i="3"/>
  <c r="AJ1629" i="3"/>
  <c r="AJ1630" i="3"/>
  <c r="AJ1631" i="3"/>
  <c r="AJ1632" i="3"/>
  <c r="AJ1633" i="3"/>
  <c r="AJ1634" i="3"/>
  <c r="AJ1635" i="3"/>
  <c r="AJ1636" i="3"/>
  <c r="AJ1637" i="3"/>
  <c r="AJ1638" i="3"/>
  <c r="AJ1639" i="3"/>
  <c r="AJ1640" i="3"/>
  <c r="AJ1641" i="3"/>
  <c r="AJ1642" i="3"/>
  <c r="AJ1643" i="3"/>
  <c r="AJ1644" i="3"/>
  <c r="AJ1645" i="3"/>
  <c r="AJ1646" i="3"/>
  <c r="AJ1647" i="3"/>
  <c r="AJ1648" i="3"/>
  <c r="AJ1649" i="3"/>
  <c r="AJ1650" i="3"/>
  <c r="AJ1651" i="3"/>
  <c r="AJ1652" i="3"/>
  <c r="AJ1653" i="3"/>
  <c r="AJ1654" i="3"/>
  <c r="AJ1655" i="3"/>
  <c r="AJ1656" i="3"/>
  <c r="AJ1657" i="3"/>
  <c r="AJ1658" i="3"/>
  <c r="AJ1659" i="3"/>
  <c r="AJ1660" i="3"/>
  <c r="AJ1661" i="3"/>
  <c r="AJ1662" i="3"/>
  <c r="AJ1663" i="3"/>
  <c r="AJ1664" i="3"/>
  <c r="AJ1665" i="3"/>
  <c r="AJ1666" i="3"/>
  <c r="AJ1667" i="3"/>
  <c r="AJ1668" i="3"/>
  <c r="AJ1669" i="3"/>
  <c r="AJ1670" i="3"/>
  <c r="AJ1671" i="3"/>
  <c r="AJ1672" i="3"/>
  <c r="AJ1673" i="3"/>
  <c r="AJ1674" i="3"/>
  <c r="AJ1675" i="3"/>
  <c r="AJ1676" i="3"/>
  <c r="AJ1677" i="3"/>
  <c r="AJ1678" i="3"/>
  <c r="AJ1679" i="3"/>
  <c r="AJ1680" i="3"/>
  <c r="AJ1681" i="3"/>
  <c r="AJ1682" i="3"/>
  <c r="AJ1683" i="3"/>
  <c r="AJ1684" i="3"/>
  <c r="AJ1685" i="3"/>
  <c r="AJ1686" i="3"/>
  <c r="AJ1687" i="3"/>
  <c r="AJ1688" i="3"/>
  <c r="AJ1689" i="3"/>
  <c r="AJ1690" i="3"/>
  <c r="AJ1691" i="3"/>
  <c r="AJ1692" i="3"/>
  <c r="AJ1693" i="3"/>
  <c r="AJ1694" i="3"/>
  <c r="AJ1695" i="3"/>
  <c r="AJ1696" i="3"/>
  <c r="AJ1697" i="3"/>
  <c r="AJ1698" i="3"/>
  <c r="AJ1699" i="3"/>
  <c r="AJ1700" i="3"/>
  <c r="AJ1701" i="3"/>
  <c r="AJ1702" i="3"/>
  <c r="AJ1703" i="3"/>
  <c r="AJ1704" i="3"/>
  <c r="AJ1705" i="3"/>
  <c r="AJ1706" i="3"/>
  <c r="AJ1707" i="3"/>
  <c r="AJ1708" i="3"/>
  <c r="AJ1709" i="3"/>
  <c r="AJ1710" i="3"/>
  <c r="AJ1711" i="3"/>
  <c r="AJ1712" i="3"/>
  <c r="AJ1713" i="3"/>
  <c r="AJ1714" i="3"/>
  <c r="AJ1715" i="3"/>
  <c r="AJ1716" i="3"/>
  <c r="AJ1717" i="3"/>
  <c r="AJ1718" i="3"/>
  <c r="AJ1719" i="3"/>
  <c r="AJ1720" i="3"/>
  <c r="AJ1721" i="3"/>
  <c r="AJ1722" i="3"/>
  <c r="AJ1723" i="3"/>
  <c r="AJ1724" i="3"/>
  <c r="AJ1725" i="3"/>
  <c r="AJ1726" i="3"/>
  <c r="AJ1727" i="3"/>
  <c r="AJ1728" i="3"/>
  <c r="AJ1729" i="3"/>
  <c r="AJ1730" i="3"/>
  <c r="AJ1731" i="3"/>
  <c r="AJ1732" i="3"/>
  <c r="AJ1733" i="3"/>
  <c r="AJ1734" i="3"/>
  <c r="AJ1735" i="3"/>
  <c r="AJ1736" i="3"/>
  <c r="AJ1737" i="3"/>
  <c r="AJ1738" i="3"/>
  <c r="AJ1739" i="3"/>
  <c r="AJ1740" i="3"/>
  <c r="AJ1741" i="3"/>
  <c r="AJ1742" i="3"/>
  <c r="AJ1743" i="3"/>
  <c r="AJ1744" i="3"/>
  <c r="AJ1745" i="3"/>
  <c r="AJ1746" i="3"/>
  <c r="AJ1747" i="3"/>
  <c r="AJ1748" i="3"/>
  <c r="AJ1749" i="3"/>
  <c r="AJ1750" i="3"/>
  <c r="AJ1751" i="3"/>
  <c r="AJ1752" i="3"/>
  <c r="AJ1753" i="3"/>
  <c r="AJ1754" i="3"/>
  <c r="AJ1755" i="3"/>
  <c r="AJ1756" i="3"/>
  <c r="AJ1757" i="3"/>
  <c r="AJ1758" i="3"/>
  <c r="AJ1759" i="3"/>
  <c r="AJ1760" i="3"/>
  <c r="AJ1761" i="3"/>
  <c r="AJ1762" i="3"/>
  <c r="AJ1763" i="3"/>
  <c r="AJ1764" i="3"/>
  <c r="AJ1765" i="3"/>
  <c r="AJ1766" i="3"/>
  <c r="AJ1767" i="3"/>
  <c r="AJ1768" i="3"/>
  <c r="AJ1769" i="3"/>
  <c r="AJ1770" i="3"/>
  <c r="AJ1771" i="3"/>
  <c r="AJ1772" i="3"/>
  <c r="AJ1773" i="3"/>
  <c r="AJ1774" i="3"/>
  <c r="AJ1775" i="3"/>
  <c r="AJ1776" i="3"/>
  <c r="AJ1777" i="3"/>
  <c r="AJ1778" i="3"/>
  <c r="AJ1779" i="3"/>
  <c r="AJ1780" i="3"/>
  <c r="AJ1781" i="3"/>
  <c r="AJ1782" i="3"/>
  <c r="AJ1783" i="3"/>
  <c r="AJ1784" i="3"/>
  <c r="AJ1785" i="3"/>
  <c r="AJ1786" i="3"/>
  <c r="AJ1787" i="3"/>
  <c r="AJ1788" i="3"/>
  <c r="AJ1789" i="3"/>
  <c r="AJ1790" i="3"/>
  <c r="AJ1791" i="3"/>
  <c r="AJ1792" i="3"/>
  <c r="AJ1793" i="3"/>
  <c r="AJ1794" i="3"/>
  <c r="AJ1795" i="3"/>
  <c r="AJ1796" i="3"/>
  <c r="AJ1797" i="3"/>
  <c r="AJ1798" i="3"/>
  <c r="AJ1799" i="3"/>
  <c r="AJ1800" i="3"/>
  <c r="AJ1801" i="3"/>
  <c r="AJ1802" i="3"/>
  <c r="AJ1803" i="3"/>
  <c r="AJ1804" i="3"/>
  <c r="AJ1805" i="3"/>
  <c r="AJ1806" i="3"/>
  <c r="AJ1807" i="3"/>
  <c r="AJ1808" i="3"/>
  <c r="AJ1809" i="3"/>
  <c r="AJ1810" i="3"/>
  <c r="AJ1811" i="3"/>
  <c r="AJ1812" i="3"/>
  <c r="AJ1813" i="3"/>
  <c r="AJ1814" i="3"/>
  <c r="AJ1815" i="3"/>
  <c r="AJ1816" i="3"/>
  <c r="AJ1817" i="3"/>
  <c r="AJ1818" i="3"/>
  <c r="AJ1819" i="3"/>
  <c r="AJ1820" i="3"/>
  <c r="AJ1821" i="3"/>
  <c r="AJ1822" i="3"/>
  <c r="AJ1823" i="3"/>
  <c r="AJ1824" i="3"/>
  <c r="AJ1825" i="3"/>
  <c r="AJ1826" i="3"/>
  <c r="AJ1827" i="3"/>
  <c r="AJ1828" i="3"/>
  <c r="AJ1829" i="3"/>
  <c r="AJ1830" i="3"/>
  <c r="AJ1831" i="3"/>
  <c r="AJ1832" i="3"/>
  <c r="AJ1833" i="3"/>
  <c r="AJ1834" i="3"/>
  <c r="AJ1835" i="3"/>
  <c r="AJ1836" i="3"/>
  <c r="AJ1837" i="3"/>
  <c r="AJ1838" i="3"/>
  <c r="AJ1839" i="3"/>
  <c r="AJ1840" i="3"/>
  <c r="AJ1841" i="3"/>
  <c r="AJ1842" i="3"/>
  <c r="AJ1843" i="3"/>
  <c r="AJ1844" i="3"/>
  <c r="AJ1845" i="3"/>
  <c r="AJ1846" i="3"/>
  <c r="AJ1847" i="3"/>
  <c r="AJ1848" i="3"/>
  <c r="AJ1849" i="3"/>
  <c r="AJ1850" i="3"/>
  <c r="AJ1851" i="3"/>
  <c r="AJ1852" i="3"/>
  <c r="AJ1853" i="3"/>
  <c r="AJ1854" i="3"/>
  <c r="AJ1855" i="3"/>
  <c r="AJ1856" i="3"/>
  <c r="AJ1857" i="3"/>
  <c r="AJ1858" i="3"/>
  <c r="AJ1859" i="3"/>
  <c r="AJ1860" i="3"/>
  <c r="AJ1861" i="3"/>
  <c r="AJ1862" i="3"/>
  <c r="AJ1863" i="3"/>
  <c r="AJ1864" i="3"/>
  <c r="AJ1865" i="3"/>
  <c r="AJ1866" i="3"/>
  <c r="AJ1867" i="3"/>
  <c r="AJ1868" i="3"/>
  <c r="AJ1869" i="3"/>
  <c r="AJ1870" i="3"/>
  <c r="AJ1871" i="3"/>
  <c r="AJ1872" i="3"/>
  <c r="AJ1873" i="3"/>
  <c r="AJ1874" i="3"/>
  <c r="AJ1875" i="3"/>
  <c r="AJ1876" i="3"/>
  <c r="AJ1877" i="3"/>
  <c r="AJ1878" i="3"/>
  <c r="AJ1879" i="3"/>
  <c r="AJ1880" i="3"/>
  <c r="AJ1881" i="3"/>
  <c r="AJ1882" i="3"/>
  <c r="AJ1883" i="3"/>
  <c r="AJ1884" i="3"/>
  <c r="AJ1885" i="3"/>
  <c r="AJ1886" i="3"/>
  <c r="AJ1887" i="3"/>
  <c r="AJ1888" i="3"/>
  <c r="AJ1889" i="3"/>
  <c r="AJ1890" i="3"/>
  <c r="AJ1891" i="3"/>
  <c r="AJ1892" i="3"/>
  <c r="AJ1893" i="3"/>
  <c r="AJ1894" i="3"/>
  <c r="AJ1895" i="3"/>
  <c r="AJ1896" i="3"/>
  <c r="AJ1897" i="3"/>
  <c r="AJ1898" i="3"/>
  <c r="AJ1899" i="3"/>
  <c r="AJ1900" i="3"/>
  <c r="AJ1901" i="3"/>
  <c r="AJ1902" i="3"/>
  <c r="AJ1903" i="3"/>
  <c r="AJ1904" i="3"/>
  <c r="AJ1905" i="3"/>
  <c r="AJ1906" i="3"/>
  <c r="AJ1907" i="3"/>
  <c r="AJ1908" i="3"/>
  <c r="AJ1909" i="3"/>
  <c r="AJ1910" i="3"/>
  <c r="AJ1911" i="3"/>
  <c r="AJ1912" i="3"/>
  <c r="AJ1913" i="3"/>
  <c r="AJ1914" i="3"/>
  <c r="AJ1915" i="3"/>
  <c r="AJ1916" i="3"/>
  <c r="AJ1917" i="3"/>
  <c r="AJ1918" i="3"/>
  <c r="AJ1919" i="3"/>
  <c r="AJ1920" i="3"/>
  <c r="AJ1921" i="3"/>
  <c r="AJ1922" i="3"/>
  <c r="AJ1923" i="3"/>
  <c r="AJ1924" i="3"/>
  <c r="AJ1925" i="3"/>
  <c r="AJ1926" i="3"/>
  <c r="AJ1927" i="3"/>
  <c r="AJ1928" i="3"/>
  <c r="AJ1929" i="3"/>
  <c r="AJ1930" i="3"/>
  <c r="AJ1931" i="3"/>
  <c r="AJ1932" i="3"/>
  <c r="AJ1933" i="3"/>
  <c r="AJ1934" i="3"/>
  <c r="AJ1935" i="3"/>
  <c r="AJ1936" i="3"/>
  <c r="AJ1937" i="3"/>
  <c r="AJ1938" i="3"/>
  <c r="AJ1939" i="3"/>
  <c r="AJ1940" i="3"/>
  <c r="AJ1941" i="3"/>
  <c r="AJ1942" i="3"/>
  <c r="AJ1943" i="3"/>
  <c r="AJ1944" i="3"/>
  <c r="AJ1945" i="3"/>
  <c r="AJ1946" i="3"/>
  <c r="AJ1947" i="3"/>
  <c r="AJ1948" i="3"/>
  <c r="AJ1949" i="3"/>
  <c r="AJ1950" i="3"/>
  <c r="AJ1951" i="3"/>
  <c r="AJ1952" i="3"/>
  <c r="AJ1953" i="3"/>
  <c r="AJ1954" i="3"/>
  <c r="AJ1955" i="3"/>
  <c r="AJ1956" i="3"/>
  <c r="AJ1957" i="3"/>
  <c r="AJ1958" i="3"/>
  <c r="AJ1959" i="3"/>
  <c r="AJ1960" i="3"/>
  <c r="AJ1961" i="3"/>
  <c r="AJ1962" i="3"/>
  <c r="AJ1963" i="3"/>
  <c r="AJ1964" i="3"/>
  <c r="AJ1965" i="3"/>
  <c r="AJ1966" i="3"/>
  <c r="AJ1967" i="3"/>
  <c r="AJ1968" i="3"/>
  <c r="AJ1969" i="3"/>
  <c r="AJ1970" i="3"/>
  <c r="AJ1971" i="3"/>
  <c r="AJ1972" i="3"/>
  <c r="AJ1973" i="3"/>
  <c r="AJ1974" i="3"/>
  <c r="AJ1975" i="3"/>
  <c r="AJ1976" i="3"/>
  <c r="AJ1977" i="3"/>
  <c r="AJ1978" i="3"/>
  <c r="AJ1979" i="3"/>
  <c r="AJ1980" i="3"/>
  <c r="AJ1981" i="3"/>
  <c r="AJ1982" i="3"/>
  <c r="AJ1983" i="3"/>
  <c r="AJ1984" i="3"/>
  <c r="AJ1985" i="3"/>
  <c r="AJ1986" i="3"/>
  <c r="AJ1987" i="3"/>
  <c r="AJ1988" i="3"/>
  <c r="AJ1989" i="3"/>
  <c r="AJ1990" i="3"/>
  <c r="AJ1991" i="3"/>
  <c r="AJ1992" i="3"/>
  <c r="AJ1993" i="3"/>
  <c r="AJ1994" i="3"/>
  <c r="AJ1995" i="3"/>
  <c r="AJ1996" i="3"/>
  <c r="AJ1997" i="3"/>
  <c r="AJ1998" i="3"/>
  <c r="AJ1999" i="3"/>
  <c r="AJ2000" i="3"/>
  <c r="AJ2001" i="3"/>
  <c r="AJ2002" i="3"/>
  <c r="AJ2003" i="3"/>
  <c r="AJ2004" i="3"/>
  <c r="AJ2005" i="3"/>
  <c r="AJ2006" i="3"/>
  <c r="AJ2007" i="3"/>
  <c r="AJ2008" i="3"/>
  <c r="AJ2009" i="3"/>
  <c r="AJ2010" i="3"/>
  <c r="AJ2011" i="3"/>
  <c r="AJ2012" i="3"/>
  <c r="AJ2013" i="3"/>
  <c r="AJ2014" i="3"/>
  <c r="AJ2015" i="3"/>
  <c r="AJ2016" i="3"/>
  <c r="AJ2017" i="3"/>
  <c r="AJ2018" i="3"/>
  <c r="AJ2019" i="3"/>
  <c r="AJ2020" i="3"/>
  <c r="AJ2021" i="3"/>
  <c r="AJ2022" i="3"/>
  <c r="AJ2023" i="3"/>
  <c r="AJ2024" i="3"/>
  <c r="AJ2025" i="3"/>
  <c r="AJ2026" i="3"/>
  <c r="AJ2027" i="3"/>
  <c r="AJ2028" i="3"/>
  <c r="AJ2029" i="3"/>
  <c r="AJ2030" i="3"/>
  <c r="AJ2031" i="3"/>
  <c r="AJ2032" i="3"/>
  <c r="AJ2033" i="3"/>
  <c r="AJ2034" i="3"/>
  <c r="AJ2035" i="3"/>
  <c r="AJ2036" i="3"/>
  <c r="AJ2037" i="3"/>
  <c r="AJ2038" i="3"/>
  <c r="AJ2039" i="3"/>
  <c r="AJ2040" i="3"/>
  <c r="AJ2041" i="3"/>
  <c r="AJ2042" i="3"/>
  <c r="AJ2043" i="3"/>
  <c r="AJ2044" i="3"/>
  <c r="AJ2045" i="3"/>
  <c r="AJ2046" i="3"/>
  <c r="AJ2047" i="3"/>
  <c r="AJ2048" i="3"/>
  <c r="AJ2049" i="3"/>
  <c r="AJ2050" i="3"/>
  <c r="AJ2051" i="3"/>
  <c r="AJ2052" i="3"/>
  <c r="AJ2053" i="3"/>
  <c r="AJ2054" i="3"/>
  <c r="AJ2055" i="3"/>
  <c r="AJ2056" i="3"/>
  <c r="AJ2057" i="3"/>
  <c r="AJ2058" i="3"/>
  <c r="AJ2059" i="3"/>
  <c r="AJ2060" i="3"/>
  <c r="AJ2061" i="3"/>
  <c r="AJ2062" i="3"/>
  <c r="AJ2063" i="3"/>
  <c r="AJ2064" i="3"/>
  <c r="AJ2065" i="3"/>
  <c r="AJ2066" i="3"/>
  <c r="AJ2067" i="3"/>
  <c r="AJ2068" i="3"/>
  <c r="AJ2069" i="3"/>
  <c r="AJ2070" i="3"/>
  <c r="AJ2071" i="3"/>
  <c r="AJ2072" i="3"/>
  <c r="AJ2073" i="3"/>
  <c r="AJ2074" i="3"/>
  <c r="AJ2075" i="3"/>
  <c r="AJ2076" i="3"/>
  <c r="AJ2077" i="3"/>
  <c r="AJ2078" i="3"/>
  <c r="AJ2079" i="3"/>
  <c r="AJ2080" i="3"/>
  <c r="AJ2081" i="3"/>
  <c r="AJ2082" i="3"/>
  <c r="AJ2083" i="3"/>
  <c r="AJ2084" i="3"/>
  <c r="AJ2085" i="3"/>
  <c r="AJ2086" i="3"/>
  <c r="AJ2087" i="3"/>
  <c r="AJ2088" i="3"/>
  <c r="AJ2089" i="3"/>
  <c r="AJ2090" i="3"/>
  <c r="AJ2091" i="3"/>
  <c r="AJ2092" i="3"/>
  <c r="AJ2093" i="3"/>
  <c r="AJ2094" i="3"/>
  <c r="AJ2095" i="3"/>
  <c r="AJ2096" i="3"/>
  <c r="AJ2097" i="3"/>
  <c r="AJ2098" i="3"/>
  <c r="AJ2099" i="3"/>
  <c r="AJ2100" i="3"/>
  <c r="AJ2101" i="3"/>
  <c r="AJ2102" i="3"/>
  <c r="AJ2103" i="3"/>
  <c r="AJ2104" i="3"/>
  <c r="AJ2105" i="3"/>
  <c r="AJ2106" i="3"/>
  <c r="AJ2107" i="3"/>
  <c r="AJ2108" i="3"/>
  <c r="AJ2109" i="3"/>
  <c r="AJ2110" i="3"/>
  <c r="AJ2111" i="3"/>
  <c r="AJ2112" i="3"/>
  <c r="AJ2113" i="3"/>
  <c r="AJ2114" i="3"/>
  <c r="AJ2115" i="3"/>
  <c r="AJ2116" i="3"/>
  <c r="AJ2117" i="3"/>
  <c r="AJ2118" i="3"/>
  <c r="AJ2119" i="3"/>
  <c r="AJ2120" i="3"/>
  <c r="AJ2121" i="3"/>
  <c r="AJ2122" i="3"/>
  <c r="AJ2123" i="3"/>
  <c r="AJ2124" i="3"/>
  <c r="AJ2125" i="3"/>
  <c r="AJ2126" i="3"/>
  <c r="AJ2127" i="3"/>
  <c r="AJ2128" i="3"/>
  <c r="AJ2129" i="3"/>
  <c r="AJ2130" i="3"/>
  <c r="AJ2131" i="3"/>
  <c r="AJ2132" i="3"/>
  <c r="AJ2133" i="3"/>
  <c r="AJ2134" i="3"/>
  <c r="AJ2135" i="3"/>
  <c r="AJ2136" i="3"/>
  <c r="AJ2137" i="3"/>
  <c r="AJ2138" i="3"/>
  <c r="AJ2139" i="3"/>
  <c r="AJ2140" i="3"/>
  <c r="AJ2141" i="3"/>
  <c r="AJ2142" i="3"/>
  <c r="AJ2143" i="3"/>
  <c r="AJ2144" i="3"/>
  <c r="AJ2145" i="3"/>
  <c r="AJ2146" i="3"/>
  <c r="AJ2147" i="3"/>
  <c r="AJ2148" i="3"/>
  <c r="AJ2149" i="3"/>
  <c r="AJ2150" i="3"/>
  <c r="AJ2151" i="3"/>
  <c r="AJ2152" i="3"/>
  <c r="AJ2153" i="3"/>
  <c r="AJ2154" i="3"/>
  <c r="AJ2155" i="3"/>
  <c r="AJ2156" i="3"/>
  <c r="AJ2157" i="3"/>
  <c r="AJ2158" i="3"/>
  <c r="AJ2159" i="3"/>
  <c r="AJ2160" i="3"/>
  <c r="AJ2161" i="3"/>
  <c r="AJ2162" i="3"/>
  <c r="AJ2163" i="3"/>
  <c r="AJ2164" i="3"/>
  <c r="AJ2165" i="3"/>
  <c r="AJ2166" i="3"/>
  <c r="AJ2167" i="3"/>
  <c r="AJ2168" i="3"/>
  <c r="AJ2169" i="3"/>
  <c r="AJ2170" i="3"/>
  <c r="AJ2171" i="3"/>
  <c r="AJ2172" i="3"/>
  <c r="AJ2173" i="3"/>
  <c r="AJ2174" i="3"/>
  <c r="AJ2175" i="3"/>
  <c r="AJ2176" i="3"/>
  <c r="AJ2177" i="3"/>
  <c r="AJ2178" i="3"/>
  <c r="AJ2179" i="3"/>
  <c r="AJ2180" i="3"/>
  <c r="AJ2181" i="3"/>
  <c r="AJ2182" i="3"/>
  <c r="AJ2183" i="3"/>
  <c r="AJ2184" i="3"/>
  <c r="AJ2185" i="3"/>
  <c r="AJ2186" i="3"/>
  <c r="AJ2187" i="3"/>
  <c r="AJ2188" i="3"/>
  <c r="AJ2189" i="3"/>
  <c r="AJ2190" i="3"/>
  <c r="AJ2191" i="3"/>
  <c r="AJ2192" i="3"/>
  <c r="AJ2193" i="3"/>
  <c r="AJ2194" i="3"/>
  <c r="AJ2195" i="3"/>
  <c r="AJ2196" i="3"/>
  <c r="AJ2197" i="3"/>
  <c r="AJ2198" i="3"/>
  <c r="AJ2199" i="3"/>
  <c r="AJ2200" i="3"/>
  <c r="AJ2201" i="3"/>
  <c r="AJ2202" i="3"/>
  <c r="AJ2203" i="3"/>
  <c r="AJ2204" i="3"/>
  <c r="AJ2205" i="3"/>
  <c r="AJ2206" i="3"/>
  <c r="AJ2207" i="3"/>
  <c r="AJ2208" i="3"/>
  <c r="AJ2209" i="3"/>
  <c r="AJ2210" i="3"/>
  <c r="AJ2211" i="3"/>
  <c r="AJ2212" i="3"/>
  <c r="AJ2213" i="3"/>
  <c r="AJ2214" i="3"/>
  <c r="AJ2215" i="3"/>
  <c r="AJ2216" i="3"/>
  <c r="AJ2217" i="3"/>
  <c r="AJ2218" i="3"/>
  <c r="AJ2219" i="3"/>
  <c r="AJ2220" i="3"/>
  <c r="AJ2221" i="3"/>
  <c r="AJ2222" i="3"/>
  <c r="AJ2223" i="3"/>
  <c r="AJ2224" i="3"/>
  <c r="AJ2225" i="3"/>
  <c r="AJ2226" i="3"/>
  <c r="AJ2227" i="3"/>
  <c r="AJ2228" i="3"/>
  <c r="AJ2229" i="3"/>
  <c r="AJ2230" i="3"/>
  <c r="AJ2231" i="3"/>
  <c r="AJ2232" i="3"/>
  <c r="AJ2233" i="3"/>
  <c r="AJ2234" i="3"/>
  <c r="AJ2235" i="3"/>
  <c r="AJ2236" i="3"/>
  <c r="AJ2237" i="3"/>
  <c r="AJ2238" i="3"/>
  <c r="AJ2239" i="3"/>
  <c r="AJ2240" i="3"/>
  <c r="AJ2241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1232" i="3"/>
  <c r="AI1233" i="3"/>
  <c r="AI1234" i="3"/>
  <c r="AI1235" i="3"/>
  <c r="AI1236" i="3"/>
  <c r="AI1237" i="3"/>
  <c r="AI1238" i="3"/>
  <c r="AI1239" i="3"/>
  <c r="AI1240" i="3"/>
  <c r="AI1241" i="3"/>
  <c r="AI1242" i="3"/>
  <c r="AI1243" i="3"/>
  <c r="AI1244" i="3"/>
  <c r="AI1245" i="3"/>
  <c r="AI1246" i="3"/>
  <c r="AI1247" i="3"/>
  <c r="AI1248" i="3"/>
  <c r="AI1249" i="3"/>
  <c r="AI1250" i="3"/>
  <c r="AI1251" i="3"/>
  <c r="AI1252" i="3"/>
  <c r="AI1253" i="3"/>
  <c r="AI1254" i="3"/>
  <c r="AI1255" i="3"/>
  <c r="AI1256" i="3"/>
  <c r="AI1257" i="3"/>
  <c r="AI1258" i="3"/>
  <c r="AI1259" i="3"/>
  <c r="AI1260" i="3"/>
  <c r="AI1261" i="3"/>
  <c r="AI1262" i="3"/>
  <c r="AI1263" i="3"/>
  <c r="AI1264" i="3"/>
  <c r="AI1265" i="3"/>
  <c r="AI1266" i="3"/>
  <c r="AI1267" i="3"/>
  <c r="AI1268" i="3"/>
  <c r="AI1269" i="3"/>
  <c r="AI1270" i="3"/>
  <c r="AI1271" i="3"/>
  <c r="AI1272" i="3"/>
  <c r="AI1273" i="3"/>
  <c r="AI1274" i="3"/>
  <c r="AI1275" i="3"/>
  <c r="AI1276" i="3"/>
  <c r="AI1277" i="3"/>
  <c r="AI1278" i="3"/>
  <c r="AI1279" i="3"/>
  <c r="AI1280" i="3"/>
  <c r="AI1281" i="3"/>
  <c r="AI1282" i="3"/>
  <c r="AI1283" i="3"/>
  <c r="AI1284" i="3"/>
  <c r="AI1285" i="3"/>
  <c r="AI1286" i="3"/>
  <c r="AI1287" i="3"/>
  <c r="AI1288" i="3"/>
  <c r="AI1289" i="3"/>
  <c r="AI1290" i="3"/>
  <c r="AI1291" i="3"/>
  <c r="AI1292" i="3"/>
  <c r="AI1293" i="3"/>
  <c r="AI1294" i="3"/>
  <c r="AI1295" i="3"/>
  <c r="AI1296" i="3"/>
  <c r="AI1297" i="3"/>
  <c r="AI1298" i="3"/>
  <c r="AI1299" i="3"/>
  <c r="AI1300" i="3"/>
  <c r="AI1301" i="3"/>
  <c r="AI1302" i="3"/>
  <c r="AI1303" i="3"/>
  <c r="AI1304" i="3"/>
  <c r="AI1305" i="3"/>
  <c r="AI1306" i="3"/>
  <c r="AI1307" i="3"/>
  <c r="AI1308" i="3"/>
  <c r="AI1309" i="3"/>
  <c r="AI1310" i="3"/>
  <c r="AI1311" i="3"/>
  <c r="AI1312" i="3"/>
  <c r="AI1313" i="3"/>
  <c r="AI1314" i="3"/>
  <c r="AI1315" i="3"/>
  <c r="AI1316" i="3"/>
  <c r="AI1317" i="3"/>
  <c r="AI1318" i="3"/>
  <c r="AI1319" i="3"/>
  <c r="AI1320" i="3"/>
  <c r="AI1321" i="3"/>
  <c r="AI1322" i="3"/>
  <c r="AI1323" i="3"/>
  <c r="AI1324" i="3"/>
  <c r="AI1325" i="3"/>
  <c r="AI1326" i="3"/>
  <c r="AI1327" i="3"/>
  <c r="AI1328" i="3"/>
  <c r="AI1329" i="3"/>
  <c r="AI1330" i="3"/>
  <c r="AI1331" i="3"/>
  <c r="AI1332" i="3"/>
  <c r="AI1333" i="3"/>
  <c r="AI1334" i="3"/>
  <c r="AI1335" i="3"/>
  <c r="AI1336" i="3"/>
  <c r="AI1337" i="3"/>
  <c r="AI1338" i="3"/>
  <c r="AI1339" i="3"/>
  <c r="AI1340" i="3"/>
  <c r="AI1341" i="3"/>
  <c r="AI1342" i="3"/>
  <c r="AI1343" i="3"/>
  <c r="AI1344" i="3"/>
  <c r="AI1345" i="3"/>
  <c r="AI1346" i="3"/>
  <c r="AI1347" i="3"/>
  <c r="AI1348" i="3"/>
  <c r="AI1349" i="3"/>
  <c r="AI1350" i="3"/>
  <c r="AI1351" i="3"/>
  <c r="AI1352" i="3"/>
  <c r="AI1353" i="3"/>
  <c r="AI1354" i="3"/>
  <c r="AI1355" i="3"/>
  <c r="AI1356" i="3"/>
  <c r="AI1357" i="3"/>
  <c r="AI1358" i="3"/>
  <c r="AI1359" i="3"/>
  <c r="AI1360" i="3"/>
  <c r="AI1361" i="3"/>
  <c r="AI1362" i="3"/>
  <c r="AI1363" i="3"/>
  <c r="AI1364" i="3"/>
  <c r="AI1365" i="3"/>
  <c r="AI1366" i="3"/>
  <c r="AI1367" i="3"/>
  <c r="AI1368" i="3"/>
  <c r="AI1369" i="3"/>
  <c r="AI1370" i="3"/>
  <c r="AI1371" i="3"/>
  <c r="AI1372" i="3"/>
  <c r="AI1373" i="3"/>
  <c r="AI1374" i="3"/>
  <c r="AI1375" i="3"/>
  <c r="AI1376" i="3"/>
  <c r="AI1377" i="3"/>
  <c r="AI1378" i="3"/>
  <c r="AI1379" i="3"/>
  <c r="AI1380" i="3"/>
  <c r="AI1381" i="3"/>
  <c r="AI1382" i="3"/>
  <c r="AI1383" i="3"/>
  <c r="AI1384" i="3"/>
  <c r="AI1385" i="3"/>
  <c r="AI1386" i="3"/>
  <c r="AI1387" i="3"/>
  <c r="AI1388" i="3"/>
  <c r="AI1389" i="3"/>
  <c r="AI1390" i="3"/>
  <c r="AI1391" i="3"/>
  <c r="AI1392" i="3"/>
  <c r="AI1393" i="3"/>
  <c r="AI1394" i="3"/>
  <c r="AI1395" i="3"/>
  <c r="AI1396" i="3"/>
  <c r="AI1397" i="3"/>
  <c r="AI1398" i="3"/>
  <c r="AI1399" i="3"/>
  <c r="AI1400" i="3"/>
  <c r="AI1401" i="3"/>
  <c r="AI1402" i="3"/>
  <c r="AI1403" i="3"/>
  <c r="AI1404" i="3"/>
  <c r="AI1405" i="3"/>
  <c r="AI1406" i="3"/>
  <c r="AI1407" i="3"/>
  <c r="AI1408" i="3"/>
  <c r="AI1409" i="3"/>
  <c r="AI1410" i="3"/>
  <c r="AI1411" i="3"/>
  <c r="AI1412" i="3"/>
  <c r="AI1413" i="3"/>
  <c r="AI1414" i="3"/>
  <c r="AI1415" i="3"/>
  <c r="AI1416" i="3"/>
  <c r="AI1417" i="3"/>
  <c r="AI1418" i="3"/>
  <c r="AI1419" i="3"/>
  <c r="AI1420" i="3"/>
  <c r="AI1421" i="3"/>
  <c r="AI1422" i="3"/>
  <c r="AI1423" i="3"/>
  <c r="AI1424" i="3"/>
  <c r="AI1425" i="3"/>
  <c r="AI1426" i="3"/>
  <c r="AI1427" i="3"/>
  <c r="AI1428" i="3"/>
  <c r="AI1429" i="3"/>
  <c r="AI1430" i="3"/>
  <c r="AI1431" i="3"/>
  <c r="AI1432" i="3"/>
  <c r="AI1433" i="3"/>
  <c r="AI1434" i="3"/>
  <c r="AI1435" i="3"/>
  <c r="AI1436" i="3"/>
  <c r="AI1437" i="3"/>
  <c r="AI1438" i="3"/>
  <c r="AI1439" i="3"/>
  <c r="AI1440" i="3"/>
  <c r="AI1441" i="3"/>
  <c r="AI1442" i="3"/>
  <c r="AI1443" i="3"/>
  <c r="AI1444" i="3"/>
  <c r="AI1445" i="3"/>
  <c r="AI1446" i="3"/>
  <c r="AI1447" i="3"/>
  <c r="AI1448" i="3"/>
  <c r="AI1449" i="3"/>
  <c r="AI1450" i="3"/>
  <c r="AI1451" i="3"/>
  <c r="AI1452" i="3"/>
  <c r="AI1453" i="3"/>
  <c r="AI1454" i="3"/>
  <c r="AI1455" i="3"/>
  <c r="AI1456" i="3"/>
  <c r="AI1457" i="3"/>
  <c r="AI1458" i="3"/>
  <c r="AI1459" i="3"/>
  <c r="AI1460" i="3"/>
  <c r="AI1461" i="3"/>
  <c r="AI1462" i="3"/>
  <c r="AI1463" i="3"/>
  <c r="AI1464" i="3"/>
  <c r="AI1465" i="3"/>
  <c r="AI1466" i="3"/>
  <c r="AI1467" i="3"/>
  <c r="AI1468" i="3"/>
  <c r="AI1469" i="3"/>
  <c r="AI1470" i="3"/>
  <c r="AI1471" i="3"/>
  <c r="AI1472" i="3"/>
  <c r="AI1473" i="3"/>
  <c r="AI1474" i="3"/>
  <c r="AI1475" i="3"/>
  <c r="AI1476" i="3"/>
  <c r="AI1477" i="3"/>
  <c r="AI1478" i="3"/>
  <c r="AI1479" i="3"/>
  <c r="AI1480" i="3"/>
  <c r="AI1481" i="3"/>
  <c r="AI1482" i="3"/>
  <c r="AI1483" i="3"/>
  <c r="AI1484" i="3"/>
  <c r="AI1485" i="3"/>
  <c r="AI1486" i="3"/>
  <c r="AI1487" i="3"/>
  <c r="AI1488" i="3"/>
  <c r="AI1489" i="3"/>
  <c r="AI1490" i="3"/>
  <c r="AI1491" i="3"/>
  <c r="AI1492" i="3"/>
  <c r="AI1493" i="3"/>
  <c r="AI1494" i="3"/>
  <c r="AI1495" i="3"/>
  <c r="AI1496" i="3"/>
  <c r="AI1497" i="3"/>
  <c r="AI1498" i="3"/>
  <c r="AI1499" i="3"/>
  <c r="AI1500" i="3"/>
  <c r="AI1501" i="3"/>
  <c r="AI1502" i="3"/>
  <c r="AI1503" i="3"/>
  <c r="AI1504" i="3"/>
  <c r="AI1505" i="3"/>
  <c r="AI1506" i="3"/>
  <c r="AI1507" i="3"/>
  <c r="AI1508" i="3"/>
  <c r="AI1509" i="3"/>
  <c r="AI1510" i="3"/>
  <c r="AI1511" i="3"/>
  <c r="AI1512" i="3"/>
  <c r="AI1513" i="3"/>
  <c r="AI1514" i="3"/>
  <c r="AI1515" i="3"/>
  <c r="AI1516" i="3"/>
  <c r="AI1517" i="3"/>
  <c r="AI1518" i="3"/>
  <c r="AI1519" i="3"/>
  <c r="AI1520" i="3"/>
  <c r="AI1521" i="3"/>
  <c r="AI1522" i="3"/>
  <c r="AI1523" i="3"/>
  <c r="AI1524" i="3"/>
  <c r="AI1525" i="3"/>
  <c r="AI1526" i="3"/>
  <c r="AI1527" i="3"/>
  <c r="AI1528" i="3"/>
  <c r="AI1529" i="3"/>
  <c r="AI1530" i="3"/>
  <c r="AI1531" i="3"/>
  <c r="AI1532" i="3"/>
  <c r="AI1533" i="3"/>
  <c r="AI1534" i="3"/>
  <c r="AI1535" i="3"/>
  <c r="AI1536" i="3"/>
  <c r="AI1537" i="3"/>
  <c r="AI1538" i="3"/>
  <c r="AI1539" i="3"/>
  <c r="AI1540" i="3"/>
  <c r="AI1541" i="3"/>
  <c r="AI1542" i="3"/>
  <c r="AI1543" i="3"/>
  <c r="AI1544" i="3"/>
  <c r="AI1545" i="3"/>
  <c r="AI1546" i="3"/>
  <c r="AI1547" i="3"/>
  <c r="AI1548" i="3"/>
  <c r="AI1549" i="3"/>
  <c r="AI1550" i="3"/>
  <c r="AI1551" i="3"/>
  <c r="AI1552" i="3"/>
  <c r="AI1553" i="3"/>
  <c r="AI1554" i="3"/>
  <c r="AI1555" i="3"/>
  <c r="AI1556" i="3"/>
  <c r="AI1557" i="3"/>
  <c r="AI1558" i="3"/>
  <c r="AI1559" i="3"/>
  <c r="AI1560" i="3"/>
  <c r="AI1561" i="3"/>
  <c r="AI1562" i="3"/>
  <c r="AI1563" i="3"/>
  <c r="AI1564" i="3"/>
  <c r="AI1565" i="3"/>
  <c r="AI1566" i="3"/>
  <c r="AI1567" i="3"/>
  <c r="AI1568" i="3"/>
  <c r="AI1569" i="3"/>
  <c r="AI1570" i="3"/>
  <c r="AI1571" i="3"/>
  <c r="AI1572" i="3"/>
  <c r="AI1573" i="3"/>
  <c r="AI1574" i="3"/>
  <c r="AI1575" i="3"/>
  <c r="AI1576" i="3"/>
  <c r="AI1577" i="3"/>
  <c r="AI1578" i="3"/>
  <c r="AI1579" i="3"/>
  <c r="AI1580" i="3"/>
  <c r="AI1581" i="3"/>
  <c r="AI1582" i="3"/>
  <c r="AI1583" i="3"/>
  <c r="AI1584" i="3"/>
  <c r="AI1585" i="3"/>
  <c r="AI1586" i="3"/>
  <c r="AI1587" i="3"/>
  <c r="AI1588" i="3"/>
  <c r="AI1589" i="3"/>
  <c r="AI1590" i="3"/>
  <c r="AI1591" i="3"/>
  <c r="AI1592" i="3"/>
  <c r="AI1593" i="3"/>
  <c r="AI1594" i="3"/>
  <c r="AI1595" i="3"/>
  <c r="AI1596" i="3"/>
  <c r="AI1597" i="3"/>
  <c r="AI1598" i="3"/>
  <c r="AI1599" i="3"/>
  <c r="AI1600" i="3"/>
  <c r="AI1601" i="3"/>
  <c r="AI1602" i="3"/>
  <c r="AI1603" i="3"/>
  <c r="AI1604" i="3"/>
  <c r="AI1605" i="3"/>
  <c r="AI1606" i="3"/>
  <c r="AI1607" i="3"/>
  <c r="AI1608" i="3"/>
  <c r="AI1609" i="3"/>
  <c r="AI1610" i="3"/>
  <c r="AI1611" i="3"/>
  <c r="AI1612" i="3"/>
  <c r="AI1613" i="3"/>
  <c r="AI1614" i="3"/>
  <c r="AI1615" i="3"/>
  <c r="AI1616" i="3"/>
  <c r="AI1617" i="3"/>
  <c r="AI1618" i="3"/>
  <c r="AI1619" i="3"/>
  <c r="AI1620" i="3"/>
  <c r="AI1621" i="3"/>
  <c r="AI1622" i="3"/>
  <c r="AI1623" i="3"/>
  <c r="AI1624" i="3"/>
  <c r="AI1625" i="3"/>
  <c r="AI1626" i="3"/>
  <c r="AI1627" i="3"/>
  <c r="AI1628" i="3"/>
  <c r="AI1629" i="3"/>
  <c r="AI1630" i="3"/>
  <c r="AI1631" i="3"/>
  <c r="AI1632" i="3"/>
  <c r="AI1633" i="3"/>
  <c r="AI1634" i="3"/>
  <c r="AI1635" i="3"/>
  <c r="AI1636" i="3"/>
  <c r="AI1637" i="3"/>
  <c r="AI1638" i="3"/>
  <c r="AI1639" i="3"/>
  <c r="AI1640" i="3"/>
  <c r="AI1641" i="3"/>
  <c r="AI1642" i="3"/>
  <c r="AI1643" i="3"/>
  <c r="AI1644" i="3"/>
  <c r="AI1645" i="3"/>
  <c r="AI1646" i="3"/>
  <c r="AI1647" i="3"/>
  <c r="AI1648" i="3"/>
  <c r="AI1649" i="3"/>
  <c r="AI1650" i="3"/>
  <c r="AI1651" i="3"/>
  <c r="AI1652" i="3"/>
  <c r="AI1653" i="3"/>
  <c r="AI1654" i="3"/>
  <c r="AI1655" i="3"/>
  <c r="AI1656" i="3"/>
  <c r="AI1657" i="3"/>
  <c r="AI1658" i="3"/>
  <c r="AI1659" i="3"/>
  <c r="AI1660" i="3"/>
  <c r="AI1661" i="3"/>
  <c r="AI1662" i="3"/>
  <c r="AI1663" i="3"/>
  <c r="AI1664" i="3"/>
  <c r="AI1665" i="3"/>
  <c r="AI1666" i="3"/>
  <c r="AI1667" i="3"/>
  <c r="AI1668" i="3"/>
  <c r="AI1669" i="3"/>
  <c r="AI1670" i="3"/>
  <c r="AI1671" i="3"/>
  <c r="AI1672" i="3"/>
  <c r="AI1673" i="3"/>
  <c r="AI1674" i="3"/>
  <c r="AI1675" i="3"/>
  <c r="AI1676" i="3"/>
  <c r="AI1677" i="3"/>
  <c r="AI1678" i="3"/>
  <c r="AI1679" i="3"/>
  <c r="AI1680" i="3"/>
  <c r="AI1681" i="3"/>
  <c r="AI1682" i="3"/>
  <c r="AI1683" i="3"/>
  <c r="AI1684" i="3"/>
  <c r="AI1685" i="3"/>
  <c r="AI1686" i="3"/>
  <c r="AI1687" i="3"/>
  <c r="AI1688" i="3"/>
  <c r="AI1689" i="3"/>
  <c r="AI1690" i="3"/>
  <c r="AI1691" i="3"/>
  <c r="AI1692" i="3"/>
  <c r="AI1693" i="3"/>
  <c r="AI1694" i="3"/>
  <c r="AI1695" i="3"/>
  <c r="AI1696" i="3"/>
  <c r="AI1697" i="3"/>
  <c r="AI1698" i="3"/>
  <c r="AI1699" i="3"/>
  <c r="AI1700" i="3"/>
  <c r="AI1701" i="3"/>
  <c r="AI1702" i="3"/>
  <c r="AI1703" i="3"/>
  <c r="AI1704" i="3"/>
  <c r="AI1705" i="3"/>
  <c r="AI1706" i="3"/>
  <c r="AI1707" i="3"/>
  <c r="AI1708" i="3"/>
  <c r="AI1709" i="3"/>
  <c r="AI1710" i="3"/>
  <c r="AI1711" i="3"/>
  <c r="AI1712" i="3"/>
  <c r="AI1713" i="3"/>
  <c r="AI1714" i="3"/>
  <c r="AI1715" i="3"/>
  <c r="AI1716" i="3"/>
  <c r="AI1717" i="3"/>
  <c r="AI1718" i="3"/>
  <c r="AI1719" i="3"/>
  <c r="AI1720" i="3"/>
  <c r="AI1721" i="3"/>
  <c r="AI1722" i="3"/>
  <c r="AI1723" i="3"/>
  <c r="AI1724" i="3"/>
  <c r="AI1725" i="3"/>
  <c r="AI1726" i="3"/>
  <c r="AI1727" i="3"/>
  <c r="AI1728" i="3"/>
  <c r="AI1729" i="3"/>
  <c r="AI1730" i="3"/>
  <c r="AI1731" i="3"/>
  <c r="AI1732" i="3"/>
  <c r="AI1733" i="3"/>
  <c r="AI1734" i="3"/>
  <c r="AI1735" i="3"/>
  <c r="AI1736" i="3"/>
  <c r="AI1737" i="3"/>
  <c r="AI1738" i="3"/>
  <c r="AI1739" i="3"/>
  <c r="AI1740" i="3"/>
  <c r="AI1741" i="3"/>
  <c r="AI1742" i="3"/>
  <c r="AI1743" i="3"/>
  <c r="AI1744" i="3"/>
  <c r="AI1745" i="3"/>
  <c r="AI1746" i="3"/>
  <c r="AI1747" i="3"/>
  <c r="AI1748" i="3"/>
  <c r="AI1749" i="3"/>
  <c r="AI1750" i="3"/>
  <c r="AI1751" i="3"/>
  <c r="AI1752" i="3"/>
  <c r="AI1753" i="3"/>
  <c r="AI1754" i="3"/>
  <c r="AI1755" i="3"/>
  <c r="AI1756" i="3"/>
  <c r="AI1757" i="3"/>
  <c r="AI1758" i="3"/>
  <c r="AI1759" i="3"/>
  <c r="AI1760" i="3"/>
  <c r="AI1761" i="3"/>
  <c r="AI1762" i="3"/>
  <c r="AI1763" i="3"/>
  <c r="AI1764" i="3"/>
  <c r="AI1765" i="3"/>
  <c r="AI1766" i="3"/>
  <c r="AI1767" i="3"/>
  <c r="AI1768" i="3"/>
  <c r="AI1769" i="3"/>
  <c r="AI1770" i="3"/>
  <c r="AI1771" i="3"/>
  <c r="AI1772" i="3"/>
  <c r="AI1773" i="3"/>
  <c r="AI1774" i="3"/>
  <c r="AI1775" i="3"/>
  <c r="AI1776" i="3"/>
  <c r="AI1777" i="3"/>
  <c r="AI1778" i="3"/>
  <c r="AI1779" i="3"/>
  <c r="AI1780" i="3"/>
  <c r="AI1781" i="3"/>
  <c r="AI1782" i="3"/>
  <c r="AI1783" i="3"/>
  <c r="AI1784" i="3"/>
  <c r="AI1785" i="3"/>
  <c r="AI1786" i="3"/>
  <c r="AI1787" i="3"/>
  <c r="AI1788" i="3"/>
  <c r="AI1789" i="3"/>
  <c r="AI1790" i="3"/>
  <c r="AI1791" i="3"/>
  <c r="AI1792" i="3"/>
  <c r="AI1793" i="3"/>
  <c r="AI1794" i="3"/>
  <c r="AI1795" i="3"/>
  <c r="AI1796" i="3"/>
  <c r="AI1797" i="3"/>
  <c r="AI1798" i="3"/>
  <c r="AI1799" i="3"/>
  <c r="AI1800" i="3"/>
  <c r="AI1801" i="3"/>
  <c r="AI1802" i="3"/>
  <c r="AI1803" i="3"/>
  <c r="AI1804" i="3"/>
  <c r="AI1805" i="3"/>
  <c r="AI1806" i="3"/>
  <c r="AI1807" i="3"/>
  <c r="AI1808" i="3"/>
  <c r="AI1809" i="3"/>
  <c r="AI1810" i="3"/>
  <c r="AI1811" i="3"/>
  <c r="AI1812" i="3"/>
  <c r="AI1813" i="3"/>
  <c r="AI1814" i="3"/>
  <c r="AI1815" i="3"/>
  <c r="AI1816" i="3"/>
  <c r="AI1817" i="3"/>
  <c r="AI1818" i="3"/>
  <c r="AI1819" i="3"/>
  <c r="AI1820" i="3"/>
  <c r="AI1821" i="3"/>
  <c r="AI1822" i="3"/>
  <c r="AI1823" i="3"/>
  <c r="AI1824" i="3"/>
  <c r="AI1825" i="3"/>
  <c r="AI1826" i="3"/>
  <c r="AI1827" i="3"/>
  <c r="AI1828" i="3"/>
  <c r="AI1829" i="3"/>
  <c r="AI1830" i="3"/>
  <c r="AI1831" i="3"/>
  <c r="AI1832" i="3"/>
  <c r="AI1833" i="3"/>
  <c r="AI1834" i="3"/>
  <c r="AI1835" i="3"/>
  <c r="AI1836" i="3"/>
  <c r="AI1837" i="3"/>
  <c r="AI1838" i="3"/>
  <c r="AI1839" i="3"/>
  <c r="AI1840" i="3"/>
  <c r="AI1841" i="3"/>
  <c r="AI1842" i="3"/>
  <c r="AI1843" i="3"/>
  <c r="AI1844" i="3"/>
  <c r="AI1845" i="3"/>
  <c r="AI1846" i="3"/>
  <c r="AI1847" i="3"/>
  <c r="AI1848" i="3"/>
  <c r="AI1849" i="3"/>
  <c r="AI1850" i="3"/>
  <c r="AI1851" i="3"/>
  <c r="AI1852" i="3"/>
  <c r="AI1853" i="3"/>
  <c r="AI1854" i="3"/>
  <c r="AI1855" i="3"/>
  <c r="AI1856" i="3"/>
  <c r="AI1857" i="3"/>
  <c r="AI1858" i="3"/>
  <c r="AI1859" i="3"/>
  <c r="AI1860" i="3"/>
  <c r="AI1861" i="3"/>
  <c r="AI1862" i="3"/>
  <c r="AI1863" i="3"/>
  <c r="AI1864" i="3"/>
  <c r="AI1865" i="3"/>
  <c r="AI1866" i="3"/>
  <c r="AI1867" i="3"/>
  <c r="AI1868" i="3"/>
  <c r="AI1869" i="3"/>
  <c r="AI1870" i="3"/>
  <c r="AI1871" i="3"/>
  <c r="AI1872" i="3"/>
  <c r="AI1873" i="3"/>
  <c r="AI1874" i="3"/>
  <c r="AI1875" i="3"/>
  <c r="AI1876" i="3"/>
  <c r="AI1877" i="3"/>
  <c r="AI1878" i="3"/>
  <c r="AI1879" i="3"/>
  <c r="AI1880" i="3"/>
  <c r="AI1881" i="3"/>
  <c r="AI1882" i="3"/>
  <c r="AI1883" i="3"/>
  <c r="AI1884" i="3"/>
  <c r="AI1885" i="3"/>
  <c r="AI1886" i="3"/>
  <c r="AI1887" i="3"/>
  <c r="AI1888" i="3"/>
  <c r="AI1889" i="3"/>
  <c r="AI1890" i="3"/>
  <c r="AI1891" i="3"/>
  <c r="AI1892" i="3"/>
  <c r="AI1893" i="3"/>
  <c r="AI1894" i="3"/>
  <c r="AI1895" i="3"/>
  <c r="AI1896" i="3"/>
  <c r="AI1897" i="3"/>
  <c r="AI1898" i="3"/>
  <c r="AI1899" i="3"/>
  <c r="AI1900" i="3"/>
  <c r="AI1901" i="3"/>
  <c r="AI1902" i="3"/>
  <c r="AI1903" i="3"/>
  <c r="AI1904" i="3"/>
  <c r="AI1905" i="3"/>
  <c r="AI1906" i="3"/>
  <c r="AI1907" i="3"/>
  <c r="AI1908" i="3"/>
  <c r="AI1909" i="3"/>
  <c r="AI1910" i="3"/>
  <c r="AI1911" i="3"/>
  <c r="AI1912" i="3"/>
  <c r="AI1913" i="3"/>
  <c r="AI1914" i="3"/>
  <c r="AI1915" i="3"/>
  <c r="AI1916" i="3"/>
  <c r="AI1917" i="3"/>
  <c r="AI1918" i="3"/>
  <c r="AI1919" i="3"/>
  <c r="AI1920" i="3"/>
  <c r="AI1921" i="3"/>
  <c r="AI1922" i="3"/>
  <c r="AI1923" i="3"/>
  <c r="AI1924" i="3"/>
  <c r="AI1925" i="3"/>
  <c r="AI1926" i="3"/>
  <c r="AI1927" i="3"/>
  <c r="AI1928" i="3"/>
  <c r="AI1929" i="3"/>
  <c r="AI1930" i="3"/>
  <c r="AI1931" i="3"/>
  <c r="AI1932" i="3"/>
  <c r="AI1933" i="3"/>
  <c r="AI1934" i="3"/>
  <c r="AI1935" i="3"/>
  <c r="AI1936" i="3"/>
  <c r="AI1937" i="3"/>
  <c r="AI1938" i="3"/>
  <c r="AI1939" i="3"/>
  <c r="AI1940" i="3"/>
  <c r="AI1941" i="3"/>
  <c r="AI1942" i="3"/>
  <c r="AI1943" i="3"/>
  <c r="AI1944" i="3"/>
  <c r="AI1945" i="3"/>
  <c r="AI1946" i="3"/>
  <c r="AI1947" i="3"/>
  <c r="AI1948" i="3"/>
  <c r="AI1949" i="3"/>
  <c r="AI1950" i="3"/>
  <c r="AI1951" i="3"/>
  <c r="AI1952" i="3"/>
  <c r="AI1953" i="3"/>
  <c r="AI1954" i="3"/>
  <c r="AI1955" i="3"/>
  <c r="AI1956" i="3"/>
  <c r="AI1957" i="3"/>
  <c r="AI1958" i="3"/>
  <c r="AI1959" i="3"/>
  <c r="AI1960" i="3"/>
  <c r="AI1961" i="3"/>
  <c r="AI1962" i="3"/>
  <c r="AI1963" i="3"/>
  <c r="AI1964" i="3"/>
  <c r="AI1965" i="3"/>
  <c r="AI1966" i="3"/>
  <c r="AI1967" i="3"/>
  <c r="AI1968" i="3"/>
  <c r="AI1969" i="3"/>
  <c r="AI1970" i="3"/>
  <c r="AI1971" i="3"/>
  <c r="AI1972" i="3"/>
  <c r="AI1973" i="3"/>
  <c r="AI1974" i="3"/>
  <c r="AI1975" i="3"/>
  <c r="AI1976" i="3"/>
  <c r="AI1977" i="3"/>
  <c r="AI1978" i="3"/>
  <c r="AI1979" i="3"/>
  <c r="AI1980" i="3"/>
  <c r="AI1981" i="3"/>
  <c r="AI1982" i="3"/>
  <c r="AI1983" i="3"/>
  <c r="AI1984" i="3"/>
  <c r="AI1985" i="3"/>
  <c r="AI1986" i="3"/>
  <c r="AI1987" i="3"/>
  <c r="AI1988" i="3"/>
  <c r="AI1989" i="3"/>
  <c r="AI1990" i="3"/>
  <c r="AI1991" i="3"/>
  <c r="AI1992" i="3"/>
  <c r="AI1993" i="3"/>
  <c r="AI1994" i="3"/>
  <c r="AI1995" i="3"/>
  <c r="AI1996" i="3"/>
  <c r="AI1997" i="3"/>
  <c r="AI1998" i="3"/>
  <c r="AI1999" i="3"/>
  <c r="AI2000" i="3"/>
  <c r="AI2001" i="3"/>
  <c r="AI2002" i="3"/>
  <c r="AI2003" i="3"/>
  <c r="AI2004" i="3"/>
  <c r="AI2005" i="3"/>
  <c r="AI2006" i="3"/>
  <c r="AI2007" i="3"/>
  <c r="AI2008" i="3"/>
  <c r="AI2009" i="3"/>
  <c r="AI2010" i="3"/>
  <c r="AI2011" i="3"/>
  <c r="AI2012" i="3"/>
  <c r="AI2013" i="3"/>
  <c r="AI2014" i="3"/>
  <c r="AI2015" i="3"/>
  <c r="AI2016" i="3"/>
  <c r="AI2017" i="3"/>
  <c r="AI2018" i="3"/>
  <c r="AI2019" i="3"/>
  <c r="AI2020" i="3"/>
  <c r="AI2021" i="3"/>
  <c r="AI2022" i="3"/>
  <c r="AI2023" i="3"/>
  <c r="AI2024" i="3"/>
  <c r="AI2025" i="3"/>
  <c r="AI2026" i="3"/>
  <c r="AI2027" i="3"/>
  <c r="AI2028" i="3"/>
  <c r="AI2029" i="3"/>
  <c r="AI2030" i="3"/>
  <c r="AI2031" i="3"/>
  <c r="AI2032" i="3"/>
  <c r="AI2033" i="3"/>
  <c r="AI2034" i="3"/>
  <c r="AI2035" i="3"/>
  <c r="AI2036" i="3"/>
  <c r="AI2037" i="3"/>
  <c r="AI2038" i="3"/>
  <c r="AI2039" i="3"/>
  <c r="AI2040" i="3"/>
  <c r="AI2041" i="3"/>
  <c r="AI2042" i="3"/>
  <c r="AI2043" i="3"/>
  <c r="AI2044" i="3"/>
  <c r="AI2045" i="3"/>
  <c r="AI2046" i="3"/>
  <c r="AI2047" i="3"/>
  <c r="AI2048" i="3"/>
  <c r="AI2049" i="3"/>
  <c r="AI2050" i="3"/>
  <c r="AI2051" i="3"/>
  <c r="AI2052" i="3"/>
  <c r="AI2053" i="3"/>
  <c r="AI2054" i="3"/>
  <c r="AI2055" i="3"/>
  <c r="AI2056" i="3"/>
  <c r="AI2057" i="3"/>
  <c r="AI2058" i="3"/>
  <c r="AI2059" i="3"/>
  <c r="AI2060" i="3"/>
  <c r="AI2061" i="3"/>
  <c r="AI2062" i="3"/>
  <c r="AI2063" i="3"/>
  <c r="AI2064" i="3"/>
  <c r="AI2065" i="3"/>
  <c r="AI2066" i="3"/>
  <c r="AI2067" i="3"/>
  <c r="AI2068" i="3"/>
  <c r="AI2069" i="3"/>
  <c r="AI2070" i="3"/>
  <c r="AI2071" i="3"/>
  <c r="AI2072" i="3"/>
  <c r="AI2073" i="3"/>
  <c r="AI2074" i="3"/>
  <c r="AI2075" i="3"/>
  <c r="AI2076" i="3"/>
  <c r="AI2077" i="3"/>
  <c r="AI2078" i="3"/>
  <c r="AI2079" i="3"/>
  <c r="AI2080" i="3"/>
  <c r="AI2081" i="3"/>
  <c r="AI2082" i="3"/>
  <c r="AI2083" i="3"/>
  <c r="AI2084" i="3"/>
  <c r="AI2085" i="3"/>
  <c r="AI2086" i="3"/>
  <c r="AI2087" i="3"/>
  <c r="AI2088" i="3"/>
  <c r="AI2089" i="3"/>
  <c r="AI2090" i="3"/>
  <c r="AI2091" i="3"/>
  <c r="AI2092" i="3"/>
  <c r="AI2093" i="3"/>
  <c r="AI2094" i="3"/>
  <c r="AI2095" i="3"/>
  <c r="AI2096" i="3"/>
  <c r="AI2097" i="3"/>
  <c r="AI2098" i="3"/>
  <c r="AI2099" i="3"/>
  <c r="AI2100" i="3"/>
  <c r="AI2101" i="3"/>
  <c r="AI2102" i="3"/>
  <c r="AI2103" i="3"/>
  <c r="AI2104" i="3"/>
  <c r="AI2105" i="3"/>
  <c r="AI2106" i="3"/>
  <c r="AI2107" i="3"/>
  <c r="AI2108" i="3"/>
  <c r="AI2109" i="3"/>
  <c r="AI2110" i="3"/>
  <c r="AI2111" i="3"/>
  <c r="AI2112" i="3"/>
  <c r="AI2113" i="3"/>
  <c r="AI2114" i="3"/>
  <c r="AI2115" i="3"/>
  <c r="AI2116" i="3"/>
  <c r="AI2117" i="3"/>
  <c r="AI2118" i="3"/>
  <c r="AI2119" i="3"/>
  <c r="AI2120" i="3"/>
  <c r="AI2121" i="3"/>
  <c r="AI2122" i="3"/>
  <c r="AI2123" i="3"/>
  <c r="AI2124" i="3"/>
  <c r="AI2125" i="3"/>
  <c r="AI2126" i="3"/>
  <c r="AI2127" i="3"/>
  <c r="AI2128" i="3"/>
  <c r="AI2129" i="3"/>
  <c r="AI2130" i="3"/>
  <c r="AI2131" i="3"/>
  <c r="AI2132" i="3"/>
  <c r="AI2133" i="3"/>
  <c r="AI2134" i="3"/>
  <c r="AI2135" i="3"/>
  <c r="AI2136" i="3"/>
  <c r="AI2137" i="3"/>
  <c r="AI2138" i="3"/>
  <c r="AI2139" i="3"/>
  <c r="AI2140" i="3"/>
  <c r="AI2141" i="3"/>
  <c r="AI2142" i="3"/>
  <c r="AI2143" i="3"/>
  <c r="AI2144" i="3"/>
  <c r="AI2145" i="3"/>
  <c r="AI2146" i="3"/>
  <c r="AI2147" i="3"/>
  <c r="AI2148" i="3"/>
  <c r="AI2149" i="3"/>
  <c r="AI2150" i="3"/>
  <c r="AI2151" i="3"/>
  <c r="AI2152" i="3"/>
  <c r="AI2153" i="3"/>
  <c r="AI2154" i="3"/>
  <c r="AI2155" i="3"/>
  <c r="AI2156" i="3"/>
  <c r="AI2157" i="3"/>
  <c r="AI2158" i="3"/>
  <c r="AI2159" i="3"/>
  <c r="AI2160" i="3"/>
  <c r="AI2161" i="3"/>
  <c r="AI2162" i="3"/>
  <c r="AI2163" i="3"/>
  <c r="AI2164" i="3"/>
  <c r="AI2165" i="3"/>
  <c r="AI2166" i="3"/>
  <c r="AI2167" i="3"/>
  <c r="AI2168" i="3"/>
  <c r="AI2169" i="3"/>
  <c r="AI2170" i="3"/>
  <c r="AI2171" i="3"/>
  <c r="AI2172" i="3"/>
  <c r="AI2173" i="3"/>
  <c r="AI2174" i="3"/>
  <c r="AI2175" i="3"/>
  <c r="AI2176" i="3"/>
  <c r="AI2177" i="3"/>
  <c r="AI2178" i="3"/>
  <c r="AI2179" i="3"/>
  <c r="AI2180" i="3"/>
  <c r="AI2181" i="3"/>
  <c r="AI2182" i="3"/>
  <c r="AI2183" i="3"/>
  <c r="AI2184" i="3"/>
  <c r="AI2185" i="3"/>
  <c r="AI2186" i="3"/>
  <c r="AI2187" i="3"/>
  <c r="AI2188" i="3"/>
  <c r="AI2189" i="3"/>
  <c r="AI2190" i="3"/>
  <c r="AI2191" i="3"/>
  <c r="AI2192" i="3"/>
  <c r="AI2193" i="3"/>
  <c r="AI2194" i="3"/>
  <c r="AI2195" i="3"/>
  <c r="AI2196" i="3"/>
  <c r="AI2197" i="3"/>
  <c r="AI2198" i="3"/>
  <c r="AI2199" i="3"/>
  <c r="AI2200" i="3"/>
  <c r="AI2201" i="3"/>
  <c r="AI2202" i="3"/>
  <c r="AI2203" i="3"/>
  <c r="AI2204" i="3"/>
  <c r="AI2205" i="3"/>
  <c r="AI2206" i="3"/>
  <c r="AI2207" i="3"/>
  <c r="AI2208" i="3"/>
  <c r="AI2209" i="3"/>
  <c r="AI2210" i="3"/>
  <c r="AI2211" i="3"/>
  <c r="AI2212" i="3"/>
  <c r="AI2213" i="3"/>
  <c r="AI2214" i="3"/>
  <c r="AI2215" i="3"/>
  <c r="AI2216" i="3"/>
  <c r="AI2217" i="3"/>
  <c r="AI2218" i="3"/>
  <c r="AI2219" i="3"/>
  <c r="AI2220" i="3"/>
  <c r="AI2221" i="3"/>
  <c r="AI2222" i="3"/>
  <c r="AI2223" i="3"/>
  <c r="AI2224" i="3"/>
  <c r="AI2225" i="3"/>
  <c r="AI2226" i="3"/>
  <c r="AI2227" i="3"/>
  <c r="AI2228" i="3"/>
  <c r="AI2229" i="3"/>
  <c r="AI2230" i="3"/>
  <c r="AI2231" i="3"/>
  <c r="AI2232" i="3"/>
  <c r="AI2233" i="3"/>
  <c r="AI2234" i="3"/>
  <c r="AI2235" i="3"/>
  <c r="AI2236" i="3"/>
  <c r="AI2237" i="3"/>
  <c r="AI2238" i="3"/>
  <c r="AI2239" i="3"/>
  <c r="AI2240" i="3"/>
  <c r="AI2241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H914" i="3"/>
  <c r="AH915" i="3"/>
  <c r="AH916" i="3"/>
  <c r="AH917" i="3"/>
  <c r="AH918" i="3"/>
  <c r="AH919" i="3"/>
  <c r="AH920" i="3"/>
  <c r="AH921" i="3"/>
  <c r="AH922" i="3"/>
  <c r="AH923" i="3"/>
  <c r="AH924" i="3"/>
  <c r="AH925" i="3"/>
  <c r="AH926" i="3"/>
  <c r="AH927" i="3"/>
  <c r="AH928" i="3"/>
  <c r="AH929" i="3"/>
  <c r="AH930" i="3"/>
  <c r="AH931" i="3"/>
  <c r="AH932" i="3"/>
  <c r="AH933" i="3"/>
  <c r="AH934" i="3"/>
  <c r="AH935" i="3"/>
  <c r="AH936" i="3"/>
  <c r="AH937" i="3"/>
  <c r="AH938" i="3"/>
  <c r="AH939" i="3"/>
  <c r="AH940" i="3"/>
  <c r="AH941" i="3"/>
  <c r="AH942" i="3"/>
  <c r="AH943" i="3"/>
  <c r="AH944" i="3"/>
  <c r="AH945" i="3"/>
  <c r="AH946" i="3"/>
  <c r="AH947" i="3"/>
  <c r="AH948" i="3"/>
  <c r="AH949" i="3"/>
  <c r="AH950" i="3"/>
  <c r="AH951" i="3"/>
  <c r="AH952" i="3"/>
  <c r="AH953" i="3"/>
  <c r="AH954" i="3"/>
  <c r="AH955" i="3"/>
  <c r="AH956" i="3"/>
  <c r="AH957" i="3"/>
  <c r="AH958" i="3"/>
  <c r="AH959" i="3"/>
  <c r="AH960" i="3"/>
  <c r="AH961" i="3"/>
  <c r="AH962" i="3"/>
  <c r="AH963" i="3"/>
  <c r="AH964" i="3"/>
  <c r="AH965" i="3"/>
  <c r="AH966" i="3"/>
  <c r="AH967" i="3"/>
  <c r="AH968" i="3"/>
  <c r="AH969" i="3"/>
  <c r="AH970" i="3"/>
  <c r="AH971" i="3"/>
  <c r="AH972" i="3"/>
  <c r="AH973" i="3"/>
  <c r="AH974" i="3"/>
  <c r="AH975" i="3"/>
  <c r="AH976" i="3"/>
  <c r="AH977" i="3"/>
  <c r="AH978" i="3"/>
  <c r="AH979" i="3"/>
  <c r="AH980" i="3"/>
  <c r="AH981" i="3"/>
  <c r="AH982" i="3"/>
  <c r="AH983" i="3"/>
  <c r="AH984" i="3"/>
  <c r="AH985" i="3"/>
  <c r="AH986" i="3"/>
  <c r="AH987" i="3"/>
  <c r="AH988" i="3"/>
  <c r="AH989" i="3"/>
  <c r="AH990" i="3"/>
  <c r="AH991" i="3"/>
  <c r="AH992" i="3"/>
  <c r="AH993" i="3"/>
  <c r="AH994" i="3"/>
  <c r="AH995" i="3"/>
  <c r="AH996" i="3"/>
  <c r="AH997" i="3"/>
  <c r="AH998" i="3"/>
  <c r="AH999" i="3"/>
  <c r="AH1000" i="3"/>
  <c r="AH1001" i="3"/>
  <c r="AH1002" i="3"/>
  <c r="AH1003" i="3"/>
  <c r="AH1004" i="3"/>
  <c r="AH1005" i="3"/>
  <c r="AH1006" i="3"/>
  <c r="AH1007" i="3"/>
  <c r="AH1008" i="3"/>
  <c r="AH1009" i="3"/>
  <c r="AH1010" i="3"/>
  <c r="AH1011" i="3"/>
  <c r="AH1012" i="3"/>
  <c r="AH1013" i="3"/>
  <c r="AH1014" i="3"/>
  <c r="AH1015" i="3"/>
  <c r="AH1016" i="3"/>
  <c r="AH1017" i="3"/>
  <c r="AH1018" i="3"/>
  <c r="AH1019" i="3"/>
  <c r="AH1020" i="3"/>
  <c r="AH1021" i="3"/>
  <c r="AH1022" i="3"/>
  <c r="AH1023" i="3"/>
  <c r="AH1024" i="3"/>
  <c r="AH1025" i="3"/>
  <c r="AH1026" i="3"/>
  <c r="AH1027" i="3"/>
  <c r="AH1028" i="3"/>
  <c r="AH1029" i="3"/>
  <c r="AH1030" i="3"/>
  <c r="AH1031" i="3"/>
  <c r="AH1032" i="3"/>
  <c r="AH1033" i="3"/>
  <c r="AH1034" i="3"/>
  <c r="AH1035" i="3"/>
  <c r="AH1036" i="3"/>
  <c r="AH1037" i="3"/>
  <c r="AH1038" i="3"/>
  <c r="AH1039" i="3"/>
  <c r="AH1040" i="3"/>
  <c r="AH1041" i="3"/>
  <c r="AH1042" i="3"/>
  <c r="AH1043" i="3"/>
  <c r="AH1044" i="3"/>
  <c r="AH1045" i="3"/>
  <c r="AH1046" i="3"/>
  <c r="AH1047" i="3"/>
  <c r="AH1048" i="3"/>
  <c r="AH1049" i="3"/>
  <c r="AH1050" i="3"/>
  <c r="AH1051" i="3"/>
  <c r="AH1052" i="3"/>
  <c r="AH1053" i="3"/>
  <c r="AH1054" i="3"/>
  <c r="AH1055" i="3"/>
  <c r="AH1056" i="3"/>
  <c r="AH1057" i="3"/>
  <c r="AH1058" i="3"/>
  <c r="AH1059" i="3"/>
  <c r="AH1060" i="3"/>
  <c r="AH1061" i="3"/>
  <c r="AH1062" i="3"/>
  <c r="AH1063" i="3"/>
  <c r="AH1064" i="3"/>
  <c r="AH1065" i="3"/>
  <c r="AH1066" i="3"/>
  <c r="AH1067" i="3"/>
  <c r="AH1068" i="3"/>
  <c r="AH1069" i="3"/>
  <c r="AH1070" i="3"/>
  <c r="AH1071" i="3"/>
  <c r="AH1072" i="3"/>
  <c r="AH1073" i="3"/>
  <c r="AH1074" i="3"/>
  <c r="AH1075" i="3"/>
  <c r="AH1076" i="3"/>
  <c r="AH1077" i="3"/>
  <c r="AH1078" i="3"/>
  <c r="AH1079" i="3"/>
  <c r="AH1080" i="3"/>
  <c r="AH1081" i="3"/>
  <c r="AH1082" i="3"/>
  <c r="AH1083" i="3"/>
  <c r="AH1084" i="3"/>
  <c r="AH1085" i="3"/>
  <c r="AH1086" i="3"/>
  <c r="AH1087" i="3"/>
  <c r="AH1088" i="3"/>
  <c r="AH1089" i="3"/>
  <c r="AH1090" i="3"/>
  <c r="AH1091" i="3"/>
  <c r="AH1092" i="3"/>
  <c r="AH1093" i="3"/>
  <c r="AH1094" i="3"/>
  <c r="AH1095" i="3"/>
  <c r="AH1096" i="3"/>
  <c r="AH1097" i="3"/>
  <c r="AH1098" i="3"/>
  <c r="AH1099" i="3"/>
  <c r="AH1100" i="3"/>
  <c r="AH1101" i="3"/>
  <c r="AH1102" i="3"/>
  <c r="AH1103" i="3"/>
  <c r="AH1104" i="3"/>
  <c r="AH1105" i="3"/>
  <c r="AH1106" i="3"/>
  <c r="AH1107" i="3"/>
  <c r="AH1108" i="3"/>
  <c r="AH1109" i="3"/>
  <c r="AH1110" i="3"/>
  <c r="AH1111" i="3"/>
  <c r="AH1112" i="3"/>
  <c r="AH1113" i="3"/>
  <c r="AH1114" i="3"/>
  <c r="AH1115" i="3"/>
  <c r="AH1116" i="3"/>
  <c r="AH1117" i="3"/>
  <c r="AH1118" i="3"/>
  <c r="AH1119" i="3"/>
  <c r="AH1120" i="3"/>
  <c r="AH1121" i="3"/>
  <c r="AH1122" i="3"/>
  <c r="AH1123" i="3"/>
  <c r="AH1124" i="3"/>
  <c r="AH1125" i="3"/>
  <c r="AH1126" i="3"/>
  <c r="AH1127" i="3"/>
  <c r="AH1128" i="3"/>
  <c r="AH1129" i="3"/>
  <c r="AH1130" i="3"/>
  <c r="AH1131" i="3"/>
  <c r="AH1132" i="3"/>
  <c r="AH1133" i="3"/>
  <c r="AH1134" i="3"/>
  <c r="AH1135" i="3"/>
  <c r="AH1136" i="3"/>
  <c r="AH1137" i="3"/>
  <c r="AH1138" i="3"/>
  <c r="AH1139" i="3"/>
  <c r="AH1140" i="3"/>
  <c r="AH1141" i="3"/>
  <c r="AH1142" i="3"/>
  <c r="AH1143" i="3"/>
  <c r="AH1144" i="3"/>
  <c r="AH1145" i="3"/>
  <c r="AH1146" i="3"/>
  <c r="AH1147" i="3"/>
  <c r="AH1148" i="3"/>
  <c r="AH1149" i="3"/>
  <c r="AH1150" i="3"/>
  <c r="AH1151" i="3"/>
  <c r="AH1152" i="3"/>
  <c r="AH1153" i="3"/>
  <c r="AH1154" i="3"/>
  <c r="AH1155" i="3"/>
  <c r="AH1156" i="3"/>
  <c r="AH1157" i="3"/>
  <c r="AH1158" i="3"/>
  <c r="AH1159" i="3"/>
  <c r="AH1160" i="3"/>
  <c r="AH1161" i="3"/>
  <c r="AH1162" i="3"/>
  <c r="AH1163" i="3"/>
  <c r="AH1164" i="3"/>
  <c r="AH1165" i="3"/>
  <c r="AH1166" i="3"/>
  <c r="AH1167" i="3"/>
  <c r="AH1168" i="3"/>
  <c r="AH1169" i="3"/>
  <c r="AH1170" i="3"/>
  <c r="AH1171" i="3"/>
  <c r="AH1172" i="3"/>
  <c r="AH1173" i="3"/>
  <c r="AH1174" i="3"/>
  <c r="AH1175" i="3"/>
  <c r="AH1176" i="3"/>
  <c r="AH1177" i="3"/>
  <c r="AH1178" i="3"/>
  <c r="AH1179" i="3"/>
  <c r="AH1180" i="3"/>
  <c r="AH1181" i="3"/>
  <c r="AH1182" i="3"/>
  <c r="AH1183" i="3"/>
  <c r="AH1184" i="3"/>
  <c r="AH1185" i="3"/>
  <c r="AH1186" i="3"/>
  <c r="AH1187" i="3"/>
  <c r="AH1188" i="3"/>
  <c r="AH1189" i="3"/>
  <c r="AH1190" i="3"/>
  <c r="AH1191" i="3"/>
  <c r="AH1192" i="3"/>
  <c r="AH1193" i="3"/>
  <c r="AH1194" i="3"/>
  <c r="AH1195" i="3"/>
  <c r="AH1196" i="3"/>
  <c r="AH1197" i="3"/>
  <c r="AH1198" i="3"/>
  <c r="AH1199" i="3"/>
  <c r="AH1200" i="3"/>
  <c r="AH1201" i="3"/>
  <c r="AH1202" i="3"/>
  <c r="AH1203" i="3"/>
  <c r="AH1204" i="3"/>
  <c r="AH1205" i="3"/>
  <c r="AH1206" i="3"/>
  <c r="AH1207" i="3"/>
  <c r="AH1208" i="3"/>
  <c r="AH1209" i="3"/>
  <c r="AH1210" i="3"/>
  <c r="AH1211" i="3"/>
  <c r="AH1212" i="3"/>
  <c r="AH1213" i="3"/>
  <c r="AH1214" i="3"/>
  <c r="AH1215" i="3"/>
  <c r="AH1216" i="3"/>
  <c r="AH1217" i="3"/>
  <c r="AH1218" i="3"/>
  <c r="AH1219" i="3"/>
  <c r="AH1220" i="3"/>
  <c r="AH1221" i="3"/>
  <c r="AH1222" i="3"/>
  <c r="AH1223" i="3"/>
  <c r="AH1224" i="3"/>
  <c r="AH1225" i="3"/>
  <c r="AH1226" i="3"/>
  <c r="AH1227" i="3"/>
  <c r="AH1228" i="3"/>
  <c r="AH1229" i="3"/>
  <c r="AH1230" i="3"/>
  <c r="AH1231" i="3"/>
  <c r="AH1232" i="3"/>
  <c r="AH1233" i="3"/>
  <c r="AH1234" i="3"/>
  <c r="AH1235" i="3"/>
  <c r="AH1236" i="3"/>
  <c r="AH1237" i="3"/>
  <c r="AH1238" i="3"/>
  <c r="AH1239" i="3"/>
  <c r="AH1240" i="3"/>
  <c r="AH1241" i="3"/>
  <c r="AH1242" i="3"/>
  <c r="AH1243" i="3"/>
  <c r="AH1244" i="3"/>
  <c r="AH1245" i="3"/>
  <c r="AH1246" i="3"/>
  <c r="AH1247" i="3"/>
  <c r="AH1248" i="3"/>
  <c r="AH1249" i="3"/>
  <c r="AH1250" i="3"/>
  <c r="AH1251" i="3"/>
  <c r="AH1252" i="3"/>
  <c r="AH1253" i="3"/>
  <c r="AH1254" i="3"/>
  <c r="AH1255" i="3"/>
  <c r="AH1256" i="3"/>
  <c r="AH1257" i="3"/>
  <c r="AH1258" i="3"/>
  <c r="AH1259" i="3"/>
  <c r="AH1260" i="3"/>
  <c r="AH1261" i="3"/>
  <c r="AH1262" i="3"/>
  <c r="AH1263" i="3"/>
  <c r="AH1264" i="3"/>
  <c r="AH1265" i="3"/>
  <c r="AH1266" i="3"/>
  <c r="AH1267" i="3"/>
  <c r="AH1268" i="3"/>
  <c r="AH1269" i="3"/>
  <c r="AH1270" i="3"/>
  <c r="AH1271" i="3"/>
  <c r="AH1272" i="3"/>
  <c r="AH1273" i="3"/>
  <c r="AH1274" i="3"/>
  <c r="AH1275" i="3"/>
  <c r="AH1276" i="3"/>
  <c r="AH1277" i="3"/>
  <c r="AH1278" i="3"/>
  <c r="AH1279" i="3"/>
  <c r="AH1280" i="3"/>
  <c r="AH1281" i="3"/>
  <c r="AH1282" i="3"/>
  <c r="AH1283" i="3"/>
  <c r="AH1284" i="3"/>
  <c r="AH1285" i="3"/>
  <c r="AH1286" i="3"/>
  <c r="AH1287" i="3"/>
  <c r="AH1288" i="3"/>
  <c r="AH1289" i="3"/>
  <c r="AH1290" i="3"/>
  <c r="AH1291" i="3"/>
  <c r="AH1292" i="3"/>
  <c r="AH1293" i="3"/>
  <c r="AH1294" i="3"/>
  <c r="AH1295" i="3"/>
  <c r="AH1296" i="3"/>
  <c r="AH1297" i="3"/>
  <c r="AH1298" i="3"/>
  <c r="AH1299" i="3"/>
  <c r="AH1300" i="3"/>
  <c r="AH1301" i="3"/>
  <c r="AH1302" i="3"/>
  <c r="AH1303" i="3"/>
  <c r="AH1304" i="3"/>
  <c r="AH1305" i="3"/>
  <c r="AH1306" i="3"/>
  <c r="AH1307" i="3"/>
  <c r="AH1308" i="3"/>
  <c r="AH1309" i="3"/>
  <c r="AH1310" i="3"/>
  <c r="AH1311" i="3"/>
  <c r="AH1312" i="3"/>
  <c r="AH1313" i="3"/>
  <c r="AH1314" i="3"/>
  <c r="AH1315" i="3"/>
  <c r="AH1316" i="3"/>
  <c r="AH1317" i="3"/>
  <c r="AH1318" i="3"/>
  <c r="AH1319" i="3"/>
  <c r="AH1320" i="3"/>
  <c r="AH1321" i="3"/>
  <c r="AH1322" i="3"/>
  <c r="AH1323" i="3"/>
  <c r="AH1324" i="3"/>
  <c r="AH1325" i="3"/>
  <c r="AH1326" i="3"/>
  <c r="AH1327" i="3"/>
  <c r="AH1328" i="3"/>
  <c r="AH1329" i="3"/>
  <c r="AH1330" i="3"/>
  <c r="AH1331" i="3"/>
  <c r="AH1332" i="3"/>
  <c r="AH1333" i="3"/>
  <c r="AH1334" i="3"/>
  <c r="AH1335" i="3"/>
  <c r="AH1336" i="3"/>
  <c r="AH1337" i="3"/>
  <c r="AH1338" i="3"/>
  <c r="AH1339" i="3"/>
  <c r="AH1340" i="3"/>
  <c r="AH1341" i="3"/>
  <c r="AH1342" i="3"/>
  <c r="AH1343" i="3"/>
  <c r="AH1344" i="3"/>
  <c r="AH1345" i="3"/>
  <c r="AH1346" i="3"/>
  <c r="AH1347" i="3"/>
  <c r="AH1348" i="3"/>
  <c r="AH1349" i="3"/>
  <c r="AH1350" i="3"/>
  <c r="AH1351" i="3"/>
  <c r="AH1352" i="3"/>
  <c r="AH1353" i="3"/>
  <c r="AH1354" i="3"/>
  <c r="AH1355" i="3"/>
  <c r="AH1356" i="3"/>
  <c r="AH1357" i="3"/>
  <c r="AH1358" i="3"/>
  <c r="AH1359" i="3"/>
  <c r="AH1360" i="3"/>
  <c r="AH1361" i="3"/>
  <c r="AH1362" i="3"/>
  <c r="AH1363" i="3"/>
  <c r="AH1364" i="3"/>
  <c r="AH1365" i="3"/>
  <c r="AH1366" i="3"/>
  <c r="AH1367" i="3"/>
  <c r="AH1368" i="3"/>
  <c r="AH1369" i="3"/>
  <c r="AH1370" i="3"/>
  <c r="AH1371" i="3"/>
  <c r="AH1372" i="3"/>
  <c r="AH1373" i="3"/>
  <c r="AH1374" i="3"/>
  <c r="AH1375" i="3"/>
  <c r="AH1376" i="3"/>
  <c r="AH1377" i="3"/>
  <c r="AH1378" i="3"/>
  <c r="AH1379" i="3"/>
  <c r="AH1380" i="3"/>
  <c r="AH1381" i="3"/>
  <c r="AH1382" i="3"/>
  <c r="AH1383" i="3"/>
  <c r="AH1384" i="3"/>
  <c r="AH1385" i="3"/>
  <c r="AH1386" i="3"/>
  <c r="AH1387" i="3"/>
  <c r="AH1388" i="3"/>
  <c r="AH1389" i="3"/>
  <c r="AH1390" i="3"/>
  <c r="AH1391" i="3"/>
  <c r="AH1392" i="3"/>
  <c r="AH1393" i="3"/>
  <c r="AH1394" i="3"/>
  <c r="AH1395" i="3"/>
  <c r="AH1396" i="3"/>
  <c r="AH1397" i="3"/>
  <c r="AH1398" i="3"/>
  <c r="AH1399" i="3"/>
  <c r="AH1400" i="3"/>
  <c r="AH1401" i="3"/>
  <c r="AH1402" i="3"/>
  <c r="AH1403" i="3"/>
  <c r="AH1404" i="3"/>
  <c r="AH1405" i="3"/>
  <c r="AH1406" i="3"/>
  <c r="AH1407" i="3"/>
  <c r="AH1408" i="3"/>
  <c r="AH1409" i="3"/>
  <c r="AH1410" i="3"/>
  <c r="AH1411" i="3"/>
  <c r="AH1412" i="3"/>
  <c r="AH1413" i="3"/>
  <c r="AH1414" i="3"/>
  <c r="AH1415" i="3"/>
  <c r="AH1416" i="3"/>
  <c r="AH1417" i="3"/>
  <c r="AH1418" i="3"/>
  <c r="AH1419" i="3"/>
  <c r="AH1420" i="3"/>
  <c r="AH1421" i="3"/>
  <c r="AH1422" i="3"/>
  <c r="AH1423" i="3"/>
  <c r="AH1424" i="3"/>
  <c r="AH1425" i="3"/>
  <c r="AH1426" i="3"/>
  <c r="AH1427" i="3"/>
  <c r="AH1428" i="3"/>
  <c r="AH1429" i="3"/>
  <c r="AH1430" i="3"/>
  <c r="AH1431" i="3"/>
  <c r="AH1432" i="3"/>
  <c r="AH1433" i="3"/>
  <c r="AH1434" i="3"/>
  <c r="AH1435" i="3"/>
  <c r="AH1436" i="3"/>
  <c r="AH1437" i="3"/>
  <c r="AH1438" i="3"/>
  <c r="AH1439" i="3"/>
  <c r="AH1440" i="3"/>
  <c r="AH1441" i="3"/>
  <c r="AH1442" i="3"/>
  <c r="AH1443" i="3"/>
  <c r="AH1444" i="3"/>
  <c r="AH1445" i="3"/>
  <c r="AH1446" i="3"/>
  <c r="AH1447" i="3"/>
  <c r="AH1448" i="3"/>
  <c r="AH1449" i="3"/>
  <c r="AH1450" i="3"/>
  <c r="AH1451" i="3"/>
  <c r="AH1452" i="3"/>
  <c r="AH1453" i="3"/>
  <c r="AH1454" i="3"/>
  <c r="AH1455" i="3"/>
  <c r="AH1456" i="3"/>
  <c r="AH1457" i="3"/>
  <c r="AH1458" i="3"/>
  <c r="AH1459" i="3"/>
  <c r="AH1460" i="3"/>
  <c r="AH1461" i="3"/>
  <c r="AH1462" i="3"/>
  <c r="AH1463" i="3"/>
  <c r="AH1464" i="3"/>
  <c r="AH1465" i="3"/>
  <c r="AH1466" i="3"/>
  <c r="AH1467" i="3"/>
  <c r="AH1468" i="3"/>
  <c r="AH1469" i="3"/>
  <c r="AH1470" i="3"/>
  <c r="AH1471" i="3"/>
  <c r="AH1472" i="3"/>
  <c r="AH1473" i="3"/>
  <c r="AH1474" i="3"/>
  <c r="AH1475" i="3"/>
  <c r="AH1476" i="3"/>
  <c r="AH1477" i="3"/>
  <c r="AH1478" i="3"/>
  <c r="AH1479" i="3"/>
  <c r="AH1480" i="3"/>
  <c r="AH1481" i="3"/>
  <c r="AH1482" i="3"/>
  <c r="AH1483" i="3"/>
  <c r="AH1484" i="3"/>
  <c r="AH1485" i="3"/>
  <c r="AH1486" i="3"/>
  <c r="AH1487" i="3"/>
  <c r="AH1488" i="3"/>
  <c r="AH1489" i="3"/>
  <c r="AH1490" i="3"/>
  <c r="AH1491" i="3"/>
  <c r="AH1492" i="3"/>
  <c r="AH1493" i="3"/>
  <c r="AH1494" i="3"/>
  <c r="AH1495" i="3"/>
  <c r="AH1496" i="3"/>
  <c r="AH1497" i="3"/>
  <c r="AH1498" i="3"/>
  <c r="AH1499" i="3"/>
  <c r="AH1500" i="3"/>
  <c r="AH1501" i="3"/>
  <c r="AH1502" i="3"/>
  <c r="AH1503" i="3"/>
  <c r="AH1504" i="3"/>
  <c r="AH1505" i="3"/>
  <c r="AH1506" i="3"/>
  <c r="AH1507" i="3"/>
  <c r="AH1508" i="3"/>
  <c r="AH1509" i="3"/>
  <c r="AH1510" i="3"/>
  <c r="AH1511" i="3"/>
  <c r="AH1512" i="3"/>
  <c r="AH1513" i="3"/>
  <c r="AH1514" i="3"/>
  <c r="AH1515" i="3"/>
  <c r="AH1516" i="3"/>
  <c r="AH1517" i="3"/>
  <c r="AH1518" i="3"/>
  <c r="AH1519" i="3"/>
  <c r="AH1520" i="3"/>
  <c r="AH1521" i="3"/>
  <c r="AH1522" i="3"/>
  <c r="AH1523" i="3"/>
  <c r="AH1524" i="3"/>
  <c r="AH1525" i="3"/>
  <c r="AH1526" i="3"/>
  <c r="AH1527" i="3"/>
  <c r="AH1528" i="3"/>
  <c r="AH1529" i="3"/>
  <c r="AH1530" i="3"/>
  <c r="AH1531" i="3"/>
  <c r="AH1532" i="3"/>
  <c r="AH1533" i="3"/>
  <c r="AH1534" i="3"/>
  <c r="AH1535" i="3"/>
  <c r="AH1536" i="3"/>
  <c r="AH1537" i="3"/>
  <c r="AH1538" i="3"/>
  <c r="AH1539" i="3"/>
  <c r="AH1540" i="3"/>
  <c r="AH1541" i="3"/>
  <c r="AH1542" i="3"/>
  <c r="AH1543" i="3"/>
  <c r="AH1544" i="3"/>
  <c r="AH1545" i="3"/>
  <c r="AH1546" i="3"/>
  <c r="AH1547" i="3"/>
  <c r="AH1548" i="3"/>
  <c r="AH1549" i="3"/>
  <c r="AH1550" i="3"/>
  <c r="AH1551" i="3"/>
  <c r="AH1552" i="3"/>
  <c r="AH1553" i="3"/>
  <c r="AH1554" i="3"/>
  <c r="AH1555" i="3"/>
  <c r="AH1556" i="3"/>
  <c r="AH1557" i="3"/>
  <c r="AH1558" i="3"/>
  <c r="AH1559" i="3"/>
  <c r="AH1560" i="3"/>
  <c r="AH1561" i="3"/>
  <c r="AH1562" i="3"/>
  <c r="AH1563" i="3"/>
  <c r="AH1564" i="3"/>
  <c r="AH1565" i="3"/>
  <c r="AH1566" i="3"/>
  <c r="AH1567" i="3"/>
  <c r="AH1568" i="3"/>
  <c r="AH1569" i="3"/>
  <c r="AH1570" i="3"/>
  <c r="AH1571" i="3"/>
  <c r="AH1572" i="3"/>
  <c r="AH1573" i="3"/>
  <c r="AH1574" i="3"/>
  <c r="AH1575" i="3"/>
  <c r="AH1576" i="3"/>
  <c r="AH1577" i="3"/>
  <c r="AH1578" i="3"/>
  <c r="AH1579" i="3"/>
  <c r="AH1580" i="3"/>
  <c r="AH1581" i="3"/>
  <c r="AH1582" i="3"/>
  <c r="AH1583" i="3"/>
  <c r="AH1584" i="3"/>
  <c r="AH1585" i="3"/>
  <c r="AH1586" i="3"/>
  <c r="AH1587" i="3"/>
  <c r="AH1588" i="3"/>
  <c r="AH1589" i="3"/>
  <c r="AH1590" i="3"/>
  <c r="AH1591" i="3"/>
  <c r="AH1592" i="3"/>
  <c r="AH1593" i="3"/>
  <c r="AH1594" i="3"/>
  <c r="AH1595" i="3"/>
  <c r="AH1596" i="3"/>
  <c r="AH1597" i="3"/>
  <c r="AH1598" i="3"/>
  <c r="AH1599" i="3"/>
  <c r="AH1600" i="3"/>
  <c r="AH1601" i="3"/>
  <c r="AH1602" i="3"/>
  <c r="AH1603" i="3"/>
  <c r="AH1604" i="3"/>
  <c r="AH1605" i="3"/>
  <c r="AH1606" i="3"/>
  <c r="AH1607" i="3"/>
  <c r="AH1608" i="3"/>
  <c r="AH1609" i="3"/>
  <c r="AH1610" i="3"/>
  <c r="AH1611" i="3"/>
  <c r="AH1612" i="3"/>
  <c r="AH1613" i="3"/>
  <c r="AH1614" i="3"/>
  <c r="AH1615" i="3"/>
  <c r="AH1616" i="3"/>
  <c r="AH1617" i="3"/>
  <c r="AH1618" i="3"/>
  <c r="AH1619" i="3"/>
  <c r="AH1620" i="3"/>
  <c r="AH1621" i="3"/>
  <c r="AH1622" i="3"/>
  <c r="AH1623" i="3"/>
  <c r="AH1624" i="3"/>
  <c r="AH1625" i="3"/>
  <c r="AH1626" i="3"/>
  <c r="AH1627" i="3"/>
  <c r="AH1628" i="3"/>
  <c r="AH1629" i="3"/>
  <c r="AH1630" i="3"/>
  <c r="AH1631" i="3"/>
  <c r="AH1632" i="3"/>
  <c r="AH1633" i="3"/>
  <c r="AH1634" i="3"/>
  <c r="AH1635" i="3"/>
  <c r="AH1636" i="3"/>
  <c r="AH1637" i="3"/>
  <c r="AH1638" i="3"/>
  <c r="AH1639" i="3"/>
  <c r="AH1640" i="3"/>
  <c r="AH1641" i="3"/>
  <c r="AH1642" i="3"/>
  <c r="AH1643" i="3"/>
  <c r="AH1644" i="3"/>
  <c r="AH1645" i="3"/>
  <c r="AH1646" i="3"/>
  <c r="AH1647" i="3"/>
  <c r="AH1648" i="3"/>
  <c r="AH1649" i="3"/>
  <c r="AH1650" i="3"/>
  <c r="AH1651" i="3"/>
  <c r="AH1652" i="3"/>
  <c r="AH1653" i="3"/>
  <c r="AH1654" i="3"/>
  <c r="AH1655" i="3"/>
  <c r="AH1656" i="3"/>
  <c r="AH1657" i="3"/>
  <c r="AH1658" i="3"/>
  <c r="AH1659" i="3"/>
  <c r="AH1660" i="3"/>
  <c r="AH1661" i="3"/>
  <c r="AH1662" i="3"/>
  <c r="AH1663" i="3"/>
  <c r="AH1664" i="3"/>
  <c r="AH1665" i="3"/>
  <c r="AH1666" i="3"/>
  <c r="AH1667" i="3"/>
  <c r="AH1668" i="3"/>
  <c r="AH1669" i="3"/>
  <c r="AH1670" i="3"/>
  <c r="AH1671" i="3"/>
  <c r="AH1672" i="3"/>
  <c r="AH1673" i="3"/>
  <c r="AH1674" i="3"/>
  <c r="AH1675" i="3"/>
  <c r="AH1676" i="3"/>
  <c r="AH1677" i="3"/>
  <c r="AH1678" i="3"/>
  <c r="AH1679" i="3"/>
  <c r="AH1680" i="3"/>
  <c r="AH1681" i="3"/>
  <c r="AH1682" i="3"/>
  <c r="AH1683" i="3"/>
  <c r="AH1684" i="3"/>
  <c r="AH1685" i="3"/>
  <c r="AH1686" i="3"/>
  <c r="AH1687" i="3"/>
  <c r="AH1688" i="3"/>
  <c r="AH1689" i="3"/>
  <c r="AH1690" i="3"/>
  <c r="AH1691" i="3"/>
  <c r="AH1692" i="3"/>
  <c r="AH1693" i="3"/>
  <c r="AH1694" i="3"/>
  <c r="AH1695" i="3"/>
  <c r="AH1696" i="3"/>
  <c r="AH1697" i="3"/>
  <c r="AH1698" i="3"/>
  <c r="AH1699" i="3"/>
  <c r="AH1700" i="3"/>
  <c r="AH1701" i="3"/>
  <c r="AH1702" i="3"/>
  <c r="AH1703" i="3"/>
  <c r="AH1704" i="3"/>
  <c r="AH1705" i="3"/>
  <c r="AH1706" i="3"/>
  <c r="AH1707" i="3"/>
  <c r="AH1708" i="3"/>
  <c r="AH1709" i="3"/>
  <c r="AH1710" i="3"/>
  <c r="AH1711" i="3"/>
  <c r="AH1712" i="3"/>
  <c r="AH1713" i="3"/>
  <c r="AH1714" i="3"/>
  <c r="AH1715" i="3"/>
  <c r="AH1716" i="3"/>
  <c r="AH1717" i="3"/>
  <c r="AH1718" i="3"/>
  <c r="AH1719" i="3"/>
  <c r="AH1720" i="3"/>
  <c r="AH1721" i="3"/>
  <c r="AH1722" i="3"/>
  <c r="AH1723" i="3"/>
  <c r="AH1724" i="3"/>
  <c r="AH1725" i="3"/>
  <c r="AH1726" i="3"/>
  <c r="AH1727" i="3"/>
  <c r="AH1728" i="3"/>
  <c r="AH1729" i="3"/>
  <c r="AH1730" i="3"/>
  <c r="AH1731" i="3"/>
  <c r="AH1732" i="3"/>
  <c r="AH1733" i="3"/>
  <c r="AH1734" i="3"/>
  <c r="AH1735" i="3"/>
  <c r="AH1736" i="3"/>
  <c r="AH1737" i="3"/>
  <c r="AH1738" i="3"/>
  <c r="AH1739" i="3"/>
  <c r="AH1740" i="3"/>
  <c r="AH1741" i="3"/>
  <c r="AH1742" i="3"/>
  <c r="AH1743" i="3"/>
  <c r="AH1744" i="3"/>
  <c r="AH1745" i="3"/>
  <c r="AH1746" i="3"/>
  <c r="AH1747" i="3"/>
  <c r="AH1748" i="3"/>
  <c r="AH1749" i="3"/>
  <c r="AH1750" i="3"/>
  <c r="AH1751" i="3"/>
  <c r="AH1752" i="3"/>
  <c r="AH1753" i="3"/>
  <c r="AH1754" i="3"/>
  <c r="AH1755" i="3"/>
  <c r="AH1756" i="3"/>
  <c r="AH1757" i="3"/>
  <c r="AH1758" i="3"/>
  <c r="AH1759" i="3"/>
  <c r="AH1760" i="3"/>
  <c r="AH1761" i="3"/>
  <c r="AH1762" i="3"/>
  <c r="AH1763" i="3"/>
  <c r="AH1764" i="3"/>
  <c r="AH1765" i="3"/>
  <c r="AH1766" i="3"/>
  <c r="AH1767" i="3"/>
  <c r="AH1768" i="3"/>
  <c r="AH1769" i="3"/>
  <c r="AH1770" i="3"/>
  <c r="AH1771" i="3"/>
  <c r="AH1772" i="3"/>
  <c r="AH1773" i="3"/>
  <c r="AH1774" i="3"/>
  <c r="AH1775" i="3"/>
  <c r="AH1776" i="3"/>
  <c r="AH1777" i="3"/>
  <c r="AH1778" i="3"/>
  <c r="AH1779" i="3"/>
  <c r="AH1780" i="3"/>
  <c r="AH1781" i="3"/>
  <c r="AH1782" i="3"/>
  <c r="AH1783" i="3"/>
  <c r="AH1784" i="3"/>
  <c r="AH1785" i="3"/>
  <c r="AH1786" i="3"/>
  <c r="AH1787" i="3"/>
  <c r="AH1788" i="3"/>
  <c r="AH1789" i="3"/>
  <c r="AH1790" i="3"/>
  <c r="AH1791" i="3"/>
  <c r="AH1792" i="3"/>
  <c r="AH1793" i="3"/>
  <c r="AH1794" i="3"/>
  <c r="AH1795" i="3"/>
  <c r="AH1796" i="3"/>
  <c r="AH1797" i="3"/>
  <c r="AH1798" i="3"/>
  <c r="AH1799" i="3"/>
  <c r="AH1800" i="3"/>
  <c r="AH1801" i="3"/>
  <c r="AH1802" i="3"/>
  <c r="AH1803" i="3"/>
  <c r="AH1804" i="3"/>
  <c r="AH1805" i="3"/>
  <c r="AH1806" i="3"/>
  <c r="AH1807" i="3"/>
  <c r="AH1808" i="3"/>
  <c r="AH1809" i="3"/>
  <c r="AH1810" i="3"/>
  <c r="AH1811" i="3"/>
  <c r="AH1812" i="3"/>
  <c r="AH1813" i="3"/>
  <c r="AH1814" i="3"/>
  <c r="AH1815" i="3"/>
  <c r="AH1816" i="3"/>
  <c r="AH1817" i="3"/>
  <c r="AH1818" i="3"/>
  <c r="AH1819" i="3"/>
  <c r="AH1820" i="3"/>
  <c r="AH1821" i="3"/>
  <c r="AH1822" i="3"/>
  <c r="AH1823" i="3"/>
  <c r="AH1824" i="3"/>
  <c r="AH1825" i="3"/>
  <c r="AH1826" i="3"/>
  <c r="AH1827" i="3"/>
  <c r="AH1828" i="3"/>
  <c r="AH1829" i="3"/>
  <c r="AH1830" i="3"/>
  <c r="AH1831" i="3"/>
  <c r="AH1832" i="3"/>
  <c r="AH1833" i="3"/>
  <c r="AH1834" i="3"/>
  <c r="AH1835" i="3"/>
  <c r="AH1836" i="3"/>
  <c r="AH1837" i="3"/>
  <c r="AH1838" i="3"/>
  <c r="AH1839" i="3"/>
  <c r="AH1840" i="3"/>
  <c r="AH1841" i="3"/>
  <c r="AH1842" i="3"/>
  <c r="AH1843" i="3"/>
  <c r="AH1844" i="3"/>
  <c r="AH1845" i="3"/>
  <c r="AH1846" i="3"/>
  <c r="AH1847" i="3"/>
  <c r="AH1848" i="3"/>
  <c r="AH1849" i="3"/>
  <c r="AH1850" i="3"/>
  <c r="AH1851" i="3"/>
  <c r="AH1852" i="3"/>
  <c r="AH1853" i="3"/>
  <c r="AH1854" i="3"/>
  <c r="AH1855" i="3"/>
  <c r="AH1856" i="3"/>
  <c r="AH1857" i="3"/>
  <c r="AH1858" i="3"/>
  <c r="AH1859" i="3"/>
  <c r="AH1860" i="3"/>
  <c r="AH1861" i="3"/>
  <c r="AH1862" i="3"/>
  <c r="AH1863" i="3"/>
  <c r="AH1864" i="3"/>
  <c r="AH1865" i="3"/>
  <c r="AH1866" i="3"/>
  <c r="AH1867" i="3"/>
  <c r="AH1868" i="3"/>
  <c r="AH1869" i="3"/>
  <c r="AH1870" i="3"/>
  <c r="AH1871" i="3"/>
  <c r="AH1872" i="3"/>
  <c r="AH1873" i="3"/>
  <c r="AH1874" i="3"/>
  <c r="AH1875" i="3"/>
  <c r="AH1876" i="3"/>
  <c r="AH1877" i="3"/>
  <c r="AH1878" i="3"/>
  <c r="AH1879" i="3"/>
  <c r="AH1880" i="3"/>
  <c r="AH1881" i="3"/>
  <c r="AH1882" i="3"/>
  <c r="AH1883" i="3"/>
  <c r="AH1884" i="3"/>
  <c r="AH1885" i="3"/>
  <c r="AH1886" i="3"/>
  <c r="AH1887" i="3"/>
  <c r="AH1888" i="3"/>
  <c r="AH1889" i="3"/>
  <c r="AH1890" i="3"/>
  <c r="AH1891" i="3"/>
  <c r="AH1892" i="3"/>
  <c r="AH1893" i="3"/>
  <c r="AH1894" i="3"/>
  <c r="AH1895" i="3"/>
  <c r="AH1896" i="3"/>
  <c r="AH1897" i="3"/>
  <c r="AH1898" i="3"/>
  <c r="AH1899" i="3"/>
  <c r="AH1900" i="3"/>
  <c r="AH1901" i="3"/>
  <c r="AH1902" i="3"/>
  <c r="AH1903" i="3"/>
  <c r="AH1904" i="3"/>
  <c r="AH1905" i="3"/>
  <c r="AH1906" i="3"/>
  <c r="AH1907" i="3"/>
  <c r="AH1908" i="3"/>
  <c r="AH1909" i="3"/>
  <c r="AH1910" i="3"/>
  <c r="AH1911" i="3"/>
  <c r="AH1912" i="3"/>
  <c r="AH1913" i="3"/>
  <c r="AH1914" i="3"/>
  <c r="AH1915" i="3"/>
  <c r="AH1916" i="3"/>
  <c r="AH1917" i="3"/>
  <c r="AH1918" i="3"/>
  <c r="AH1919" i="3"/>
  <c r="AH1920" i="3"/>
  <c r="AH1921" i="3"/>
  <c r="AH1922" i="3"/>
  <c r="AH1923" i="3"/>
  <c r="AH1924" i="3"/>
  <c r="AH1925" i="3"/>
  <c r="AH1926" i="3"/>
  <c r="AH1927" i="3"/>
  <c r="AH1928" i="3"/>
  <c r="AH1929" i="3"/>
  <c r="AH1930" i="3"/>
  <c r="AH1931" i="3"/>
  <c r="AH1932" i="3"/>
  <c r="AH1933" i="3"/>
  <c r="AH1934" i="3"/>
  <c r="AH1935" i="3"/>
  <c r="AH1936" i="3"/>
  <c r="AH1937" i="3"/>
  <c r="AH1938" i="3"/>
  <c r="AH1939" i="3"/>
  <c r="AH1940" i="3"/>
  <c r="AH1941" i="3"/>
  <c r="AH1942" i="3"/>
  <c r="AH1943" i="3"/>
  <c r="AH1944" i="3"/>
  <c r="AH1945" i="3"/>
  <c r="AH1946" i="3"/>
  <c r="AH1947" i="3"/>
  <c r="AH1948" i="3"/>
  <c r="AH1949" i="3"/>
  <c r="AH1950" i="3"/>
  <c r="AH1951" i="3"/>
  <c r="AH1952" i="3"/>
  <c r="AH1953" i="3"/>
  <c r="AH1954" i="3"/>
  <c r="AH1955" i="3"/>
  <c r="AH1956" i="3"/>
  <c r="AH1957" i="3"/>
  <c r="AH1958" i="3"/>
  <c r="AH1959" i="3"/>
  <c r="AH1960" i="3"/>
  <c r="AH1961" i="3"/>
  <c r="AH1962" i="3"/>
  <c r="AH1963" i="3"/>
  <c r="AH1964" i="3"/>
  <c r="AH1965" i="3"/>
  <c r="AH1966" i="3"/>
  <c r="AH1967" i="3"/>
  <c r="AH1968" i="3"/>
  <c r="AH1969" i="3"/>
  <c r="AH1970" i="3"/>
  <c r="AH1971" i="3"/>
  <c r="AH1972" i="3"/>
  <c r="AH1973" i="3"/>
  <c r="AH1974" i="3"/>
  <c r="AH1975" i="3"/>
  <c r="AH1976" i="3"/>
  <c r="AH1977" i="3"/>
  <c r="AH1978" i="3"/>
  <c r="AH1979" i="3"/>
  <c r="AH1980" i="3"/>
  <c r="AH1981" i="3"/>
  <c r="AH1982" i="3"/>
  <c r="AH1983" i="3"/>
  <c r="AH1984" i="3"/>
  <c r="AH1985" i="3"/>
  <c r="AH1986" i="3"/>
  <c r="AH1987" i="3"/>
  <c r="AH1988" i="3"/>
  <c r="AH1989" i="3"/>
  <c r="AH1990" i="3"/>
  <c r="AH1991" i="3"/>
  <c r="AH1992" i="3"/>
  <c r="AH1993" i="3"/>
  <c r="AH1994" i="3"/>
  <c r="AH1995" i="3"/>
  <c r="AH1996" i="3"/>
  <c r="AH1997" i="3"/>
  <c r="AH1998" i="3"/>
  <c r="AH1999" i="3"/>
  <c r="AH2000" i="3"/>
  <c r="AH2001" i="3"/>
  <c r="AH2002" i="3"/>
  <c r="AH2003" i="3"/>
  <c r="AH2004" i="3"/>
  <c r="AH2005" i="3"/>
  <c r="AH2006" i="3"/>
  <c r="AH2007" i="3"/>
  <c r="AH2008" i="3"/>
  <c r="AH2009" i="3"/>
  <c r="AH2010" i="3"/>
  <c r="AH2011" i="3"/>
  <c r="AH2012" i="3"/>
  <c r="AH2013" i="3"/>
  <c r="AH2014" i="3"/>
  <c r="AH2015" i="3"/>
  <c r="AH2016" i="3"/>
  <c r="AH2017" i="3"/>
  <c r="AH2018" i="3"/>
  <c r="AH2019" i="3"/>
  <c r="AH2020" i="3"/>
  <c r="AH2021" i="3"/>
  <c r="AH2022" i="3"/>
  <c r="AH2023" i="3"/>
  <c r="AH2024" i="3"/>
  <c r="AH2025" i="3"/>
  <c r="AH2026" i="3"/>
  <c r="AH2027" i="3"/>
  <c r="AH2028" i="3"/>
  <c r="AH2029" i="3"/>
  <c r="AH2030" i="3"/>
  <c r="AH2031" i="3"/>
  <c r="AH2032" i="3"/>
  <c r="AH2033" i="3"/>
  <c r="AH2034" i="3"/>
  <c r="AH2035" i="3"/>
  <c r="AH2036" i="3"/>
  <c r="AH2037" i="3"/>
  <c r="AH2038" i="3"/>
  <c r="AH2039" i="3"/>
  <c r="AH2040" i="3"/>
  <c r="AH2041" i="3"/>
  <c r="AH2042" i="3"/>
  <c r="AH2043" i="3"/>
  <c r="AH2044" i="3"/>
  <c r="AH2045" i="3"/>
  <c r="AH2046" i="3"/>
  <c r="AH2047" i="3"/>
  <c r="AH2048" i="3"/>
  <c r="AH2049" i="3"/>
  <c r="AH2050" i="3"/>
  <c r="AH2051" i="3"/>
  <c r="AH2052" i="3"/>
  <c r="AH2053" i="3"/>
  <c r="AH2054" i="3"/>
  <c r="AH2055" i="3"/>
  <c r="AH2056" i="3"/>
  <c r="AH2057" i="3"/>
  <c r="AH2058" i="3"/>
  <c r="AH2059" i="3"/>
  <c r="AH2060" i="3"/>
  <c r="AH2061" i="3"/>
  <c r="AH2062" i="3"/>
  <c r="AH2063" i="3"/>
  <c r="AH2064" i="3"/>
  <c r="AH2065" i="3"/>
  <c r="AH2066" i="3"/>
  <c r="AH2067" i="3"/>
  <c r="AH2068" i="3"/>
  <c r="AH2069" i="3"/>
  <c r="AH2070" i="3"/>
  <c r="AH2071" i="3"/>
  <c r="AH2072" i="3"/>
  <c r="AH2073" i="3"/>
  <c r="AH2074" i="3"/>
  <c r="AH2075" i="3"/>
  <c r="AH2076" i="3"/>
  <c r="AH2077" i="3"/>
  <c r="AH2078" i="3"/>
  <c r="AH2079" i="3"/>
  <c r="AH2080" i="3"/>
  <c r="AH2081" i="3"/>
  <c r="AH2082" i="3"/>
  <c r="AH2083" i="3"/>
  <c r="AH2084" i="3"/>
  <c r="AH2085" i="3"/>
  <c r="AH2086" i="3"/>
  <c r="AH2087" i="3"/>
  <c r="AH2088" i="3"/>
  <c r="AH2089" i="3"/>
  <c r="AH2090" i="3"/>
  <c r="AH2091" i="3"/>
  <c r="AH2092" i="3"/>
  <c r="AH2093" i="3"/>
  <c r="AH2094" i="3"/>
  <c r="AH2095" i="3"/>
  <c r="AH2096" i="3"/>
  <c r="AH2097" i="3"/>
  <c r="AH2098" i="3"/>
  <c r="AH2099" i="3"/>
  <c r="AH2100" i="3"/>
  <c r="AH2101" i="3"/>
  <c r="AH2102" i="3"/>
  <c r="AH2103" i="3"/>
  <c r="AH2104" i="3"/>
  <c r="AH2105" i="3"/>
  <c r="AH2106" i="3"/>
  <c r="AH2107" i="3"/>
  <c r="AH2108" i="3"/>
  <c r="AH2109" i="3"/>
  <c r="AH2110" i="3"/>
  <c r="AH2111" i="3"/>
  <c r="AH2112" i="3"/>
  <c r="AH2113" i="3"/>
  <c r="AH2114" i="3"/>
  <c r="AH2115" i="3"/>
  <c r="AH2116" i="3"/>
  <c r="AH2117" i="3"/>
  <c r="AH2118" i="3"/>
  <c r="AH2119" i="3"/>
  <c r="AH2120" i="3"/>
  <c r="AH2121" i="3"/>
  <c r="AH2122" i="3"/>
  <c r="AH2123" i="3"/>
  <c r="AH2124" i="3"/>
  <c r="AH2125" i="3"/>
  <c r="AH2126" i="3"/>
  <c r="AH2127" i="3"/>
  <c r="AH2128" i="3"/>
  <c r="AH2129" i="3"/>
  <c r="AH2130" i="3"/>
  <c r="AH2131" i="3"/>
  <c r="AH2132" i="3"/>
  <c r="AH2133" i="3"/>
  <c r="AH2134" i="3"/>
  <c r="AH2135" i="3"/>
  <c r="AH2136" i="3"/>
  <c r="AH2137" i="3"/>
  <c r="AH2138" i="3"/>
  <c r="AH2139" i="3"/>
  <c r="AH2140" i="3"/>
  <c r="AH2141" i="3"/>
  <c r="AH2142" i="3"/>
  <c r="AH2143" i="3"/>
  <c r="AH2144" i="3"/>
  <c r="AH2145" i="3"/>
  <c r="AH2146" i="3"/>
  <c r="AH2147" i="3"/>
  <c r="AH2148" i="3"/>
  <c r="AH2149" i="3"/>
  <c r="AH2150" i="3"/>
  <c r="AH2151" i="3"/>
  <c r="AH2152" i="3"/>
  <c r="AH2153" i="3"/>
  <c r="AH2154" i="3"/>
  <c r="AH2155" i="3"/>
  <c r="AH2156" i="3"/>
  <c r="AH2157" i="3"/>
  <c r="AH2158" i="3"/>
  <c r="AH2159" i="3"/>
  <c r="AH2160" i="3"/>
  <c r="AH2161" i="3"/>
  <c r="AH2162" i="3"/>
  <c r="AH2163" i="3"/>
  <c r="AH2164" i="3"/>
  <c r="AH2165" i="3"/>
  <c r="AH2166" i="3"/>
  <c r="AH2167" i="3"/>
  <c r="AH2168" i="3"/>
  <c r="AH2169" i="3"/>
  <c r="AH2170" i="3"/>
  <c r="AH2171" i="3"/>
  <c r="AH2172" i="3"/>
  <c r="AH2173" i="3"/>
  <c r="AH2174" i="3"/>
  <c r="AH2175" i="3"/>
  <c r="AH2176" i="3"/>
  <c r="AH2177" i="3"/>
  <c r="AH2178" i="3"/>
  <c r="AH2179" i="3"/>
  <c r="AH2180" i="3"/>
  <c r="AH2181" i="3"/>
  <c r="AH2182" i="3"/>
  <c r="AH2183" i="3"/>
  <c r="AH2184" i="3"/>
  <c r="AH2185" i="3"/>
  <c r="AH2186" i="3"/>
  <c r="AH2187" i="3"/>
  <c r="AH2188" i="3"/>
  <c r="AH2189" i="3"/>
  <c r="AH2190" i="3"/>
  <c r="AH2191" i="3"/>
  <c r="AH2192" i="3"/>
  <c r="AH2193" i="3"/>
  <c r="AH2194" i="3"/>
  <c r="AH2195" i="3"/>
  <c r="AH2196" i="3"/>
  <c r="AH2197" i="3"/>
  <c r="AH2198" i="3"/>
  <c r="AH2199" i="3"/>
  <c r="AH2200" i="3"/>
  <c r="AH2201" i="3"/>
  <c r="AH2202" i="3"/>
  <c r="AH2203" i="3"/>
  <c r="AH2204" i="3"/>
  <c r="AH2205" i="3"/>
  <c r="AH2206" i="3"/>
  <c r="AH2207" i="3"/>
  <c r="AH2208" i="3"/>
  <c r="AH2209" i="3"/>
  <c r="AH2210" i="3"/>
  <c r="AH2211" i="3"/>
  <c r="AH2212" i="3"/>
  <c r="AH2213" i="3"/>
  <c r="AH2214" i="3"/>
  <c r="AH2215" i="3"/>
  <c r="AH2216" i="3"/>
  <c r="AH2217" i="3"/>
  <c r="AH2218" i="3"/>
  <c r="AH2219" i="3"/>
  <c r="AH2220" i="3"/>
  <c r="AH2221" i="3"/>
  <c r="AH2222" i="3"/>
  <c r="AH2223" i="3"/>
  <c r="AH2224" i="3"/>
  <c r="AH2225" i="3"/>
  <c r="AH2226" i="3"/>
  <c r="AH2227" i="3"/>
  <c r="AH2228" i="3"/>
  <c r="AH2229" i="3"/>
  <c r="AH2230" i="3"/>
  <c r="AH2231" i="3"/>
  <c r="AH2232" i="3"/>
  <c r="AH2233" i="3"/>
  <c r="AH2234" i="3"/>
  <c r="AH2235" i="3"/>
  <c r="AH2236" i="3"/>
  <c r="AH2237" i="3"/>
  <c r="AH2238" i="3"/>
  <c r="AH2239" i="3"/>
  <c r="AH2240" i="3"/>
  <c r="AH2241" i="3"/>
  <c r="AG2241" i="3"/>
  <c r="AG2240" i="3"/>
  <c r="AG2239" i="3"/>
  <c r="AG2238" i="3"/>
  <c r="AG2237" i="3"/>
  <c r="AG2236" i="3"/>
  <c r="AG2235" i="3"/>
  <c r="AG2234" i="3"/>
  <c r="AG2233" i="3"/>
  <c r="AG2232" i="3"/>
  <c r="AG2231" i="3"/>
  <c r="AG2230" i="3"/>
  <c r="AG2229" i="3"/>
  <c r="AG2228" i="3"/>
  <c r="AG2227" i="3"/>
  <c r="AG2226" i="3"/>
  <c r="AG2225" i="3"/>
  <c r="AG2224" i="3"/>
  <c r="AG2223" i="3"/>
  <c r="AG2222" i="3"/>
  <c r="AG2221" i="3"/>
  <c r="AG2220" i="3"/>
  <c r="AG2219" i="3"/>
  <c r="AG2218" i="3"/>
  <c r="AG2217" i="3"/>
  <c r="AG2216" i="3"/>
  <c r="AG2215" i="3"/>
  <c r="AG2214" i="3"/>
  <c r="AG2213" i="3"/>
  <c r="AG2212" i="3"/>
  <c r="AG2211" i="3"/>
  <c r="AG2210" i="3"/>
  <c r="AG2209" i="3"/>
  <c r="AG2208" i="3"/>
  <c r="AG2207" i="3"/>
  <c r="AG2206" i="3"/>
  <c r="AG2205" i="3"/>
  <c r="AG2204" i="3"/>
  <c r="AG2203" i="3"/>
  <c r="AG2202" i="3"/>
  <c r="AG2201" i="3"/>
  <c r="AG2200" i="3"/>
  <c r="AG2199" i="3"/>
  <c r="AG2198" i="3"/>
  <c r="AG2197" i="3"/>
  <c r="AG2196" i="3"/>
  <c r="AG2195" i="3"/>
  <c r="AG2194" i="3"/>
  <c r="AG2193" i="3"/>
  <c r="AG2192" i="3"/>
  <c r="AG2191" i="3"/>
  <c r="AG2190" i="3"/>
  <c r="AG2189" i="3"/>
  <c r="AG2188" i="3"/>
  <c r="AG2187" i="3"/>
  <c r="AG2186" i="3"/>
  <c r="AG2185" i="3"/>
  <c r="AG2184" i="3"/>
  <c r="AG2183" i="3"/>
  <c r="AG2182" i="3"/>
  <c r="AG2181" i="3"/>
  <c r="AG2180" i="3"/>
  <c r="AG2179" i="3"/>
  <c r="AG2178" i="3"/>
  <c r="AG2177" i="3"/>
  <c r="AG2176" i="3"/>
  <c r="AG2175" i="3"/>
  <c r="AG2174" i="3"/>
  <c r="AG2173" i="3"/>
  <c r="AG2172" i="3"/>
  <c r="AG2171" i="3"/>
  <c r="AG2170" i="3"/>
  <c r="AG2169" i="3"/>
  <c r="AG2168" i="3"/>
  <c r="AG2167" i="3"/>
  <c r="AG2166" i="3"/>
  <c r="AG2165" i="3"/>
  <c r="AG2164" i="3"/>
  <c r="AG2163" i="3"/>
  <c r="AG2162" i="3"/>
  <c r="AG2161" i="3"/>
  <c r="AG2160" i="3"/>
  <c r="AG2159" i="3"/>
  <c r="AG2158" i="3"/>
  <c r="AG2157" i="3"/>
  <c r="AG2156" i="3"/>
  <c r="AG2155" i="3"/>
  <c r="AG2154" i="3"/>
  <c r="AG2153" i="3"/>
  <c r="AG2152" i="3"/>
  <c r="AG2151" i="3"/>
  <c r="AG2150" i="3"/>
  <c r="AG2149" i="3"/>
  <c r="AG2148" i="3"/>
  <c r="AG2147" i="3"/>
  <c r="AG2146" i="3"/>
  <c r="AG2145" i="3"/>
  <c r="AG2144" i="3"/>
  <c r="AG2143" i="3"/>
  <c r="AG2142" i="3"/>
  <c r="AG2141" i="3"/>
  <c r="AG2140" i="3"/>
  <c r="AG2139" i="3"/>
  <c r="AG2138" i="3"/>
  <c r="AG2137" i="3"/>
  <c r="AG2136" i="3"/>
  <c r="AG2135" i="3"/>
  <c r="AG2134" i="3"/>
  <c r="AG2133" i="3"/>
  <c r="AG2132" i="3"/>
  <c r="AG2131" i="3"/>
  <c r="AG2130" i="3"/>
  <c r="AG2129" i="3"/>
  <c r="AG2128" i="3"/>
  <c r="AG2127" i="3"/>
  <c r="AG2126" i="3"/>
  <c r="AG2125" i="3"/>
  <c r="AG2124" i="3"/>
  <c r="AG2123" i="3"/>
  <c r="AG2122" i="3"/>
  <c r="AG2121" i="3"/>
  <c r="AG2120" i="3"/>
  <c r="AG2119" i="3"/>
  <c r="AG2118" i="3"/>
  <c r="AG2117" i="3"/>
  <c r="AG2116" i="3"/>
  <c r="AG2115" i="3"/>
  <c r="AG2114" i="3"/>
  <c r="AG2113" i="3"/>
  <c r="AG2112" i="3"/>
  <c r="AG2111" i="3"/>
  <c r="AG2110" i="3"/>
  <c r="AG2109" i="3"/>
  <c r="AG2108" i="3"/>
  <c r="AG2107" i="3"/>
  <c r="AG2106" i="3"/>
  <c r="AG2105" i="3"/>
  <c r="AG2104" i="3"/>
  <c r="AG2103" i="3"/>
  <c r="AG2102" i="3"/>
  <c r="AG2101" i="3"/>
  <c r="AG2100" i="3"/>
  <c r="AG2099" i="3"/>
  <c r="AG2098" i="3"/>
  <c r="AG2097" i="3"/>
  <c r="AG2096" i="3"/>
  <c r="AG2095" i="3"/>
  <c r="AG2094" i="3"/>
  <c r="AG2093" i="3"/>
  <c r="AG2092" i="3"/>
  <c r="AG2091" i="3"/>
  <c r="AG2090" i="3"/>
  <c r="AG2089" i="3"/>
  <c r="AG2088" i="3"/>
  <c r="AG2087" i="3"/>
  <c r="AG2086" i="3"/>
  <c r="AG2085" i="3"/>
  <c r="AG2084" i="3"/>
  <c r="AG2083" i="3"/>
  <c r="AG2082" i="3"/>
  <c r="AG2081" i="3"/>
  <c r="AG2080" i="3"/>
  <c r="AG2079" i="3"/>
  <c r="AG2078" i="3"/>
  <c r="AG2077" i="3"/>
  <c r="AG2076" i="3"/>
  <c r="AG2075" i="3"/>
  <c r="AG2074" i="3"/>
  <c r="AG2073" i="3"/>
  <c r="AG2072" i="3"/>
  <c r="AG2071" i="3"/>
  <c r="AG2070" i="3"/>
  <c r="AG2069" i="3"/>
  <c r="AG2068" i="3"/>
  <c r="AG2067" i="3"/>
  <c r="AG2066" i="3"/>
  <c r="AG2065" i="3"/>
  <c r="AG2064" i="3"/>
  <c r="AG2063" i="3"/>
  <c r="AG2062" i="3"/>
  <c r="AG2061" i="3"/>
  <c r="AG2060" i="3"/>
  <c r="AG2059" i="3"/>
  <c r="AG2058" i="3"/>
  <c r="AG2057" i="3"/>
  <c r="AG2056" i="3"/>
  <c r="AG2055" i="3"/>
  <c r="AG2054" i="3"/>
  <c r="AG2053" i="3"/>
  <c r="AG2052" i="3"/>
  <c r="AG2051" i="3"/>
  <c r="AG2050" i="3"/>
  <c r="AG2049" i="3"/>
  <c r="AG2048" i="3"/>
  <c r="AG2047" i="3"/>
  <c r="AG2046" i="3"/>
  <c r="AG2045" i="3"/>
  <c r="AG2044" i="3"/>
  <c r="AG2043" i="3"/>
  <c r="AG2042" i="3"/>
  <c r="AG2041" i="3"/>
  <c r="AG2040" i="3"/>
  <c r="AG2039" i="3"/>
  <c r="AG2038" i="3"/>
  <c r="AG2037" i="3"/>
  <c r="AG2036" i="3"/>
  <c r="AG2035" i="3"/>
  <c r="AG2034" i="3"/>
  <c r="AG2033" i="3"/>
  <c r="AG2032" i="3"/>
  <c r="AG2031" i="3"/>
  <c r="AG2030" i="3"/>
  <c r="AG2029" i="3"/>
  <c r="AG2028" i="3"/>
  <c r="AG2027" i="3"/>
  <c r="AG2026" i="3"/>
  <c r="AG2025" i="3"/>
  <c r="AG2024" i="3"/>
  <c r="AG2023" i="3"/>
  <c r="AG2022" i="3"/>
  <c r="AG2021" i="3"/>
  <c r="AG2020" i="3"/>
  <c r="AG2019" i="3"/>
  <c r="AG2018" i="3"/>
  <c r="AG2017" i="3"/>
  <c r="AG2016" i="3"/>
  <c r="AG2015" i="3"/>
  <c r="AG2014" i="3"/>
  <c r="AG2013" i="3"/>
  <c r="AG2012" i="3"/>
  <c r="AG2011" i="3"/>
  <c r="AG2010" i="3"/>
  <c r="AG2009" i="3"/>
  <c r="AG2008" i="3"/>
  <c r="AG2007" i="3"/>
  <c r="AG2006" i="3"/>
  <c r="AG2005" i="3"/>
  <c r="AG2004" i="3"/>
  <c r="AG2003" i="3"/>
  <c r="AG2002" i="3"/>
  <c r="AG2001" i="3"/>
  <c r="AG2000" i="3"/>
  <c r="AG1999" i="3"/>
  <c r="AG1998" i="3"/>
  <c r="AG1997" i="3"/>
  <c r="AG1996" i="3"/>
  <c r="AG1995" i="3"/>
  <c r="AG1994" i="3"/>
  <c r="AG1993" i="3"/>
  <c r="AG1992" i="3"/>
  <c r="AG1991" i="3"/>
  <c r="AG1990" i="3"/>
  <c r="AG1989" i="3"/>
  <c r="AG1988" i="3"/>
  <c r="AG1987" i="3"/>
  <c r="AG1986" i="3"/>
  <c r="AG1985" i="3"/>
  <c r="AG1984" i="3"/>
  <c r="AG1983" i="3"/>
  <c r="AG1982" i="3"/>
  <c r="AG1981" i="3"/>
  <c r="AG1980" i="3"/>
  <c r="AG1979" i="3"/>
  <c r="AG1978" i="3"/>
  <c r="AG1977" i="3"/>
  <c r="AG1976" i="3"/>
  <c r="AG1975" i="3"/>
  <c r="AG1974" i="3"/>
  <c r="AG1973" i="3"/>
  <c r="AG1972" i="3"/>
  <c r="AG1971" i="3"/>
  <c r="AG1970" i="3"/>
  <c r="AG1969" i="3"/>
  <c r="AG1968" i="3"/>
  <c r="AG1967" i="3"/>
  <c r="AG1966" i="3"/>
  <c r="AG1965" i="3"/>
  <c r="AG1964" i="3"/>
  <c r="AG1963" i="3"/>
  <c r="AG1962" i="3"/>
  <c r="AG1961" i="3"/>
  <c r="AG1960" i="3"/>
  <c r="AG1959" i="3"/>
  <c r="AG1958" i="3"/>
  <c r="AG1957" i="3"/>
  <c r="AG1956" i="3"/>
  <c r="AG1955" i="3"/>
  <c r="AG1954" i="3"/>
  <c r="AG1953" i="3"/>
  <c r="AG1952" i="3"/>
  <c r="AG1951" i="3"/>
  <c r="AG1950" i="3"/>
  <c r="AG1949" i="3"/>
  <c r="AG1948" i="3"/>
  <c r="AG1947" i="3"/>
  <c r="AG1946" i="3"/>
  <c r="AG1945" i="3"/>
  <c r="AG1944" i="3"/>
  <c r="AG1943" i="3"/>
  <c r="AG1942" i="3"/>
  <c r="AG1941" i="3"/>
  <c r="AG1940" i="3"/>
  <c r="AG1939" i="3"/>
  <c r="AG1938" i="3"/>
  <c r="AG1937" i="3"/>
  <c r="AG1936" i="3"/>
  <c r="AG1935" i="3"/>
  <c r="AG1934" i="3"/>
  <c r="AG1933" i="3"/>
  <c r="AG1932" i="3"/>
  <c r="AG1931" i="3"/>
  <c r="AG1930" i="3"/>
  <c r="AG1929" i="3"/>
  <c r="AG1928" i="3"/>
  <c r="AG1927" i="3"/>
  <c r="AG1926" i="3"/>
  <c r="AG1925" i="3"/>
  <c r="AG1924" i="3"/>
  <c r="AG1923" i="3"/>
  <c r="AG1922" i="3"/>
  <c r="AG1921" i="3"/>
  <c r="AG1920" i="3"/>
  <c r="AG1919" i="3"/>
  <c r="AG1918" i="3"/>
  <c r="AG1917" i="3"/>
  <c r="AG1916" i="3"/>
  <c r="AG1915" i="3"/>
  <c r="AG1914" i="3"/>
  <c r="AG1913" i="3"/>
  <c r="AG1912" i="3"/>
  <c r="AG1911" i="3"/>
  <c r="AG1910" i="3"/>
  <c r="AG1909" i="3"/>
  <c r="AG1908" i="3"/>
  <c r="AG1907" i="3"/>
  <c r="AG1906" i="3"/>
  <c r="AG1905" i="3"/>
  <c r="AG1904" i="3"/>
  <c r="AG1903" i="3"/>
  <c r="AG1902" i="3"/>
  <c r="AG1901" i="3"/>
  <c r="AG1900" i="3"/>
  <c r="AG1899" i="3"/>
  <c r="AG1898" i="3"/>
  <c r="AG1897" i="3"/>
  <c r="AG1896" i="3"/>
  <c r="AG1895" i="3"/>
  <c r="AG1894" i="3"/>
  <c r="AG1893" i="3"/>
  <c r="AG1892" i="3"/>
  <c r="AG1891" i="3"/>
  <c r="AG1890" i="3"/>
  <c r="AG1889" i="3"/>
  <c r="AG1888" i="3"/>
  <c r="AG1887" i="3"/>
  <c r="AG1886" i="3"/>
  <c r="AG1885" i="3"/>
  <c r="AG1884" i="3"/>
  <c r="AG1883" i="3"/>
  <c r="AG1882" i="3"/>
  <c r="AG1881" i="3"/>
  <c r="AG1880" i="3"/>
  <c r="AG1879" i="3"/>
  <c r="AG1878" i="3"/>
  <c r="AG1877" i="3"/>
  <c r="AG1876" i="3"/>
  <c r="AG1875" i="3"/>
  <c r="AG1874" i="3"/>
  <c r="AG1873" i="3"/>
  <c r="AG1872" i="3"/>
  <c r="AG1871" i="3"/>
  <c r="AG1870" i="3"/>
  <c r="AG1869" i="3"/>
  <c r="AG1868" i="3"/>
  <c r="AG1867" i="3"/>
  <c r="AG1866" i="3"/>
  <c r="AG1865" i="3"/>
  <c r="AG1864" i="3"/>
  <c r="AG1863" i="3"/>
  <c r="AG1862" i="3"/>
  <c r="AG1861" i="3"/>
  <c r="AG1860" i="3"/>
  <c r="AG1859" i="3"/>
  <c r="AG1858" i="3"/>
  <c r="AG1857" i="3"/>
  <c r="AG1856" i="3"/>
  <c r="AG1855" i="3"/>
  <c r="AG1854" i="3"/>
  <c r="AG1853" i="3"/>
  <c r="AG1852" i="3"/>
  <c r="AG1851" i="3"/>
  <c r="AG1850" i="3"/>
  <c r="AG1849" i="3"/>
  <c r="AG1848" i="3"/>
  <c r="AG1847" i="3"/>
  <c r="AG1846" i="3"/>
  <c r="AG1845" i="3"/>
  <c r="AG1844" i="3"/>
  <c r="AG1843" i="3"/>
  <c r="AG1842" i="3"/>
  <c r="AG1841" i="3"/>
  <c r="AG1840" i="3"/>
  <c r="AG1839" i="3"/>
  <c r="AG1838" i="3"/>
  <c r="AG1837" i="3"/>
  <c r="AG1836" i="3"/>
  <c r="AG1835" i="3"/>
  <c r="AG1834" i="3"/>
  <c r="AG1833" i="3"/>
  <c r="AG1832" i="3"/>
  <c r="AG1831" i="3"/>
  <c r="AG1830" i="3"/>
  <c r="AG1829" i="3"/>
  <c r="AG1828" i="3"/>
  <c r="AG1827" i="3"/>
  <c r="AG1826" i="3"/>
  <c r="AG1825" i="3"/>
  <c r="AG1824" i="3"/>
  <c r="AG1823" i="3"/>
  <c r="AG1822" i="3"/>
  <c r="AG1821" i="3"/>
  <c r="AG1820" i="3"/>
  <c r="AG1819" i="3"/>
  <c r="AG1818" i="3"/>
  <c r="AG1817" i="3"/>
  <c r="AG1816" i="3"/>
  <c r="AG1815" i="3"/>
  <c r="AG1814" i="3"/>
  <c r="AG1813" i="3"/>
  <c r="AG1812" i="3"/>
  <c r="AG1811" i="3"/>
  <c r="AG1810" i="3"/>
  <c r="AG1809" i="3"/>
  <c r="AG1808" i="3"/>
  <c r="AG1807" i="3"/>
  <c r="AG1806" i="3"/>
  <c r="AG1805" i="3"/>
  <c r="AG1804" i="3"/>
  <c r="AG1803" i="3"/>
  <c r="AG1802" i="3"/>
  <c r="AG1801" i="3"/>
  <c r="AG1800" i="3"/>
  <c r="AG1799" i="3"/>
  <c r="AG1798" i="3"/>
  <c r="AG1797" i="3"/>
  <c r="AG1796" i="3"/>
  <c r="AG1795" i="3"/>
  <c r="AG1794" i="3"/>
  <c r="AG1793" i="3"/>
  <c r="AG1792" i="3"/>
  <c r="AG1791" i="3"/>
  <c r="AG1790" i="3"/>
  <c r="AG1789" i="3"/>
  <c r="AG1788" i="3"/>
  <c r="AG1787" i="3"/>
  <c r="AG1786" i="3"/>
  <c r="AG1785" i="3"/>
  <c r="AG1784" i="3"/>
  <c r="AG1783" i="3"/>
  <c r="AG1782" i="3"/>
  <c r="AG1781" i="3"/>
  <c r="AG1780" i="3"/>
  <c r="AG1779" i="3"/>
  <c r="AG1778" i="3"/>
  <c r="AG1777" i="3"/>
  <c r="AG1776" i="3"/>
  <c r="AG1775" i="3"/>
  <c r="AG1774" i="3"/>
  <c r="AG1773" i="3"/>
  <c r="AG1772" i="3"/>
  <c r="AG1771" i="3"/>
  <c r="AG1770" i="3"/>
  <c r="AG1769" i="3"/>
  <c r="AG1768" i="3"/>
  <c r="AG1767" i="3"/>
  <c r="AG1766" i="3"/>
  <c r="AG1765" i="3"/>
  <c r="AG1764" i="3"/>
  <c r="AG1763" i="3"/>
  <c r="AG1762" i="3"/>
  <c r="AG1761" i="3"/>
  <c r="AG1760" i="3"/>
  <c r="AG1759" i="3"/>
  <c r="AG1758" i="3"/>
  <c r="AG1757" i="3"/>
  <c r="AG1756" i="3"/>
  <c r="AG1755" i="3"/>
  <c r="AG1754" i="3"/>
  <c r="AG1753" i="3"/>
  <c r="AG1752" i="3"/>
  <c r="AG1751" i="3"/>
  <c r="AG1750" i="3"/>
  <c r="AG1749" i="3"/>
  <c r="AG1748" i="3"/>
  <c r="AG1747" i="3"/>
  <c r="AG1746" i="3"/>
  <c r="AG1745" i="3"/>
  <c r="AG1744" i="3"/>
  <c r="AG1743" i="3"/>
  <c r="AG1742" i="3"/>
  <c r="AG1741" i="3"/>
  <c r="AG1740" i="3"/>
  <c r="AG1739" i="3"/>
  <c r="AG1738" i="3"/>
  <c r="AG1737" i="3"/>
  <c r="AG1736" i="3"/>
  <c r="AG1735" i="3"/>
  <c r="AG1734" i="3"/>
  <c r="AG1733" i="3"/>
  <c r="AG1732" i="3"/>
  <c r="AG1731" i="3"/>
  <c r="AG1730" i="3"/>
  <c r="AG1729" i="3"/>
  <c r="AG1728" i="3"/>
  <c r="AG1727" i="3"/>
  <c r="AG1726" i="3"/>
  <c r="AG1725" i="3"/>
  <c r="AG1724" i="3"/>
  <c r="AG1723" i="3"/>
  <c r="AG1722" i="3"/>
  <c r="AG1721" i="3"/>
  <c r="AG1720" i="3"/>
  <c r="AG1719" i="3"/>
  <c r="AG1718" i="3"/>
  <c r="AG1717" i="3"/>
  <c r="AG1716" i="3"/>
  <c r="AG1715" i="3"/>
  <c r="AG1714" i="3"/>
  <c r="AG1713" i="3"/>
  <c r="AG1712" i="3"/>
  <c r="AG1711" i="3"/>
  <c r="AG1710" i="3"/>
  <c r="AG1709" i="3"/>
  <c r="AG1708" i="3"/>
  <c r="AG1707" i="3"/>
  <c r="AG1706" i="3"/>
  <c r="AG1705" i="3"/>
  <c r="AG1704" i="3"/>
  <c r="AG1703" i="3"/>
  <c r="AG1702" i="3"/>
  <c r="AG1701" i="3"/>
  <c r="AG1700" i="3"/>
  <c r="AG1699" i="3"/>
  <c r="AG1698" i="3"/>
  <c r="AG1697" i="3"/>
  <c r="AG1696" i="3"/>
  <c r="AG1695" i="3"/>
  <c r="AG1694" i="3"/>
  <c r="AG1693" i="3"/>
  <c r="AG1692" i="3"/>
  <c r="AG1691" i="3"/>
  <c r="AG1690" i="3"/>
  <c r="AG1689" i="3"/>
  <c r="AG1688" i="3"/>
  <c r="AG1687" i="3"/>
  <c r="AG1686" i="3"/>
  <c r="AG1685" i="3"/>
  <c r="AG1684" i="3"/>
  <c r="AG1683" i="3"/>
  <c r="AG1682" i="3"/>
  <c r="AG1681" i="3"/>
  <c r="AG1680" i="3"/>
  <c r="AG1679" i="3"/>
  <c r="AG1678" i="3"/>
  <c r="AG1677" i="3"/>
  <c r="AG1676" i="3"/>
  <c r="AG1675" i="3"/>
  <c r="AG1674" i="3"/>
  <c r="AG1673" i="3"/>
  <c r="AG1672" i="3"/>
  <c r="AG1671" i="3"/>
  <c r="AG1670" i="3"/>
  <c r="AG1669" i="3"/>
  <c r="AG1668" i="3"/>
  <c r="AG1667" i="3"/>
  <c r="AG1666" i="3"/>
  <c r="AG1665" i="3"/>
  <c r="AG1664" i="3"/>
  <c r="AG1663" i="3"/>
  <c r="AG1662" i="3"/>
  <c r="AG1661" i="3"/>
  <c r="AG1660" i="3"/>
  <c r="AG1659" i="3"/>
  <c r="AG1658" i="3"/>
  <c r="AG1657" i="3"/>
  <c r="AG1656" i="3"/>
  <c r="AG1655" i="3"/>
  <c r="AG1654" i="3"/>
  <c r="AG1653" i="3"/>
  <c r="AG1652" i="3"/>
  <c r="AG1651" i="3"/>
  <c r="AG1650" i="3"/>
  <c r="AG1649" i="3"/>
  <c r="AG1648" i="3"/>
  <c r="AG1647" i="3"/>
  <c r="AG1646" i="3"/>
  <c r="AG1645" i="3"/>
  <c r="AG1644" i="3"/>
  <c r="AG1643" i="3"/>
  <c r="AG1642" i="3"/>
  <c r="AG1641" i="3"/>
  <c r="AG1640" i="3"/>
  <c r="AG1639" i="3"/>
  <c r="AG1638" i="3"/>
  <c r="AG1637" i="3"/>
  <c r="AG1636" i="3"/>
  <c r="AG1635" i="3"/>
  <c r="AG1634" i="3"/>
  <c r="AG1633" i="3"/>
  <c r="AG1632" i="3"/>
  <c r="AG1631" i="3"/>
  <c r="AG1630" i="3"/>
  <c r="AG1629" i="3"/>
  <c r="AG1628" i="3"/>
  <c r="AG1627" i="3"/>
  <c r="AG1626" i="3"/>
  <c r="AG1625" i="3"/>
  <c r="AG1624" i="3"/>
  <c r="AG1623" i="3"/>
  <c r="AG1622" i="3"/>
  <c r="AG1621" i="3"/>
  <c r="AG1620" i="3"/>
  <c r="AG1619" i="3"/>
  <c r="AG1618" i="3"/>
  <c r="AG1617" i="3"/>
  <c r="AG1616" i="3"/>
  <c r="AG1615" i="3"/>
  <c r="AG1614" i="3"/>
  <c r="AG1613" i="3"/>
  <c r="AG1612" i="3"/>
  <c r="AG1611" i="3"/>
  <c r="AG1610" i="3"/>
  <c r="AG1609" i="3"/>
  <c r="AG1608" i="3"/>
  <c r="AG1607" i="3"/>
  <c r="AG1606" i="3"/>
  <c r="AG1605" i="3"/>
  <c r="AG1604" i="3"/>
  <c r="AG1603" i="3"/>
  <c r="AG1602" i="3"/>
  <c r="AG1601" i="3"/>
  <c r="AG1600" i="3"/>
  <c r="AG1599" i="3"/>
  <c r="AG1598" i="3"/>
  <c r="AG1597" i="3"/>
  <c r="AG1596" i="3"/>
  <c r="AG1595" i="3"/>
  <c r="AG1594" i="3"/>
  <c r="AG1593" i="3"/>
  <c r="AG1592" i="3"/>
  <c r="AG1591" i="3"/>
  <c r="AG1590" i="3"/>
  <c r="AG1589" i="3"/>
  <c r="AG1588" i="3"/>
  <c r="AG1587" i="3"/>
  <c r="AG1586" i="3"/>
  <c r="AG1585" i="3"/>
  <c r="AG1584" i="3"/>
  <c r="AG1583" i="3"/>
  <c r="AG1582" i="3"/>
  <c r="AG1581" i="3"/>
  <c r="AG1580" i="3"/>
  <c r="AG1579" i="3"/>
  <c r="AG1578" i="3"/>
  <c r="AG1577" i="3"/>
  <c r="AG1576" i="3"/>
  <c r="AG1575" i="3"/>
  <c r="AG1574" i="3"/>
  <c r="AG1573" i="3"/>
  <c r="AG1572" i="3"/>
  <c r="AG1571" i="3"/>
  <c r="AG1570" i="3"/>
  <c r="AG1569" i="3"/>
  <c r="AG1568" i="3"/>
  <c r="AG1567" i="3"/>
  <c r="AG1566" i="3"/>
  <c r="AG1565" i="3"/>
  <c r="AG1564" i="3"/>
  <c r="AG1563" i="3"/>
  <c r="AG1562" i="3"/>
  <c r="AG1561" i="3"/>
  <c r="AG1560" i="3"/>
  <c r="AG1559" i="3"/>
  <c r="AG1558" i="3"/>
  <c r="AG1557" i="3"/>
  <c r="AG1556" i="3"/>
  <c r="AG1555" i="3"/>
  <c r="AG1554" i="3"/>
  <c r="AG1553" i="3"/>
  <c r="AG1552" i="3"/>
  <c r="AG1551" i="3"/>
  <c r="AG1550" i="3"/>
  <c r="AG1549" i="3"/>
  <c r="AG1548" i="3"/>
  <c r="AG1547" i="3"/>
  <c r="AG1546" i="3"/>
  <c r="AG1545" i="3"/>
  <c r="AG1544" i="3"/>
  <c r="AG1543" i="3"/>
  <c r="AG1542" i="3"/>
  <c r="AG1541" i="3"/>
  <c r="AG1540" i="3"/>
  <c r="AG1539" i="3"/>
  <c r="AG1538" i="3"/>
  <c r="AG1537" i="3"/>
  <c r="AG1536" i="3"/>
  <c r="AG1535" i="3"/>
  <c r="AG1534" i="3"/>
  <c r="AG1533" i="3"/>
  <c r="AG1532" i="3"/>
  <c r="AG1531" i="3"/>
  <c r="AG1530" i="3"/>
  <c r="AG1529" i="3"/>
  <c r="AG1528" i="3"/>
  <c r="AG1527" i="3"/>
  <c r="AG1526" i="3"/>
  <c r="AG1525" i="3"/>
  <c r="AG1524" i="3"/>
  <c r="AG1523" i="3"/>
  <c r="AG1522" i="3"/>
  <c r="AG1521" i="3"/>
  <c r="AG1520" i="3"/>
  <c r="AG1519" i="3"/>
  <c r="AG1518" i="3"/>
  <c r="AG1517" i="3"/>
  <c r="AG1516" i="3"/>
  <c r="AG1515" i="3"/>
  <c r="AG1514" i="3"/>
  <c r="AG1513" i="3"/>
  <c r="AG1512" i="3"/>
  <c r="AG1511" i="3"/>
  <c r="AG1510" i="3"/>
  <c r="AG1509" i="3"/>
  <c r="AG1508" i="3"/>
  <c r="AG1507" i="3"/>
  <c r="AG1506" i="3"/>
  <c r="AG1505" i="3"/>
  <c r="AG1504" i="3"/>
  <c r="AG1503" i="3"/>
  <c r="AG1502" i="3"/>
  <c r="AG1501" i="3"/>
  <c r="AG1500" i="3"/>
  <c r="AG1499" i="3"/>
  <c r="AG1498" i="3"/>
  <c r="AG1497" i="3"/>
  <c r="AG1496" i="3"/>
  <c r="AG1495" i="3"/>
  <c r="AG1494" i="3"/>
  <c r="AG1493" i="3"/>
  <c r="AG1492" i="3"/>
  <c r="AG1491" i="3"/>
  <c r="AG1490" i="3"/>
  <c r="AG1489" i="3"/>
  <c r="AG1488" i="3"/>
  <c r="AG1487" i="3"/>
  <c r="AG1486" i="3"/>
  <c r="AG1485" i="3"/>
  <c r="AG1484" i="3"/>
  <c r="AG1483" i="3"/>
  <c r="AG1482" i="3"/>
  <c r="AG1481" i="3"/>
  <c r="AG1480" i="3"/>
  <c r="AG1479" i="3"/>
  <c r="AG1478" i="3"/>
  <c r="AG1477" i="3"/>
  <c r="AG1476" i="3"/>
  <c r="AG1475" i="3"/>
  <c r="AG1474" i="3"/>
  <c r="AG1473" i="3"/>
  <c r="AG1472" i="3"/>
  <c r="AG1471" i="3"/>
  <c r="AG1470" i="3"/>
  <c r="AG1469" i="3"/>
  <c r="AG1468" i="3"/>
  <c r="AG1467" i="3"/>
  <c r="AG1466" i="3"/>
  <c r="AG1465" i="3"/>
  <c r="AG1464" i="3"/>
  <c r="AG1463" i="3"/>
  <c r="AG1462" i="3"/>
  <c r="AG1461" i="3"/>
  <c r="AG1460" i="3"/>
  <c r="AG1459" i="3"/>
  <c r="AG1458" i="3"/>
  <c r="AG1457" i="3"/>
  <c r="AG1456" i="3"/>
  <c r="AG1455" i="3"/>
  <c r="AG1454" i="3"/>
  <c r="AG1453" i="3"/>
  <c r="AG1452" i="3"/>
  <c r="AG1451" i="3"/>
  <c r="AG1450" i="3"/>
  <c r="AG1449" i="3"/>
  <c r="AG1448" i="3"/>
  <c r="AG1447" i="3"/>
  <c r="AG1446" i="3"/>
  <c r="AG1445" i="3"/>
  <c r="AG1444" i="3"/>
  <c r="AG1443" i="3"/>
  <c r="AG1442" i="3"/>
  <c r="AG1441" i="3"/>
  <c r="AG1440" i="3"/>
  <c r="AG1439" i="3"/>
  <c r="AG1438" i="3"/>
  <c r="AG1437" i="3"/>
  <c r="AG1436" i="3"/>
  <c r="AG1435" i="3"/>
  <c r="AG1434" i="3"/>
  <c r="AG1433" i="3"/>
  <c r="AG1432" i="3"/>
  <c r="AG1431" i="3"/>
  <c r="AG1430" i="3"/>
  <c r="AG1429" i="3"/>
  <c r="AG1428" i="3"/>
  <c r="AG1427" i="3"/>
  <c r="AG1426" i="3"/>
  <c r="AG1425" i="3"/>
  <c r="AG1424" i="3"/>
  <c r="AG1423" i="3"/>
  <c r="AG1422" i="3"/>
  <c r="AG1421" i="3"/>
  <c r="AG1420" i="3"/>
  <c r="AG1419" i="3"/>
  <c r="AG1418" i="3"/>
  <c r="AG1417" i="3"/>
  <c r="AG1416" i="3"/>
  <c r="AG1415" i="3"/>
  <c r="AG1414" i="3"/>
  <c r="AG1413" i="3"/>
  <c r="AG1412" i="3"/>
  <c r="AG1411" i="3"/>
  <c r="AG1410" i="3"/>
  <c r="AG1409" i="3"/>
  <c r="AG1408" i="3"/>
  <c r="AG1407" i="3"/>
  <c r="AG1406" i="3"/>
  <c r="AG1405" i="3"/>
  <c r="AG1404" i="3"/>
  <c r="AG1403" i="3"/>
  <c r="AG1402" i="3"/>
  <c r="AG1401" i="3"/>
  <c r="AG1400" i="3"/>
  <c r="AG1399" i="3"/>
  <c r="AG1398" i="3"/>
  <c r="AG1397" i="3"/>
  <c r="AG1396" i="3"/>
  <c r="AG1395" i="3"/>
  <c r="AG1394" i="3"/>
  <c r="AG1393" i="3"/>
  <c r="AG1392" i="3"/>
  <c r="AG1391" i="3"/>
  <c r="AG1390" i="3"/>
  <c r="AG1389" i="3"/>
  <c r="AG1388" i="3"/>
  <c r="AG1387" i="3"/>
  <c r="AG1386" i="3"/>
  <c r="AG1385" i="3"/>
  <c r="AG1384" i="3"/>
  <c r="AG1383" i="3"/>
  <c r="AG1382" i="3"/>
  <c r="AG1381" i="3"/>
  <c r="AG1380" i="3"/>
  <c r="AG1379" i="3"/>
  <c r="AG1378" i="3"/>
  <c r="AG1377" i="3"/>
  <c r="AG1376" i="3"/>
  <c r="AG1375" i="3"/>
  <c r="AG1374" i="3"/>
  <c r="AG1373" i="3"/>
  <c r="AG1372" i="3"/>
  <c r="AG1371" i="3"/>
  <c r="AG1370" i="3"/>
  <c r="AG1369" i="3"/>
  <c r="AG1368" i="3"/>
  <c r="AG1367" i="3"/>
  <c r="AG1366" i="3"/>
  <c r="AG1365" i="3"/>
  <c r="AG1364" i="3"/>
  <c r="AG1363" i="3"/>
  <c r="AG1362" i="3"/>
  <c r="AG1361" i="3"/>
  <c r="AG1360" i="3"/>
  <c r="AG1359" i="3"/>
  <c r="AG1358" i="3"/>
  <c r="AG1357" i="3"/>
  <c r="AG1356" i="3"/>
  <c r="AG1355" i="3"/>
  <c r="AG1354" i="3"/>
  <c r="AG1353" i="3"/>
  <c r="AG1352" i="3"/>
  <c r="AG1351" i="3"/>
  <c r="AG1350" i="3"/>
  <c r="AG1349" i="3"/>
  <c r="AG1348" i="3"/>
  <c r="AG1347" i="3"/>
  <c r="AG1346" i="3"/>
  <c r="AG1345" i="3"/>
  <c r="AG1344" i="3"/>
  <c r="AG1343" i="3"/>
  <c r="AG1342" i="3"/>
  <c r="AG1341" i="3"/>
  <c r="AG1340" i="3"/>
  <c r="AG1339" i="3"/>
  <c r="AG1338" i="3"/>
  <c r="AG1337" i="3"/>
  <c r="AG1336" i="3"/>
  <c r="AG1335" i="3"/>
  <c r="AG1334" i="3"/>
  <c r="AG1333" i="3"/>
  <c r="AG1332" i="3"/>
  <c r="AG1331" i="3"/>
  <c r="AG1330" i="3"/>
  <c r="AG1329" i="3"/>
  <c r="AG1328" i="3"/>
  <c r="AG1327" i="3"/>
  <c r="AG1326" i="3"/>
  <c r="AG1325" i="3"/>
  <c r="AG1324" i="3"/>
  <c r="AG1323" i="3"/>
  <c r="AG1322" i="3"/>
  <c r="AG1321" i="3"/>
  <c r="AG1320" i="3"/>
  <c r="AG1319" i="3"/>
  <c r="AG1318" i="3"/>
  <c r="AG1317" i="3"/>
  <c r="AG1316" i="3"/>
  <c r="AG1315" i="3"/>
  <c r="AG1314" i="3"/>
  <c r="AG1313" i="3"/>
  <c r="AG1312" i="3"/>
  <c r="AG1311" i="3"/>
  <c r="AG1310" i="3"/>
  <c r="AG1309" i="3"/>
  <c r="AG1308" i="3"/>
  <c r="AG1307" i="3"/>
  <c r="AG1306" i="3"/>
  <c r="AG1305" i="3"/>
  <c r="AG1304" i="3"/>
  <c r="AG1303" i="3"/>
  <c r="AG1302" i="3"/>
  <c r="AG1301" i="3"/>
  <c r="AG1300" i="3"/>
  <c r="AG1299" i="3"/>
  <c r="AG1298" i="3"/>
  <c r="AG1297" i="3"/>
  <c r="AG1296" i="3"/>
  <c r="AG1295" i="3"/>
  <c r="AG1294" i="3"/>
  <c r="AG1293" i="3"/>
  <c r="AG1292" i="3"/>
  <c r="AG1291" i="3"/>
  <c r="AG1290" i="3"/>
  <c r="AG1289" i="3"/>
  <c r="AG1288" i="3"/>
  <c r="AG1287" i="3"/>
  <c r="AG1286" i="3"/>
  <c r="AG1285" i="3"/>
  <c r="AG1284" i="3"/>
  <c r="AG1283" i="3"/>
  <c r="AG1282" i="3"/>
  <c r="AG1281" i="3"/>
  <c r="AG1280" i="3"/>
  <c r="AG1279" i="3"/>
  <c r="AG1278" i="3"/>
  <c r="AG1277" i="3"/>
  <c r="AG1276" i="3"/>
  <c r="AG1275" i="3"/>
  <c r="AG1274" i="3"/>
  <c r="AG1273" i="3"/>
  <c r="AG1272" i="3"/>
  <c r="AG1271" i="3"/>
  <c r="AG1270" i="3"/>
  <c r="AG1269" i="3"/>
  <c r="AG1268" i="3"/>
  <c r="AG1267" i="3"/>
  <c r="AG1266" i="3"/>
  <c r="AG1265" i="3"/>
  <c r="AG1264" i="3"/>
  <c r="AG1263" i="3"/>
  <c r="AG1262" i="3"/>
  <c r="AG1261" i="3"/>
  <c r="AG1260" i="3"/>
  <c r="AG1259" i="3"/>
  <c r="AG1258" i="3"/>
  <c r="AG1257" i="3"/>
  <c r="AG1256" i="3"/>
  <c r="AG1255" i="3"/>
  <c r="AG1254" i="3"/>
  <c r="AG1253" i="3"/>
  <c r="AG1252" i="3"/>
  <c r="AG1251" i="3"/>
  <c r="AG1250" i="3"/>
  <c r="AG1249" i="3"/>
  <c r="AG1248" i="3"/>
  <c r="AG1247" i="3"/>
  <c r="AG1246" i="3"/>
  <c r="AG1245" i="3"/>
  <c r="AG1244" i="3"/>
  <c r="AG1243" i="3"/>
  <c r="AG1242" i="3"/>
  <c r="AG1241" i="3"/>
  <c r="AG1240" i="3"/>
  <c r="AG1239" i="3"/>
  <c r="AG1238" i="3"/>
  <c r="AG1237" i="3"/>
  <c r="AG1236" i="3"/>
  <c r="AG1235" i="3"/>
  <c r="AG1234" i="3"/>
  <c r="AG1233" i="3"/>
  <c r="AG1232" i="3"/>
  <c r="AG1231" i="3"/>
  <c r="AG1230" i="3"/>
  <c r="AG1229" i="3"/>
  <c r="AG1228" i="3"/>
  <c r="AG1227" i="3"/>
  <c r="AG1226" i="3"/>
  <c r="AG1225" i="3"/>
  <c r="AG1224" i="3"/>
  <c r="AG1223" i="3"/>
  <c r="AG1222" i="3"/>
  <c r="AG1221" i="3"/>
  <c r="AG1220" i="3"/>
  <c r="AG1219" i="3"/>
  <c r="AG1218" i="3"/>
  <c r="AG1217" i="3"/>
  <c r="AG1216" i="3"/>
  <c r="AG1215" i="3"/>
  <c r="AG1214" i="3"/>
  <c r="AG1213" i="3"/>
  <c r="AG1212" i="3"/>
  <c r="AG1211" i="3"/>
  <c r="AG1210" i="3"/>
  <c r="AG1209" i="3"/>
  <c r="AG1208" i="3"/>
  <c r="AG1207" i="3"/>
  <c r="AG1206" i="3"/>
  <c r="AG1205" i="3"/>
  <c r="AG1204" i="3"/>
  <c r="AG1203" i="3"/>
  <c r="AG1202" i="3"/>
  <c r="AG1201" i="3"/>
  <c r="AG1200" i="3"/>
  <c r="AG1199" i="3"/>
  <c r="AG1198" i="3"/>
  <c r="AG1197" i="3"/>
  <c r="AG1196" i="3"/>
  <c r="AG1195" i="3"/>
  <c r="AG1194" i="3"/>
  <c r="AG1193" i="3"/>
  <c r="AG1192" i="3"/>
  <c r="AG1191" i="3"/>
  <c r="AG1190" i="3"/>
  <c r="AG1189" i="3"/>
  <c r="AG1188" i="3"/>
  <c r="AG1187" i="3"/>
  <c r="AG1186" i="3"/>
  <c r="AG1185" i="3"/>
  <c r="AG1184" i="3"/>
  <c r="AG1183" i="3"/>
  <c r="AG1182" i="3"/>
  <c r="AG1181" i="3"/>
  <c r="AG1180" i="3"/>
  <c r="AG1179" i="3"/>
  <c r="AG1178" i="3"/>
  <c r="AG1177" i="3"/>
  <c r="AG1176" i="3"/>
  <c r="AG1175" i="3"/>
  <c r="AG1174" i="3"/>
  <c r="AG1173" i="3"/>
  <c r="AG1172" i="3"/>
  <c r="AG1171" i="3"/>
  <c r="AG1170" i="3"/>
  <c r="AG1169" i="3"/>
  <c r="AG1168" i="3"/>
  <c r="AG1167" i="3"/>
  <c r="AG1166" i="3"/>
  <c r="AG1165" i="3"/>
  <c r="AG1164" i="3"/>
  <c r="AG1163" i="3"/>
  <c r="AG1162" i="3"/>
  <c r="AG1161" i="3"/>
  <c r="AG1160" i="3"/>
  <c r="AG1159" i="3"/>
  <c r="AG1158" i="3"/>
  <c r="AG1157" i="3"/>
  <c r="AG1156" i="3"/>
  <c r="AG1155" i="3"/>
  <c r="AG1154" i="3"/>
  <c r="AG1153" i="3"/>
  <c r="AG1152" i="3"/>
  <c r="AG1151" i="3"/>
  <c r="AG1150" i="3"/>
  <c r="AG1149" i="3"/>
  <c r="AG1148" i="3"/>
  <c r="AG1147" i="3"/>
  <c r="AG1146" i="3"/>
  <c r="AG1145" i="3"/>
  <c r="AG1144" i="3"/>
  <c r="AG1143" i="3"/>
  <c r="AG1142" i="3"/>
  <c r="AG1141" i="3"/>
  <c r="AG1140" i="3"/>
  <c r="AG1139" i="3"/>
  <c r="AG1138" i="3"/>
  <c r="AG1137" i="3"/>
  <c r="AG1136" i="3"/>
  <c r="AG1135" i="3"/>
  <c r="AG1134" i="3"/>
  <c r="AG1133" i="3"/>
  <c r="AG1132" i="3"/>
  <c r="AG1131" i="3"/>
  <c r="AG1130" i="3"/>
  <c r="AG1129" i="3"/>
  <c r="AG1128" i="3"/>
  <c r="AG1127" i="3"/>
  <c r="AG1126" i="3"/>
  <c r="AG1125" i="3"/>
  <c r="AG1124" i="3"/>
  <c r="AG1123" i="3"/>
  <c r="AG1122" i="3"/>
  <c r="AG1121" i="3"/>
  <c r="AG1120" i="3"/>
  <c r="AG1119" i="3"/>
  <c r="AG1118" i="3"/>
  <c r="AG1117" i="3"/>
  <c r="AG1116" i="3"/>
  <c r="AG1115" i="3"/>
  <c r="AG1114" i="3"/>
  <c r="AG1113" i="3"/>
  <c r="AG1112" i="3"/>
  <c r="AG1111" i="3"/>
  <c r="AG1110" i="3"/>
  <c r="AG1109" i="3"/>
  <c r="AG1108" i="3"/>
  <c r="AG1107" i="3"/>
  <c r="AG1106" i="3"/>
  <c r="AG1105" i="3"/>
  <c r="AG1104" i="3"/>
  <c r="AG1103" i="3"/>
  <c r="AG1102" i="3"/>
  <c r="AG1101" i="3"/>
  <c r="AG1100" i="3"/>
  <c r="AG1099" i="3"/>
  <c r="AG1098" i="3"/>
  <c r="AG1097" i="3"/>
  <c r="AG1096" i="3"/>
  <c r="AG1095" i="3"/>
  <c r="AG1094" i="3"/>
  <c r="AG1093" i="3"/>
  <c r="AG1092" i="3"/>
  <c r="AG1091" i="3"/>
  <c r="AG1090" i="3"/>
  <c r="AG1089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2" i="3"/>
  <c r="AG1001" i="3"/>
  <c r="AG1000" i="3"/>
  <c r="AG999" i="3"/>
  <c r="AG998" i="3"/>
  <c r="AG997" i="3"/>
  <c r="AG996" i="3"/>
  <c r="AG995" i="3"/>
  <c r="AG994" i="3"/>
  <c r="AG993" i="3"/>
  <c r="AG992" i="3"/>
  <c r="AG991" i="3"/>
  <c r="AG990" i="3"/>
  <c r="AG989" i="3"/>
  <c r="AG988" i="3"/>
  <c r="AG987" i="3"/>
  <c r="AG986" i="3"/>
  <c r="AG985" i="3"/>
  <c r="AG984" i="3"/>
  <c r="AG983" i="3"/>
  <c r="AG982" i="3"/>
  <c r="AG981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18" i="3"/>
  <c r="AG917" i="3"/>
  <c r="AG916" i="3"/>
  <c r="AG915" i="3"/>
  <c r="AG914" i="3"/>
  <c r="AG913" i="3"/>
  <c r="AG912" i="3"/>
  <c r="AG911" i="3"/>
  <c r="AG910" i="3"/>
  <c r="AG909" i="3"/>
  <c r="AG908" i="3"/>
  <c r="AG907" i="3"/>
  <c r="AG906" i="3"/>
  <c r="AG905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50" i="3"/>
  <c r="AG849" i="3"/>
  <c r="AG848" i="3"/>
  <c r="AG847" i="3"/>
  <c r="AG846" i="3"/>
  <c r="AG845" i="3"/>
  <c r="AG844" i="3"/>
  <c r="AG843" i="3"/>
  <c r="AG842" i="3"/>
  <c r="AG841" i="3"/>
  <c r="AG840" i="3"/>
  <c r="AG839" i="3"/>
  <c r="AG838" i="3"/>
  <c r="AG837" i="3"/>
  <c r="AG836" i="3"/>
  <c r="AG835" i="3"/>
  <c r="AG834" i="3"/>
  <c r="AG833" i="3"/>
  <c r="AG832" i="3"/>
  <c r="AG831" i="3"/>
  <c r="AG830" i="3"/>
  <c r="AG829" i="3"/>
  <c r="AG828" i="3"/>
  <c r="AG827" i="3"/>
  <c r="AG826" i="3"/>
  <c r="AG825" i="3"/>
  <c r="AG824" i="3"/>
  <c r="AG823" i="3"/>
  <c r="AG822" i="3"/>
  <c r="AG821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5" i="3"/>
  <c r="AG784" i="3"/>
  <c r="AG783" i="3"/>
  <c r="AG782" i="3"/>
  <c r="AG781" i="3"/>
  <c r="AG780" i="3"/>
  <c r="AG779" i="3"/>
  <c r="AG778" i="3"/>
  <c r="AG777" i="3"/>
  <c r="AG776" i="3"/>
  <c r="AG775" i="3"/>
  <c r="AG774" i="3"/>
  <c r="AG773" i="3"/>
  <c r="AG772" i="3"/>
  <c r="AG771" i="3"/>
  <c r="AG770" i="3"/>
  <c r="AG769" i="3"/>
  <c r="AG768" i="3"/>
  <c r="AG767" i="3"/>
  <c r="AG766" i="3"/>
  <c r="AG765" i="3"/>
  <c r="AG764" i="3"/>
  <c r="AG763" i="3"/>
  <c r="AG762" i="3"/>
  <c r="AG761" i="3"/>
  <c r="AG760" i="3"/>
  <c r="AG759" i="3"/>
  <c r="AG758" i="3"/>
  <c r="AG757" i="3"/>
  <c r="AG756" i="3"/>
  <c r="AG755" i="3"/>
  <c r="AG754" i="3"/>
  <c r="AG753" i="3"/>
  <c r="AG752" i="3"/>
  <c r="AG751" i="3"/>
  <c r="AG750" i="3"/>
  <c r="AG749" i="3"/>
  <c r="AG748" i="3"/>
  <c r="AG747" i="3"/>
  <c r="AG746" i="3"/>
  <c r="AG745" i="3"/>
  <c r="AG744" i="3"/>
  <c r="AG743" i="3"/>
  <c r="AG742" i="3"/>
  <c r="AG741" i="3"/>
  <c r="AG740" i="3"/>
  <c r="AG739" i="3"/>
  <c r="AG738" i="3"/>
  <c r="AG737" i="3"/>
  <c r="AG736" i="3"/>
  <c r="AG735" i="3"/>
  <c r="AG734" i="3"/>
  <c r="AG733" i="3"/>
  <c r="AG732" i="3"/>
  <c r="AG731" i="3"/>
  <c r="AG730" i="3"/>
  <c r="AG729" i="3"/>
  <c r="AG728" i="3"/>
  <c r="AG727" i="3"/>
  <c r="AG726" i="3"/>
  <c r="AG725" i="3"/>
  <c r="AG724" i="3"/>
  <c r="AG723" i="3"/>
  <c r="AG722" i="3"/>
  <c r="AG721" i="3"/>
  <c r="AG720" i="3"/>
  <c r="AG719" i="3"/>
  <c r="AG718" i="3"/>
  <c r="AG717" i="3"/>
  <c r="AG716" i="3"/>
  <c r="AG715" i="3"/>
  <c r="AG714" i="3"/>
  <c r="AG713" i="3"/>
  <c r="AG712" i="3"/>
  <c r="AG711" i="3"/>
  <c r="AG710" i="3"/>
  <c r="AG709" i="3"/>
  <c r="AG708" i="3"/>
  <c r="AG707" i="3"/>
  <c r="AG706" i="3"/>
  <c r="AG705" i="3"/>
  <c r="AG704" i="3"/>
  <c r="AG703" i="3"/>
  <c r="AG702" i="3"/>
  <c r="AG701" i="3"/>
  <c r="AG700" i="3"/>
  <c r="AG699" i="3"/>
  <c r="AG698" i="3"/>
  <c r="AG697" i="3"/>
  <c r="AG696" i="3"/>
  <c r="AG695" i="3"/>
  <c r="AG694" i="3"/>
  <c r="AG693" i="3"/>
  <c r="AG692" i="3"/>
  <c r="AG691" i="3"/>
  <c r="AG690" i="3"/>
  <c r="AG689" i="3"/>
  <c r="AG688" i="3"/>
  <c r="AG687" i="3"/>
  <c r="AG686" i="3"/>
  <c r="AG685" i="3"/>
  <c r="AG684" i="3"/>
  <c r="AG683" i="3"/>
  <c r="AG682" i="3"/>
  <c r="AG681" i="3"/>
  <c r="AG680" i="3"/>
  <c r="AG679" i="3"/>
  <c r="AG678" i="3"/>
  <c r="AG677" i="3"/>
  <c r="AG676" i="3"/>
  <c r="AG675" i="3"/>
  <c r="AG674" i="3"/>
  <c r="AG673" i="3"/>
  <c r="AG672" i="3"/>
  <c r="AG671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8" i="3"/>
  <c r="AG637" i="3"/>
  <c r="AG636" i="3"/>
  <c r="AG635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600" i="3"/>
  <c r="AG599" i="3"/>
  <c r="AG598" i="3"/>
  <c r="AG597" i="3"/>
  <c r="AG596" i="3"/>
  <c r="AG595" i="3"/>
  <c r="AG594" i="3"/>
  <c r="AG593" i="3"/>
  <c r="AG592" i="3"/>
  <c r="AG591" i="3"/>
  <c r="AG590" i="3"/>
  <c r="AG589" i="3"/>
  <c r="AG588" i="3"/>
  <c r="AG587" i="3"/>
  <c r="AG586" i="3"/>
  <c r="AG585" i="3"/>
  <c r="AG584" i="3"/>
  <c r="AG583" i="3"/>
  <c r="AG582" i="3"/>
  <c r="AG581" i="3"/>
  <c r="AG580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6" i="3"/>
  <c r="AG565" i="3"/>
  <c r="AG564" i="3"/>
  <c r="AG563" i="3"/>
  <c r="AG562" i="3"/>
  <c r="AG561" i="3"/>
  <c r="AG560" i="3"/>
  <c r="AG559" i="3"/>
  <c r="AG558" i="3"/>
  <c r="AG557" i="3"/>
  <c r="AG556" i="3"/>
  <c r="AG555" i="3"/>
  <c r="AG554" i="3"/>
  <c r="AG553" i="3"/>
  <c r="AG552" i="3"/>
  <c r="AG551" i="3"/>
  <c r="AG550" i="3"/>
  <c r="AG549" i="3"/>
  <c r="AG548" i="3"/>
  <c r="AG547" i="3"/>
  <c r="AG546" i="3"/>
  <c r="AG545" i="3"/>
  <c r="AG544" i="3"/>
  <c r="AG543" i="3"/>
  <c r="AG542" i="3"/>
  <c r="AG541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8" i="3"/>
  <c r="AG507" i="3"/>
  <c r="AG506" i="3"/>
  <c r="AG505" i="3"/>
  <c r="AG504" i="3"/>
  <c r="AG503" i="3"/>
  <c r="AG502" i="3"/>
  <c r="AG501" i="3"/>
  <c r="AG500" i="3"/>
  <c r="AG499" i="3"/>
  <c r="AG498" i="3"/>
  <c r="AG497" i="3"/>
  <c r="AG496" i="3"/>
  <c r="AG495" i="3"/>
  <c r="AG494" i="3"/>
  <c r="AG493" i="3"/>
  <c r="AG492" i="3"/>
  <c r="AG491" i="3"/>
  <c r="AG490" i="3"/>
  <c r="AG489" i="3"/>
  <c r="AG488" i="3"/>
  <c r="AG487" i="3"/>
  <c r="AG486" i="3"/>
  <c r="AG485" i="3"/>
  <c r="AG484" i="3"/>
  <c r="AG483" i="3"/>
  <c r="AG482" i="3"/>
  <c r="AG481" i="3"/>
  <c r="AG480" i="3"/>
  <c r="AG479" i="3"/>
  <c r="AG478" i="3"/>
  <c r="AG477" i="3"/>
  <c r="AG476" i="3"/>
  <c r="AG475" i="3"/>
  <c r="AG474" i="3"/>
  <c r="AG473" i="3"/>
  <c r="AG472" i="3"/>
  <c r="AG471" i="3"/>
  <c r="AG470" i="3"/>
  <c r="AG469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8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5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2" i="3"/>
  <c r="AG401" i="3"/>
  <c r="AG400" i="3"/>
  <c r="AG399" i="3"/>
  <c r="AG398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9" i="3"/>
  <c r="AG378" i="3"/>
  <c r="AG377" i="3"/>
  <c r="AG376" i="3"/>
  <c r="AG375" i="3"/>
  <c r="AG374" i="3"/>
  <c r="AG373" i="3"/>
  <c r="AG372" i="3"/>
  <c r="AG371" i="3"/>
  <c r="AG370" i="3"/>
  <c r="AG369" i="3"/>
  <c r="AG368" i="3"/>
  <c r="AG367" i="3"/>
  <c r="AG366" i="3"/>
  <c r="AG365" i="3"/>
  <c r="AG364" i="3"/>
  <c r="AG363" i="3"/>
  <c r="AG362" i="3"/>
  <c r="AG361" i="3"/>
  <c r="AG360" i="3"/>
  <c r="AG359" i="3"/>
  <c r="AG358" i="3"/>
  <c r="AG357" i="3"/>
  <c r="AG356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5" i="3"/>
  <c r="AG334" i="3"/>
  <c r="AG333" i="3"/>
  <c r="AG332" i="3"/>
  <c r="AG331" i="3"/>
  <c r="AG330" i="3"/>
  <c r="AG329" i="3"/>
  <c r="AG328" i="3"/>
  <c r="AG327" i="3"/>
  <c r="AG326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4" i="3"/>
  <c r="AG303" i="3"/>
  <c r="AG302" i="3"/>
  <c r="AG301" i="3"/>
  <c r="AG300" i="3"/>
  <c r="AG299" i="3"/>
  <c r="AG298" i="3"/>
  <c r="AG297" i="3"/>
  <c r="AG296" i="3"/>
  <c r="AG295" i="3"/>
  <c r="AG294" i="3"/>
  <c r="AG293" i="3"/>
  <c r="AG292" i="3"/>
  <c r="AG291" i="3"/>
  <c r="AG290" i="3"/>
  <c r="AG289" i="3"/>
  <c r="AG288" i="3"/>
  <c r="AG287" i="3"/>
  <c r="AG286" i="3"/>
  <c r="AG285" i="3"/>
  <c r="AG284" i="3"/>
  <c r="AG283" i="3"/>
  <c r="AG282" i="3"/>
  <c r="AG281" i="3"/>
  <c r="AG280" i="3"/>
  <c r="AG279" i="3"/>
  <c r="AG278" i="3"/>
  <c r="AG277" i="3"/>
  <c r="AG276" i="3"/>
  <c r="AG275" i="3"/>
  <c r="AG274" i="3"/>
  <c r="AG273" i="3"/>
  <c r="AG272" i="3"/>
  <c r="AG271" i="3"/>
  <c r="AG270" i="3"/>
  <c r="AG269" i="3"/>
  <c r="AG268" i="3"/>
  <c r="AG267" i="3"/>
  <c r="AG266" i="3"/>
  <c r="AG265" i="3"/>
  <c r="AG264" i="3"/>
  <c r="AG263" i="3"/>
  <c r="AG262" i="3"/>
  <c r="AG261" i="3"/>
  <c r="AG260" i="3"/>
  <c r="AG259" i="3"/>
  <c r="AG258" i="3"/>
  <c r="AG257" i="3"/>
  <c r="AG256" i="3"/>
  <c r="AG255" i="3"/>
  <c r="AG254" i="3"/>
  <c r="AG253" i="3"/>
  <c r="AG252" i="3"/>
  <c r="AG251" i="3"/>
  <c r="AG250" i="3"/>
  <c r="AG249" i="3"/>
  <c r="AG248" i="3"/>
  <c r="AG247" i="3"/>
  <c r="AG246" i="3"/>
  <c r="AG245" i="3"/>
  <c r="AG244" i="3"/>
  <c r="AG243" i="3"/>
  <c r="AG242" i="3"/>
  <c r="AG241" i="3"/>
  <c r="AG240" i="3"/>
  <c r="AG239" i="3"/>
  <c r="AG238" i="3"/>
  <c r="AG237" i="3"/>
  <c r="AG236" i="3"/>
  <c r="AG235" i="3"/>
  <c r="AG234" i="3"/>
  <c r="AG233" i="3"/>
  <c r="AG232" i="3"/>
  <c r="AG231" i="3"/>
  <c r="AG230" i="3"/>
  <c r="AG229" i="3"/>
  <c r="AG228" i="3"/>
  <c r="AG227" i="3"/>
  <c r="AG226" i="3"/>
  <c r="AG225" i="3"/>
  <c r="AG224" i="3"/>
  <c r="AG223" i="3"/>
  <c r="AG222" i="3"/>
  <c r="AG221" i="3"/>
  <c r="AG220" i="3"/>
  <c r="AG219" i="3"/>
  <c r="AG218" i="3"/>
  <c r="AG217" i="3"/>
  <c r="AG216" i="3"/>
  <c r="AG215" i="3"/>
  <c r="AG214" i="3"/>
  <c r="AG213" i="3"/>
  <c r="AG212" i="3"/>
  <c r="AG211" i="3"/>
  <c r="AG210" i="3"/>
  <c r="AG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7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8" i="3"/>
  <c r="AG157" i="3"/>
  <c r="AG156" i="3"/>
  <c r="AG155" i="3"/>
  <c r="AG154" i="3"/>
  <c r="AG153" i="3"/>
  <c r="AG152" i="3"/>
  <c r="AG151" i="3"/>
  <c r="AG150" i="3"/>
  <c r="AG149" i="3"/>
  <c r="AG148" i="3"/>
  <c r="AG147" i="3"/>
  <c r="AG146" i="3"/>
  <c r="AG145" i="3"/>
  <c r="AG144" i="3"/>
  <c r="AG143" i="3"/>
  <c r="AG142" i="3"/>
  <c r="AG141" i="3"/>
  <c r="AG140" i="3"/>
  <c r="AG139" i="3"/>
  <c r="AG138" i="3"/>
  <c r="AG137" i="3"/>
  <c r="AG136" i="3"/>
  <c r="AG135" i="3"/>
  <c r="AG134" i="3"/>
  <c r="AG133" i="3"/>
  <c r="AG132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2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3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5" i="3"/>
  <c r="AF1516" i="3"/>
  <c r="AF1517" i="3"/>
  <c r="AF1518" i="3"/>
  <c r="AF1519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3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7" i="3"/>
  <c r="AF1558" i="3"/>
  <c r="AF1559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1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09" i="3"/>
  <c r="AF1610" i="3"/>
  <c r="AF1611" i="3"/>
  <c r="AF1612" i="3"/>
  <c r="AF1613" i="3"/>
  <c r="AF1614" i="3"/>
  <c r="AF1615" i="3"/>
  <c r="AF1616" i="3"/>
  <c r="AF1617" i="3"/>
  <c r="AF1618" i="3"/>
  <c r="AF1619" i="3"/>
  <c r="AF1620" i="3"/>
  <c r="AF1621" i="3"/>
  <c r="AF1622" i="3"/>
  <c r="AF1623" i="3"/>
  <c r="AF1624" i="3"/>
  <c r="AF1625" i="3"/>
  <c r="AF1626" i="3"/>
  <c r="AF1627" i="3"/>
  <c r="AF1628" i="3"/>
  <c r="AF1629" i="3"/>
  <c r="AF1630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49" i="3"/>
  <c r="AF1650" i="3"/>
  <c r="AF1651" i="3"/>
  <c r="AF1652" i="3"/>
  <c r="AF1653" i="3"/>
  <c r="AF1654" i="3"/>
  <c r="AF1655" i="3"/>
  <c r="AF1656" i="3"/>
  <c r="AF1657" i="3"/>
  <c r="AF1658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AF1744" i="3"/>
  <c r="AF1745" i="3"/>
  <c r="AF1746" i="3"/>
  <c r="AF1747" i="3"/>
  <c r="AF1748" i="3"/>
  <c r="AF1749" i="3"/>
  <c r="AF1750" i="3"/>
  <c r="AF1751" i="3"/>
  <c r="AF1752" i="3"/>
  <c r="AF1753" i="3"/>
  <c r="AF1754" i="3"/>
  <c r="AF1755" i="3"/>
  <c r="AF1756" i="3"/>
  <c r="AF1757" i="3"/>
  <c r="AF1758" i="3"/>
  <c r="AF1759" i="3"/>
  <c r="AF1760" i="3"/>
  <c r="AF1761" i="3"/>
  <c r="AF1762" i="3"/>
  <c r="AF1763" i="3"/>
  <c r="AF1764" i="3"/>
  <c r="AF1765" i="3"/>
  <c r="AF1766" i="3"/>
  <c r="AF1767" i="3"/>
  <c r="AF1768" i="3"/>
  <c r="AF1769" i="3"/>
  <c r="AF1770" i="3"/>
  <c r="AF1771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84" i="3"/>
  <c r="AF1785" i="3"/>
  <c r="AF1786" i="3"/>
  <c r="AF1787" i="3"/>
  <c r="AF1788" i="3"/>
  <c r="AF1789" i="3"/>
  <c r="AF1790" i="3"/>
  <c r="AF1791" i="3"/>
  <c r="AF1792" i="3"/>
  <c r="AF1793" i="3"/>
  <c r="AF1794" i="3"/>
  <c r="AF1795" i="3"/>
  <c r="AF1796" i="3"/>
  <c r="AF1797" i="3"/>
  <c r="AF1798" i="3"/>
  <c r="AF1799" i="3"/>
  <c r="AF1800" i="3"/>
  <c r="AF1801" i="3"/>
  <c r="AF1802" i="3"/>
  <c r="AF1803" i="3"/>
  <c r="AF1804" i="3"/>
  <c r="AF1805" i="3"/>
  <c r="AF1806" i="3"/>
  <c r="AF1807" i="3"/>
  <c r="AF1808" i="3"/>
  <c r="AF1809" i="3"/>
  <c r="AF1810" i="3"/>
  <c r="AF1811" i="3"/>
  <c r="AF1812" i="3"/>
  <c r="AF1813" i="3"/>
  <c r="AF1814" i="3"/>
  <c r="AF1815" i="3"/>
  <c r="AF1816" i="3"/>
  <c r="AF1817" i="3"/>
  <c r="AF1818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830" i="3"/>
  <c r="AF1831" i="3"/>
  <c r="AF1832" i="3"/>
  <c r="AF1833" i="3"/>
  <c r="AF1834" i="3"/>
  <c r="AF1835" i="3"/>
  <c r="AF1836" i="3"/>
  <c r="AF1837" i="3"/>
  <c r="AF1838" i="3"/>
  <c r="AF1839" i="3"/>
  <c r="AF1840" i="3"/>
  <c r="AF1841" i="3"/>
  <c r="AF1842" i="3"/>
  <c r="AF1843" i="3"/>
  <c r="AF1844" i="3"/>
  <c r="AF1845" i="3"/>
  <c r="AF1846" i="3"/>
  <c r="AF1847" i="3"/>
  <c r="AF1848" i="3"/>
  <c r="AF1849" i="3"/>
  <c r="AF1850" i="3"/>
  <c r="AF1851" i="3"/>
  <c r="AF1852" i="3"/>
  <c r="AF1853" i="3"/>
  <c r="AF1854" i="3"/>
  <c r="AF1855" i="3"/>
  <c r="AF1856" i="3"/>
  <c r="AF1857" i="3"/>
  <c r="AF1858" i="3"/>
  <c r="AF1859" i="3"/>
  <c r="AF1860" i="3"/>
  <c r="AF1861" i="3"/>
  <c r="AF1862" i="3"/>
  <c r="AF1863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1895" i="3"/>
  <c r="AF1896" i="3"/>
  <c r="AF1897" i="3"/>
  <c r="AF1898" i="3"/>
  <c r="AF1899" i="3"/>
  <c r="AF1900" i="3"/>
  <c r="AF1901" i="3"/>
  <c r="AF1902" i="3"/>
  <c r="AF1903" i="3"/>
  <c r="AF1904" i="3"/>
  <c r="AF1905" i="3"/>
  <c r="AF1906" i="3"/>
  <c r="AF1907" i="3"/>
  <c r="AF1908" i="3"/>
  <c r="AF1909" i="3"/>
  <c r="AF1910" i="3"/>
  <c r="AF1911" i="3"/>
  <c r="AF1912" i="3"/>
  <c r="AF1913" i="3"/>
  <c r="AF1914" i="3"/>
  <c r="AF1915" i="3"/>
  <c r="AF1916" i="3"/>
  <c r="AF1917" i="3"/>
  <c r="AF1918" i="3"/>
  <c r="AF1919" i="3"/>
  <c r="AF1920" i="3"/>
  <c r="AF1921" i="3"/>
  <c r="AF1922" i="3"/>
  <c r="AF1923" i="3"/>
  <c r="AF1924" i="3"/>
  <c r="AF1925" i="3"/>
  <c r="AF1926" i="3"/>
  <c r="AF1927" i="3"/>
  <c r="AF1928" i="3"/>
  <c r="AF1929" i="3"/>
  <c r="AF1930" i="3"/>
  <c r="AF1931" i="3"/>
  <c r="AF1932" i="3"/>
  <c r="AF1933" i="3"/>
  <c r="AF1934" i="3"/>
  <c r="AF1935" i="3"/>
  <c r="AF1936" i="3"/>
  <c r="AF1937" i="3"/>
  <c r="AF1938" i="3"/>
  <c r="AF1939" i="3"/>
  <c r="AF1940" i="3"/>
  <c r="AF1941" i="3"/>
  <c r="AF1942" i="3"/>
  <c r="AF1943" i="3"/>
  <c r="AF1944" i="3"/>
  <c r="AF1945" i="3"/>
  <c r="AF1946" i="3"/>
  <c r="AF1947" i="3"/>
  <c r="AF1948" i="3"/>
  <c r="AF1949" i="3"/>
  <c r="AF1950" i="3"/>
  <c r="AF1951" i="3"/>
  <c r="AF1952" i="3"/>
  <c r="AF1953" i="3"/>
  <c r="AF1954" i="3"/>
  <c r="AF1955" i="3"/>
  <c r="AF1956" i="3"/>
  <c r="AF1957" i="3"/>
  <c r="AF1958" i="3"/>
  <c r="AF1959" i="3"/>
  <c r="AF1960" i="3"/>
  <c r="AF1961" i="3"/>
  <c r="AF1962" i="3"/>
  <c r="AF1963" i="3"/>
  <c r="AF1964" i="3"/>
  <c r="AF1965" i="3"/>
  <c r="AF1966" i="3"/>
  <c r="AF1967" i="3"/>
  <c r="AF1968" i="3"/>
  <c r="AF1969" i="3"/>
  <c r="AF1970" i="3"/>
  <c r="AF1971" i="3"/>
  <c r="AF1972" i="3"/>
  <c r="AF1973" i="3"/>
  <c r="AF1974" i="3"/>
  <c r="AF1975" i="3"/>
  <c r="AF1976" i="3"/>
  <c r="AF1977" i="3"/>
  <c r="AF1978" i="3"/>
  <c r="AF1979" i="3"/>
  <c r="AF1980" i="3"/>
  <c r="AF1981" i="3"/>
  <c r="AF1982" i="3"/>
  <c r="AF1983" i="3"/>
  <c r="AF1984" i="3"/>
  <c r="AF1985" i="3"/>
  <c r="AF1986" i="3"/>
  <c r="AF1987" i="3"/>
  <c r="AF1988" i="3"/>
  <c r="AF1989" i="3"/>
  <c r="AF1990" i="3"/>
  <c r="AF1991" i="3"/>
  <c r="AF1992" i="3"/>
  <c r="AF1993" i="3"/>
  <c r="AF1994" i="3"/>
  <c r="AF1995" i="3"/>
  <c r="AF1996" i="3"/>
  <c r="AF1997" i="3"/>
  <c r="AF1998" i="3"/>
  <c r="AF1999" i="3"/>
  <c r="AF2000" i="3"/>
  <c r="AF2001" i="3"/>
  <c r="AF2002" i="3"/>
  <c r="AF2003" i="3"/>
  <c r="AF2004" i="3"/>
  <c r="AF2005" i="3"/>
  <c r="AF2006" i="3"/>
  <c r="AF2007" i="3"/>
  <c r="AF2008" i="3"/>
  <c r="AF2009" i="3"/>
  <c r="AF2010" i="3"/>
  <c r="AF2011" i="3"/>
  <c r="AF2012" i="3"/>
  <c r="AF2013" i="3"/>
  <c r="AF2014" i="3"/>
  <c r="AF2015" i="3"/>
  <c r="AF2016" i="3"/>
  <c r="AF2017" i="3"/>
  <c r="AF2018" i="3"/>
  <c r="AF2019" i="3"/>
  <c r="AF2020" i="3"/>
  <c r="AF2021" i="3"/>
  <c r="AF2022" i="3"/>
  <c r="AF2023" i="3"/>
  <c r="AF2024" i="3"/>
  <c r="AF2025" i="3"/>
  <c r="AF2026" i="3"/>
  <c r="AF2027" i="3"/>
  <c r="AF2028" i="3"/>
  <c r="AF2029" i="3"/>
  <c r="AF2030" i="3"/>
  <c r="AF2031" i="3"/>
  <c r="AF2032" i="3"/>
  <c r="AF2033" i="3"/>
  <c r="AF2034" i="3"/>
  <c r="AF2035" i="3"/>
  <c r="AF2036" i="3"/>
  <c r="AF2037" i="3"/>
  <c r="AF2038" i="3"/>
  <c r="AF2039" i="3"/>
  <c r="AF2040" i="3"/>
  <c r="AF2041" i="3"/>
  <c r="AF2042" i="3"/>
  <c r="AF2043" i="3"/>
  <c r="AF2044" i="3"/>
  <c r="AF2045" i="3"/>
  <c r="AF2046" i="3"/>
  <c r="AF2047" i="3"/>
  <c r="AF2048" i="3"/>
  <c r="AF2049" i="3"/>
  <c r="AF2050" i="3"/>
  <c r="AF2051" i="3"/>
  <c r="AF2052" i="3"/>
  <c r="AF2053" i="3"/>
  <c r="AF2054" i="3"/>
  <c r="AF2055" i="3"/>
  <c r="AF2056" i="3"/>
  <c r="AF2057" i="3"/>
  <c r="AF2058" i="3"/>
  <c r="AF2059" i="3"/>
  <c r="AF2060" i="3"/>
  <c r="AF2061" i="3"/>
  <c r="AF2062" i="3"/>
  <c r="AF2063" i="3"/>
  <c r="AF2064" i="3"/>
  <c r="AF2065" i="3"/>
  <c r="AF2066" i="3"/>
  <c r="AF2067" i="3"/>
  <c r="AF2068" i="3"/>
  <c r="AF2069" i="3"/>
  <c r="AF2070" i="3"/>
  <c r="AF2071" i="3"/>
  <c r="AF2072" i="3"/>
  <c r="AF2073" i="3"/>
  <c r="AF2074" i="3"/>
  <c r="AF2075" i="3"/>
  <c r="AF2076" i="3"/>
  <c r="AF2077" i="3"/>
  <c r="AF2078" i="3"/>
  <c r="AF2079" i="3"/>
  <c r="AF2080" i="3"/>
  <c r="AF2081" i="3"/>
  <c r="AF2082" i="3"/>
  <c r="AF2083" i="3"/>
  <c r="AF2084" i="3"/>
  <c r="AF2085" i="3"/>
  <c r="AF2086" i="3"/>
  <c r="AF2087" i="3"/>
  <c r="AF2088" i="3"/>
  <c r="AF2089" i="3"/>
  <c r="AF2090" i="3"/>
  <c r="AF2091" i="3"/>
  <c r="AF2092" i="3"/>
  <c r="AF2093" i="3"/>
  <c r="AF2094" i="3"/>
  <c r="AF2095" i="3"/>
  <c r="AF2096" i="3"/>
  <c r="AF2097" i="3"/>
  <c r="AF2098" i="3"/>
  <c r="AF2099" i="3"/>
  <c r="AF2100" i="3"/>
  <c r="AF2101" i="3"/>
  <c r="AF2102" i="3"/>
  <c r="AF2103" i="3"/>
  <c r="AF2104" i="3"/>
  <c r="AF2105" i="3"/>
  <c r="AF2106" i="3"/>
  <c r="AF2107" i="3"/>
  <c r="AF2108" i="3"/>
  <c r="AF2109" i="3"/>
  <c r="AF2110" i="3"/>
  <c r="AF2111" i="3"/>
  <c r="AF2112" i="3"/>
  <c r="AF2113" i="3"/>
  <c r="AF2114" i="3"/>
  <c r="AF2115" i="3"/>
  <c r="AF2116" i="3"/>
  <c r="AF2117" i="3"/>
  <c r="AF2118" i="3"/>
  <c r="AF2119" i="3"/>
  <c r="AF2120" i="3"/>
  <c r="AF2121" i="3"/>
  <c r="AF2122" i="3"/>
  <c r="AF2123" i="3"/>
  <c r="AF2124" i="3"/>
  <c r="AF2125" i="3"/>
  <c r="AF2126" i="3"/>
  <c r="AF2127" i="3"/>
  <c r="AF2128" i="3"/>
  <c r="AF2129" i="3"/>
  <c r="AF2130" i="3"/>
  <c r="AF2131" i="3"/>
  <c r="AF2132" i="3"/>
  <c r="AF2133" i="3"/>
  <c r="AF2134" i="3"/>
  <c r="AF2135" i="3"/>
  <c r="AF2136" i="3"/>
  <c r="AF2137" i="3"/>
  <c r="AF2138" i="3"/>
  <c r="AF2139" i="3"/>
  <c r="AF2140" i="3"/>
  <c r="AF2141" i="3"/>
  <c r="AF2142" i="3"/>
  <c r="AF2143" i="3"/>
  <c r="AF2144" i="3"/>
  <c r="AF2145" i="3"/>
  <c r="AF2146" i="3"/>
  <c r="AF2147" i="3"/>
  <c r="AF2148" i="3"/>
  <c r="AF2149" i="3"/>
  <c r="AF2150" i="3"/>
  <c r="AF2151" i="3"/>
  <c r="AF2152" i="3"/>
  <c r="AF2153" i="3"/>
  <c r="AF2154" i="3"/>
  <c r="AF2155" i="3"/>
  <c r="AF2156" i="3"/>
  <c r="AF2157" i="3"/>
  <c r="AF2158" i="3"/>
  <c r="AF2159" i="3"/>
  <c r="AF2160" i="3"/>
  <c r="AF2161" i="3"/>
  <c r="AF2162" i="3"/>
  <c r="AF2163" i="3"/>
  <c r="AF2164" i="3"/>
  <c r="AF2165" i="3"/>
  <c r="AF2166" i="3"/>
  <c r="AF2167" i="3"/>
  <c r="AF2168" i="3"/>
  <c r="AF2169" i="3"/>
  <c r="AF2170" i="3"/>
  <c r="AF2171" i="3"/>
  <c r="AF2172" i="3"/>
  <c r="AF2173" i="3"/>
  <c r="AF2174" i="3"/>
  <c r="AF2175" i="3"/>
  <c r="AF2176" i="3"/>
  <c r="AF2177" i="3"/>
  <c r="AF2178" i="3"/>
  <c r="AF2179" i="3"/>
  <c r="AF2180" i="3"/>
  <c r="AF2181" i="3"/>
  <c r="AF2182" i="3"/>
  <c r="AF2183" i="3"/>
  <c r="AF2184" i="3"/>
  <c r="AF2185" i="3"/>
  <c r="AF2186" i="3"/>
  <c r="AF2187" i="3"/>
  <c r="AF2188" i="3"/>
  <c r="AF2189" i="3"/>
  <c r="AF2190" i="3"/>
  <c r="AF2191" i="3"/>
  <c r="AF2192" i="3"/>
  <c r="AF2193" i="3"/>
  <c r="AF2194" i="3"/>
  <c r="AF2195" i="3"/>
  <c r="AF2196" i="3"/>
  <c r="AF2197" i="3"/>
  <c r="AF2198" i="3"/>
  <c r="AF2199" i="3"/>
  <c r="AF2200" i="3"/>
  <c r="AF2201" i="3"/>
  <c r="AF2202" i="3"/>
  <c r="AF2203" i="3"/>
  <c r="AF2204" i="3"/>
  <c r="AF2205" i="3"/>
  <c r="AF2206" i="3"/>
  <c r="AF2207" i="3"/>
  <c r="AF2208" i="3"/>
  <c r="AF2209" i="3"/>
  <c r="AF2210" i="3"/>
  <c r="AF2211" i="3"/>
  <c r="AF2212" i="3"/>
  <c r="AF2213" i="3"/>
  <c r="AF2214" i="3"/>
  <c r="AF2215" i="3"/>
  <c r="AF2216" i="3"/>
  <c r="AF2217" i="3"/>
  <c r="AF2218" i="3"/>
  <c r="AF2219" i="3"/>
  <c r="AF2220" i="3"/>
  <c r="AF2221" i="3"/>
  <c r="AF2222" i="3"/>
  <c r="AF2223" i="3"/>
  <c r="AF2224" i="3"/>
  <c r="AF2225" i="3"/>
  <c r="AF2226" i="3"/>
  <c r="AF2227" i="3"/>
  <c r="AF2228" i="3"/>
  <c r="AF2229" i="3"/>
  <c r="AF2230" i="3"/>
  <c r="AF2231" i="3"/>
  <c r="AF2232" i="3"/>
  <c r="AF2233" i="3"/>
  <c r="AF2234" i="3"/>
  <c r="AF2235" i="3"/>
  <c r="AF2236" i="3"/>
  <c r="AF2237" i="3"/>
  <c r="AF2238" i="3"/>
  <c r="AF2239" i="3"/>
  <c r="AF2240" i="3"/>
  <c r="AF2241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E850" i="3"/>
  <c r="AE851" i="3"/>
  <c r="AE852" i="3"/>
  <c r="AE853" i="3"/>
  <c r="AE854" i="3"/>
  <c r="AE855" i="3"/>
  <c r="AE856" i="3"/>
  <c r="AE857" i="3"/>
  <c r="AE858" i="3"/>
  <c r="AE859" i="3"/>
  <c r="AE860" i="3"/>
  <c r="AE861" i="3"/>
  <c r="AE862" i="3"/>
  <c r="AE863" i="3"/>
  <c r="AE864" i="3"/>
  <c r="AE865" i="3"/>
  <c r="AE866" i="3"/>
  <c r="AE867" i="3"/>
  <c r="AE868" i="3"/>
  <c r="AE869" i="3"/>
  <c r="AE870" i="3"/>
  <c r="AE871" i="3"/>
  <c r="AE872" i="3"/>
  <c r="AE873" i="3"/>
  <c r="AE874" i="3"/>
  <c r="AE875" i="3"/>
  <c r="AE876" i="3"/>
  <c r="AE877" i="3"/>
  <c r="AE878" i="3"/>
  <c r="AE879" i="3"/>
  <c r="AE880" i="3"/>
  <c r="AE881" i="3"/>
  <c r="AE882" i="3"/>
  <c r="AE883" i="3"/>
  <c r="AE884" i="3"/>
  <c r="AE885" i="3"/>
  <c r="AE886" i="3"/>
  <c r="AE887" i="3"/>
  <c r="AE888" i="3"/>
  <c r="AE889" i="3"/>
  <c r="AE890" i="3"/>
  <c r="AE891" i="3"/>
  <c r="AE892" i="3"/>
  <c r="AE893" i="3"/>
  <c r="AE894" i="3"/>
  <c r="AE895" i="3"/>
  <c r="AE896" i="3"/>
  <c r="AE897" i="3"/>
  <c r="AE898" i="3"/>
  <c r="AE899" i="3"/>
  <c r="AE900" i="3"/>
  <c r="AE901" i="3"/>
  <c r="AE902" i="3"/>
  <c r="AE903" i="3"/>
  <c r="AE904" i="3"/>
  <c r="AE905" i="3"/>
  <c r="AE906" i="3"/>
  <c r="AE907" i="3"/>
  <c r="AE908" i="3"/>
  <c r="AE909" i="3"/>
  <c r="AE910" i="3"/>
  <c r="AE911" i="3"/>
  <c r="AE912" i="3"/>
  <c r="AE913" i="3"/>
  <c r="AE914" i="3"/>
  <c r="AE915" i="3"/>
  <c r="AE916" i="3"/>
  <c r="AE917" i="3"/>
  <c r="AE918" i="3"/>
  <c r="AE919" i="3"/>
  <c r="AE920" i="3"/>
  <c r="AE921" i="3"/>
  <c r="AE922" i="3"/>
  <c r="AE923" i="3"/>
  <c r="AE924" i="3"/>
  <c r="AE925" i="3"/>
  <c r="AE926" i="3"/>
  <c r="AE927" i="3"/>
  <c r="AE928" i="3"/>
  <c r="AE929" i="3"/>
  <c r="AE930" i="3"/>
  <c r="AE931" i="3"/>
  <c r="AE932" i="3"/>
  <c r="AE933" i="3"/>
  <c r="AE934" i="3"/>
  <c r="AE935" i="3"/>
  <c r="AE936" i="3"/>
  <c r="AE937" i="3"/>
  <c r="AE938" i="3"/>
  <c r="AE939" i="3"/>
  <c r="AE940" i="3"/>
  <c r="AE941" i="3"/>
  <c r="AE942" i="3"/>
  <c r="AE943" i="3"/>
  <c r="AE944" i="3"/>
  <c r="AE945" i="3"/>
  <c r="AE946" i="3"/>
  <c r="AE947" i="3"/>
  <c r="AE948" i="3"/>
  <c r="AE949" i="3"/>
  <c r="AE950" i="3"/>
  <c r="AE951" i="3"/>
  <c r="AE952" i="3"/>
  <c r="AE953" i="3"/>
  <c r="AE954" i="3"/>
  <c r="AE955" i="3"/>
  <c r="AE956" i="3"/>
  <c r="AE957" i="3"/>
  <c r="AE958" i="3"/>
  <c r="AE959" i="3"/>
  <c r="AE960" i="3"/>
  <c r="AE961" i="3"/>
  <c r="AE962" i="3"/>
  <c r="AE963" i="3"/>
  <c r="AE964" i="3"/>
  <c r="AE965" i="3"/>
  <c r="AE966" i="3"/>
  <c r="AE967" i="3"/>
  <c r="AE968" i="3"/>
  <c r="AE969" i="3"/>
  <c r="AE970" i="3"/>
  <c r="AE971" i="3"/>
  <c r="AE972" i="3"/>
  <c r="AE973" i="3"/>
  <c r="AE974" i="3"/>
  <c r="AE975" i="3"/>
  <c r="AE976" i="3"/>
  <c r="AE977" i="3"/>
  <c r="AE978" i="3"/>
  <c r="AE979" i="3"/>
  <c r="AE980" i="3"/>
  <c r="AE981" i="3"/>
  <c r="AE982" i="3"/>
  <c r="AE983" i="3"/>
  <c r="AE984" i="3"/>
  <c r="AE985" i="3"/>
  <c r="AE986" i="3"/>
  <c r="AE987" i="3"/>
  <c r="AE988" i="3"/>
  <c r="AE989" i="3"/>
  <c r="AE990" i="3"/>
  <c r="AE991" i="3"/>
  <c r="AE992" i="3"/>
  <c r="AE993" i="3"/>
  <c r="AE994" i="3"/>
  <c r="AE995" i="3"/>
  <c r="AE996" i="3"/>
  <c r="AE997" i="3"/>
  <c r="AE998" i="3"/>
  <c r="AE999" i="3"/>
  <c r="AE1000" i="3"/>
  <c r="AE1001" i="3"/>
  <c r="AE1002" i="3"/>
  <c r="AE1003" i="3"/>
  <c r="AE1004" i="3"/>
  <c r="AE1005" i="3"/>
  <c r="AE1006" i="3"/>
  <c r="AE1007" i="3"/>
  <c r="AE1008" i="3"/>
  <c r="AE1009" i="3"/>
  <c r="AE1010" i="3"/>
  <c r="AE1011" i="3"/>
  <c r="AE1012" i="3"/>
  <c r="AE1013" i="3"/>
  <c r="AE1014" i="3"/>
  <c r="AE1015" i="3"/>
  <c r="AE1016" i="3"/>
  <c r="AE1017" i="3"/>
  <c r="AE1018" i="3"/>
  <c r="AE1019" i="3"/>
  <c r="AE1020" i="3"/>
  <c r="AE1021" i="3"/>
  <c r="AE1022" i="3"/>
  <c r="AE1023" i="3"/>
  <c r="AE1024" i="3"/>
  <c r="AE1025" i="3"/>
  <c r="AE1026" i="3"/>
  <c r="AE1027" i="3"/>
  <c r="AE1028" i="3"/>
  <c r="AE1029" i="3"/>
  <c r="AE1030" i="3"/>
  <c r="AE1031" i="3"/>
  <c r="AE1032" i="3"/>
  <c r="AE1033" i="3"/>
  <c r="AE1034" i="3"/>
  <c r="AE1035" i="3"/>
  <c r="AE1036" i="3"/>
  <c r="AE1037" i="3"/>
  <c r="AE1038" i="3"/>
  <c r="AE1039" i="3"/>
  <c r="AE1040" i="3"/>
  <c r="AE1041" i="3"/>
  <c r="AE1042" i="3"/>
  <c r="AE1043" i="3"/>
  <c r="AE1044" i="3"/>
  <c r="AE1045" i="3"/>
  <c r="AE1046" i="3"/>
  <c r="AE1047" i="3"/>
  <c r="AE1048" i="3"/>
  <c r="AE1049" i="3"/>
  <c r="AE1050" i="3"/>
  <c r="AE1051" i="3"/>
  <c r="AE1052" i="3"/>
  <c r="AE1053" i="3"/>
  <c r="AE1054" i="3"/>
  <c r="AE1055" i="3"/>
  <c r="AE1056" i="3"/>
  <c r="AE1057" i="3"/>
  <c r="AE1058" i="3"/>
  <c r="AE1059" i="3"/>
  <c r="AE1060" i="3"/>
  <c r="AE1061" i="3"/>
  <c r="AE1062" i="3"/>
  <c r="AE1063" i="3"/>
  <c r="AE1064" i="3"/>
  <c r="AE1065" i="3"/>
  <c r="AE1066" i="3"/>
  <c r="AE1067" i="3"/>
  <c r="AE1068" i="3"/>
  <c r="AE1069" i="3"/>
  <c r="AE1070" i="3"/>
  <c r="AE1071" i="3"/>
  <c r="AE1072" i="3"/>
  <c r="AE1073" i="3"/>
  <c r="AE1074" i="3"/>
  <c r="AE1075" i="3"/>
  <c r="AE1076" i="3"/>
  <c r="AE1077" i="3"/>
  <c r="AE1078" i="3"/>
  <c r="AE1079" i="3"/>
  <c r="AE1080" i="3"/>
  <c r="AE1081" i="3"/>
  <c r="AE1082" i="3"/>
  <c r="AE1083" i="3"/>
  <c r="AE1084" i="3"/>
  <c r="AE1085" i="3"/>
  <c r="AE1086" i="3"/>
  <c r="AE1087" i="3"/>
  <c r="AE1088" i="3"/>
  <c r="AE1089" i="3"/>
  <c r="AE1090" i="3"/>
  <c r="AE1091" i="3"/>
  <c r="AE1092" i="3"/>
  <c r="AE1093" i="3"/>
  <c r="AE1094" i="3"/>
  <c r="AE1095" i="3"/>
  <c r="AE1096" i="3"/>
  <c r="AE1097" i="3"/>
  <c r="AE1098" i="3"/>
  <c r="AE1099" i="3"/>
  <c r="AE1100" i="3"/>
  <c r="AE1101" i="3"/>
  <c r="AE1102" i="3"/>
  <c r="AE1103" i="3"/>
  <c r="AE1104" i="3"/>
  <c r="AE1105" i="3"/>
  <c r="AE1106" i="3"/>
  <c r="AE1107" i="3"/>
  <c r="AE1108" i="3"/>
  <c r="AE1109" i="3"/>
  <c r="AE1110" i="3"/>
  <c r="AE1111" i="3"/>
  <c r="AE1112" i="3"/>
  <c r="AE1113" i="3"/>
  <c r="AE1114" i="3"/>
  <c r="AE1115" i="3"/>
  <c r="AE1116" i="3"/>
  <c r="AE1117" i="3"/>
  <c r="AE1118" i="3"/>
  <c r="AE1119" i="3"/>
  <c r="AE1120" i="3"/>
  <c r="AE1121" i="3"/>
  <c r="AE1122" i="3"/>
  <c r="AE1123" i="3"/>
  <c r="AE1124" i="3"/>
  <c r="AE1125" i="3"/>
  <c r="AE1126" i="3"/>
  <c r="AE1127" i="3"/>
  <c r="AE1128" i="3"/>
  <c r="AE1129" i="3"/>
  <c r="AE1130" i="3"/>
  <c r="AE1131" i="3"/>
  <c r="AE1132" i="3"/>
  <c r="AE1133" i="3"/>
  <c r="AE1134" i="3"/>
  <c r="AE1135" i="3"/>
  <c r="AE1136" i="3"/>
  <c r="AE1137" i="3"/>
  <c r="AE1138" i="3"/>
  <c r="AE1139" i="3"/>
  <c r="AE1140" i="3"/>
  <c r="AE1141" i="3"/>
  <c r="AE1142" i="3"/>
  <c r="AE1143" i="3"/>
  <c r="AE1144" i="3"/>
  <c r="AE1145" i="3"/>
  <c r="AE1146" i="3"/>
  <c r="AE1147" i="3"/>
  <c r="AE1148" i="3"/>
  <c r="AE1149" i="3"/>
  <c r="AE1150" i="3"/>
  <c r="AE1151" i="3"/>
  <c r="AE1152" i="3"/>
  <c r="AE1153" i="3"/>
  <c r="AE1154" i="3"/>
  <c r="AE1155" i="3"/>
  <c r="AE1156" i="3"/>
  <c r="AE1157" i="3"/>
  <c r="AE1158" i="3"/>
  <c r="AE1159" i="3"/>
  <c r="AE1160" i="3"/>
  <c r="AE1161" i="3"/>
  <c r="AE1162" i="3"/>
  <c r="AE1163" i="3"/>
  <c r="AE1164" i="3"/>
  <c r="AE1165" i="3"/>
  <c r="AE1166" i="3"/>
  <c r="AE1167" i="3"/>
  <c r="AE1168" i="3"/>
  <c r="AE1169" i="3"/>
  <c r="AE1170" i="3"/>
  <c r="AE1171" i="3"/>
  <c r="AE1172" i="3"/>
  <c r="AE1173" i="3"/>
  <c r="AE1174" i="3"/>
  <c r="AE1175" i="3"/>
  <c r="AE1176" i="3"/>
  <c r="AE1177" i="3"/>
  <c r="AE1178" i="3"/>
  <c r="AE1179" i="3"/>
  <c r="AE1180" i="3"/>
  <c r="AE1181" i="3"/>
  <c r="AE1182" i="3"/>
  <c r="AE1183" i="3"/>
  <c r="AE1184" i="3"/>
  <c r="AE1185" i="3"/>
  <c r="AE1186" i="3"/>
  <c r="AE1187" i="3"/>
  <c r="AE1188" i="3"/>
  <c r="AE1189" i="3"/>
  <c r="AE1190" i="3"/>
  <c r="AE1191" i="3"/>
  <c r="AE1192" i="3"/>
  <c r="AE1193" i="3"/>
  <c r="AE1194" i="3"/>
  <c r="AE1195" i="3"/>
  <c r="AE1196" i="3"/>
  <c r="AE1197" i="3"/>
  <c r="AE1198" i="3"/>
  <c r="AE1199" i="3"/>
  <c r="AE1200" i="3"/>
  <c r="AE1201" i="3"/>
  <c r="AE1202" i="3"/>
  <c r="AE1203" i="3"/>
  <c r="AE1204" i="3"/>
  <c r="AE1205" i="3"/>
  <c r="AE1206" i="3"/>
  <c r="AE1207" i="3"/>
  <c r="AE1208" i="3"/>
  <c r="AE1209" i="3"/>
  <c r="AE1210" i="3"/>
  <c r="AE1211" i="3"/>
  <c r="AE1212" i="3"/>
  <c r="AE1213" i="3"/>
  <c r="AE1214" i="3"/>
  <c r="AE1215" i="3"/>
  <c r="AE1216" i="3"/>
  <c r="AE1217" i="3"/>
  <c r="AE1218" i="3"/>
  <c r="AE1219" i="3"/>
  <c r="AE1220" i="3"/>
  <c r="AE1221" i="3"/>
  <c r="AE1222" i="3"/>
  <c r="AE1223" i="3"/>
  <c r="AE1224" i="3"/>
  <c r="AE1225" i="3"/>
  <c r="AE1226" i="3"/>
  <c r="AE1227" i="3"/>
  <c r="AE1228" i="3"/>
  <c r="AE1229" i="3"/>
  <c r="AE1230" i="3"/>
  <c r="AE1231" i="3"/>
  <c r="AE1232" i="3"/>
  <c r="AE1233" i="3"/>
  <c r="AE1234" i="3"/>
  <c r="AE1235" i="3"/>
  <c r="AE1236" i="3"/>
  <c r="AE1237" i="3"/>
  <c r="AE1238" i="3"/>
  <c r="AE1239" i="3"/>
  <c r="AE1240" i="3"/>
  <c r="AE1241" i="3"/>
  <c r="AE1242" i="3"/>
  <c r="AE1243" i="3"/>
  <c r="AE1244" i="3"/>
  <c r="AE1245" i="3"/>
  <c r="AE1246" i="3"/>
  <c r="AE1247" i="3"/>
  <c r="AE1248" i="3"/>
  <c r="AE1249" i="3"/>
  <c r="AE1250" i="3"/>
  <c r="AE1251" i="3"/>
  <c r="AE1252" i="3"/>
  <c r="AE1253" i="3"/>
  <c r="AE1254" i="3"/>
  <c r="AE1255" i="3"/>
  <c r="AE1256" i="3"/>
  <c r="AE1257" i="3"/>
  <c r="AE1258" i="3"/>
  <c r="AE1259" i="3"/>
  <c r="AE1260" i="3"/>
  <c r="AE1261" i="3"/>
  <c r="AE1262" i="3"/>
  <c r="AE1263" i="3"/>
  <c r="AE1264" i="3"/>
  <c r="AE1265" i="3"/>
  <c r="AE1266" i="3"/>
  <c r="AE1267" i="3"/>
  <c r="AE1268" i="3"/>
  <c r="AE1269" i="3"/>
  <c r="AE1270" i="3"/>
  <c r="AE1271" i="3"/>
  <c r="AE1272" i="3"/>
  <c r="AE1273" i="3"/>
  <c r="AE1274" i="3"/>
  <c r="AE1275" i="3"/>
  <c r="AE1276" i="3"/>
  <c r="AE1277" i="3"/>
  <c r="AE1278" i="3"/>
  <c r="AE1279" i="3"/>
  <c r="AE1280" i="3"/>
  <c r="AE1281" i="3"/>
  <c r="AE1282" i="3"/>
  <c r="AE1283" i="3"/>
  <c r="AE1284" i="3"/>
  <c r="AE1285" i="3"/>
  <c r="AE1286" i="3"/>
  <c r="AE1287" i="3"/>
  <c r="AE1288" i="3"/>
  <c r="AE1289" i="3"/>
  <c r="AE1290" i="3"/>
  <c r="AE1291" i="3"/>
  <c r="AE1292" i="3"/>
  <c r="AE1293" i="3"/>
  <c r="AE1294" i="3"/>
  <c r="AE1295" i="3"/>
  <c r="AE1296" i="3"/>
  <c r="AE1297" i="3"/>
  <c r="AE1298" i="3"/>
  <c r="AE1299" i="3"/>
  <c r="AE1300" i="3"/>
  <c r="AE1301" i="3"/>
  <c r="AE1302" i="3"/>
  <c r="AE1303" i="3"/>
  <c r="AE1304" i="3"/>
  <c r="AE1305" i="3"/>
  <c r="AE1306" i="3"/>
  <c r="AE1307" i="3"/>
  <c r="AE1308" i="3"/>
  <c r="AE1309" i="3"/>
  <c r="AE1310" i="3"/>
  <c r="AE1311" i="3"/>
  <c r="AE1312" i="3"/>
  <c r="AE1313" i="3"/>
  <c r="AE1314" i="3"/>
  <c r="AE1315" i="3"/>
  <c r="AE1316" i="3"/>
  <c r="AE1317" i="3"/>
  <c r="AE1318" i="3"/>
  <c r="AE1319" i="3"/>
  <c r="AE1320" i="3"/>
  <c r="AE1321" i="3"/>
  <c r="AE1322" i="3"/>
  <c r="AE1323" i="3"/>
  <c r="AE1324" i="3"/>
  <c r="AE1325" i="3"/>
  <c r="AE1326" i="3"/>
  <c r="AE1327" i="3"/>
  <c r="AE1328" i="3"/>
  <c r="AE1329" i="3"/>
  <c r="AE1330" i="3"/>
  <c r="AE1331" i="3"/>
  <c r="AE1332" i="3"/>
  <c r="AE1333" i="3"/>
  <c r="AE1334" i="3"/>
  <c r="AE1335" i="3"/>
  <c r="AE1336" i="3"/>
  <c r="AE1337" i="3"/>
  <c r="AE1338" i="3"/>
  <c r="AE1339" i="3"/>
  <c r="AE1340" i="3"/>
  <c r="AE1341" i="3"/>
  <c r="AE1342" i="3"/>
  <c r="AE1343" i="3"/>
  <c r="AE1344" i="3"/>
  <c r="AE1345" i="3"/>
  <c r="AE1346" i="3"/>
  <c r="AE1347" i="3"/>
  <c r="AE1348" i="3"/>
  <c r="AE1349" i="3"/>
  <c r="AE1350" i="3"/>
  <c r="AE1351" i="3"/>
  <c r="AE1352" i="3"/>
  <c r="AE1353" i="3"/>
  <c r="AE1354" i="3"/>
  <c r="AE1355" i="3"/>
  <c r="AE1356" i="3"/>
  <c r="AE1357" i="3"/>
  <c r="AE1358" i="3"/>
  <c r="AE1359" i="3"/>
  <c r="AE1360" i="3"/>
  <c r="AE1361" i="3"/>
  <c r="AE1362" i="3"/>
  <c r="AE1363" i="3"/>
  <c r="AE1364" i="3"/>
  <c r="AE1365" i="3"/>
  <c r="AE1366" i="3"/>
  <c r="AE1367" i="3"/>
  <c r="AE1368" i="3"/>
  <c r="AE1369" i="3"/>
  <c r="AE1370" i="3"/>
  <c r="AE1371" i="3"/>
  <c r="AE1372" i="3"/>
  <c r="AE1373" i="3"/>
  <c r="AE1374" i="3"/>
  <c r="AE1375" i="3"/>
  <c r="AE1376" i="3"/>
  <c r="AE1377" i="3"/>
  <c r="AE1378" i="3"/>
  <c r="AE1379" i="3"/>
  <c r="AE1380" i="3"/>
  <c r="AE1381" i="3"/>
  <c r="AE1382" i="3"/>
  <c r="AE1383" i="3"/>
  <c r="AE1384" i="3"/>
  <c r="AE1385" i="3"/>
  <c r="AE1386" i="3"/>
  <c r="AE1387" i="3"/>
  <c r="AE1388" i="3"/>
  <c r="AE1389" i="3"/>
  <c r="AE1390" i="3"/>
  <c r="AE1391" i="3"/>
  <c r="AE1392" i="3"/>
  <c r="AE1393" i="3"/>
  <c r="AE1394" i="3"/>
  <c r="AE1395" i="3"/>
  <c r="AE1396" i="3"/>
  <c r="AE1397" i="3"/>
  <c r="AE1398" i="3"/>
  <c r="AE1399" i="3"/>
  <c r="AE1400" i="3"/>
  <c r="AE1401" i="3"/>
  <c r="AE1402" i="3"/>
  <c r="AE1403" i="3"/>
  <c r="AE1404" i="3"/>
  <c r="AE1405" i="3"/>
  <c r="AE1406" i="3"/>
  <c r="AE1407" i="3"/>
  <c r="AE1408" i="3"/>
  <c r="AE1409" i="3"/>
  <c r="AE1410" i="3"/>
  <c r="AE1411" i="3"/>
  <c r="AE1412" i="3"/>
  <c r="AE1413" i="3"/>
  <c r="AE1414" i="3"/>
  <c r="AE1415" i="3"/>
  <c r="AE1416" i="3"/>
  <c r="AE1417" i="3"/>
  <c r="AE1418" i="3"/>
  <c r="AE1419" i="3"/>
  <c r="AE1420" i="3"/>
  <c r="AE1421" i="3"/>
  <c r="AE1422" i="3"/>
  <c r="AE1423" i="3"/>
  <c r="AE1424" i="3"/>
  <c r="AE1425" i="3"/>
  <c r="AE1426" i="3"/>
  <c r="AE1427" i="3"/>
  <c r="AE1428" i="3"/>
  <c r="AE1429" i="3"/>
  <c r="AE1430" i="3"/>
  <c r="AE1431" i="3"/>
  <c r="AE1432" i="3"/>
  <c r="AE1433" i="3"/>
  <c r="AE1434" i="3"/>
  <c r="AE1435" i="3"/>
  <c r="AE1436" i="3"/>
  <c r="AE1437" i="3"/>
  <c r="AE1438" i="3"/>
  <c r="AE1439" i="3"/>
  <c r="AE1440" i="3"/>
  <c r="AE1441" i="3"/>
  <c r="AE1442" i="3"/>
  <c r="AE1443" i="3"/>
  <c r="AE1444" i="3"/>
  <c r="AE1445" i="3"/>
  <c r="AE1446" i="3"/>
  <c r="AE1447" i="3"/>
  <c r="AE1448" i="3"/>
  <c r="AE1449" i="3"/>
  <c r="AE1450" i="3"/>
  <c r="AE1451" i="3"/>
  <c r="AE1452" i="3"/>
  <c r="AE1453" i="3"/>
  <c r="AE1454" i="3"/>
  <c r="AE1455" i="3"/>
  <c r="AE1456" i="3"/>
  <c r="AE1457" i="3"/>
  <c r="AE1458" i="3"/>
  <c r="AE1459" i="3"/>
  <c r="AE1460" i="3"/>
  <c r="AE1461" i="3"/>
  <c r="AE1462" i="3"/>
  <c r="AE1463" i="3"/>
  <c r="AE1464" i="3"/>
  <c r="AE1465" i="3"/>
  <c r="AE1466" i="3"/>
  <c r="AE1467" i="3"/>
  <c r="AE1468" i="3"/>
  <c r="AE1469" i="3"/>
  <c r="AE1470" i="3"/>
  <c r="AE1471" i="3"/>
  <c r="AE1472" i="3"/>
  <c r="AE1473" i="3"/>
  <c r="AE1474" i="3"/>
  <c r="AE1475" i="3"/>
  <c r="AE1476" i="3"/>
  <c r="AE1477" i="3"/>
  <c r="AE1478" i="3"/>
  <c r="AE1479" i="3"/>
  <c r="AE1480" i="3"/>
  <c r="AE1481" i="3"/>
  <c r="AE1482" i="3"/>
  <c r="AE1483" i="3"/>
  <c r="AE1484" i="3"/>
  <c r="AE1485" i="3"/>
  <c r="AE1486" i="3"/>
  <c r="AE1487" i="3"/>
  <c r="AE1488" i="3"/>
  <c r="AE1489" i="3"/>
  <c r="AE1490" i="3"/>
  <c r="AE1491" i="3"/>
  <c r="AE1492" i="3"/>
  <c r="AE1493" i="3"/>
  <c r="AE1494" i="3"/>
  <c r="AE1495" i="3"/>
  <c r="AE1496" i="3"/>
  <c r="AE1497" i="3"/>
  <c r="AE1498" i="3"/>
  <c r="AE1499" i="3"/>
  <c r="AE1500" i="3"/>
  <c r="AE1501" i="3"/>
  <c r="AE1502" i="3"/>
  <c r="AE1503" i="3"/>
  <c r="AE1504" i="3"/>
  <c r="AE1505" i="3"/>
  <c r="AE1506" i="3"/>
  <c r="AE1507" i="3"/>
  <c r="AE1508" i="3"/>
  <c r="AE1509" i="3"/>
  <c r="AE1510" i="3"/>
  <c r="AE1511" i="3"/>
  <c r="AE1512" i="3"/>
  <c r="AE1513" i="3"/>
  <c r="AE1514" i="3"/>
  <c r="AE1515" i="3"/>
  <c r="AE1516" i="3"/>
  <c r="AE1517" i="3"/>
  <c r="AE1518" i="3"/>
  <c r="AE1519" i="3"/>
  <c r="AE1520" i="3"/>
  <c r="AE1521" i="3"/>
  <c r="AE1522" i="3"/>
  <c r="AE1523" i="3"/>
  <c r="AE1524" i="3"/>
  <c r="AE1525" i="3"/>
  <c r="AE1526" i="3"/>
  <c r="AE1527" i="3"/>
  <c r="AE1528" i="3"/>
  <c r="AE1529" i="3"/>
  <c r="AE1530" i="3"/>
  <c r="AE1531" i="3"/>
  <c r="AE1532" i="3"/>
  <c r="AE1533" i="3"/>
  <c r="AE1534" i="3"/>
  <c r="AE1535" i="3"/>
  <c r="AE1536" i="3"/>
  <c r="AE1537" i="3"/>
  <c r="AE1538" i="3"/>
  <c r="AE1539" i="3"/>
  <c r="AE1540" i="3"/>
  <c r="AE1541" i="3"/>
  <c r="AE1542" i="3"/>
  <c r="AE1543" i="3"/>
  <c r="AE1544" i="3"/>
  <c r="AE1545" i="3"/>
  <c r="AE1546" i="3"/>
  <c r="AE1547" i="3"/>
  <c r="AE1548" i="3"/>
  <c r="AE1549" i="3"/>
  <c r="AE1550" i="3"/>
  <c r="AE1551" i="3"/>
  <c r="AE1552" i="3"/>
  <c r="AE1553" i="3"/>
  <c r="AE1554" i="3"/>
  <c r="AE1555" i="3"/>
  <c r="AE1556" i="3"/>
  <c r="AE1557" i="3"/>
  <c r="AE1558" i="3"/>
  <c r="AE1559" i="3"/>
  <c r="AE1560" i="3"/>
  <c r="AE1561" i="3"/>
  <c r="AE1562" i="3"/>
  <c r="AE1563" i="3"/>
  <c r="AE1564" i="3"/>
  <c r="AE1565" i="3"/>
  <c r="AE1566" i="3"/>
  <c r="AE1567" i="3"/>
  <c r="AE1568" i="3"/>
  <c r="AE1569" i="3"/>
  <c r="AE1570" i="3"/>
  <c r="AE1571" i="3"/>
  <c r="AE1572" i="3"/>
  <c r="AE1573" i="3"/>
  <c r="AE1574" i="3"/>
  <c r="AE1575" i="3"/>
  <c r="AE1576" i="3"/>
  <c r="AE1577" i="3"/>
  <c r="AE1578" i="3"/>
  <c r="AE1579" i="3"/>
  <c r="AE1580" i="3"/>
  <c r="AE1581" i="3"/>
  <c r="AE1582" i="3"/>
  <c r="AE1583" i="3"/>
  <c r="AE1584" i="3"/>
  <c r="AE1585" i="3"/>
  <c r="AE1586" i="3"/>
  <c r="AE1587" i="3"/>
  <c r="AE1588" i="3"/>
  <c r="AE1589" i="3"/>
  <c r="AE1590" i="3"/>
  <c r="AE1591" i="3"/>
  <c r="AE1592" i="3"/>
  <c r="AE1593" i="3"/>
  <c r="AE1594" i="3"/>
  <c r="AE1595" i="3"/>
  <c r="AE1596" i="3"/>
  <c r="AE1597" i="3"/>
  <c r="AE1598" i="3"/>
  <c r="AE1599" i="3"/>
  <c r="AE1600" i="3"/>
  <c r="AE1601" i="3"/>
  <c r="AE1602" i="3"/>
  <c r="AE1603" i="3"/>
  <c r="AE1604" i="3"/>
  <c r="AE1605" i="3"/>
  <c r="AE1606" i="3"/>
  <c r="AE1607" i="3"/>
  <c r="AE1608" i="3"/>
  <c r="AE1609" i="3"/>
  <c r="AE1610" i="3"/>
  <c r="AE1611" i="3"/>
  <c r="AE1612" i="3"/>
  <c r="AE1613" i="3"/>
  <c r="AE1614" i="3"/>
  <c r="AE1615" i="3"/>
  <c r="AE1616" i="3"/>
  <c r="AE1617" i="3"/>
  <c r="AE1618" i="3"/>
  <c r="AE1619" i="3"/>
  <c r="AE1620" i="3"/>
  <c r="AE1621" i="3"/>
  <c r="AE1622" i="3"/>
  <c r="AE1623" i="3"/>
  <c r="AE1624" i="3"/>
  <c r="AE1625" i="3"/>
  <c r="AE1626" i="3"/>
  <c r="AE1627" i="3"/>
  <c r="AE1628" i="3"/>
  <c r="AE1629" i="3"/>
  <c r="AE1630" i="3"/>
  <c r="AE1631" i="3"/>
  <c r="AE1632" i="3"/>
  <c r="AE1633" i="3"/>
  <c r="AE1634" i="3"/>
  <c r="AE1635" i="3"/>
  <c r="AE1636" i="3"/>
  <c r="AE1637" i="3"/>
  <c r="AE1638" i="3"/>
  <c r="AE1639" i="3"/>
  <c r="AE1640" i="3"/>
  <c r="AE1641" i="3"/>
  <c r="AE1642" i="3"/>
  <c r="AE1643" i="3"/>
  <c r="AE1644" i="3"/>
  <c r="AE1645" i="3"/>
  <c r="AE1646" i="3"/>
  <c r="AE1647" i="3"/>
  <c r="AE1648" i="3"/>
  <c r="AE1649" i="3"/>
  <c r="AE1650" i="3"/>
  <c r="AE1651" i="3"/>
  <c r="AE1652" i="3"/>
  <c r="AE1653" i="3"/>
  <c r="AE1654" i="3"/>
  <c r="AE1655" i="3"/>
  <c r="AE1656" i="3"/>
  <c r="AE1657" i="3"/>
  <c r="AE1658" i="3"/>
  <c r="AE1659" i="3"/>
  <c r="AE1660" i="3"/>
  <c r="AE1661" i="3"/>
  <c r="AE1662" i="3"/>
  <c r="AE1663" i="3"/>
  <c r="AE1664" i="3"/>
  <c r="AE1665" i="3"/>
  <c r="AE1666" i="3"/>
  <c r="AE1667" i="3"/>
  <c r="AE1668" i="3"/>
  <c r="AE1669" i="3"/>
  <c r="AE1670" i="3"/>
  <c r="AE1671" i="3"/>
  <c r="AE1672" i="3"/>
  <c r="AE1673" i="3"/>
  <c r="AE1674" i="3"/>
  <c r="AE1675" i="3"/>
  <c r="AE1676" i="3"/>
  <c r="AE1677" i="3"/>
  <c r="AE1678" i="3"/>
  <c r="AE1679" i="3"/>
  <c r="AE1680" i="3"/>
  <c r="AE1681" i="3"/>
  <c r="AE1682" i="3"/>
  <c r="AE1683" i="3"/>
  <c r="AE1684" i="3"/>
  <c r="AE1685" i="3"/>
  <c r="AE1686" i="3"/>
  <c r="AE1687" i="3"/>
  <c r="AE1688" i="3"/>
  <c r="AE1689" i="3"/>
  <c r="AE1690" i="3"/>
  <c r="AE1691" i="3"/>
  <c r="AE1692" i="3"/>
  <c r="AE1693" i="3"/>
  <c r="AE1694" i="3"/>
  <c r="AE1695" i="3"/>
  <c r="AE1696" i="3"/>
  <c r="AE1697" i="3"/>
  <c r="AE1698" i="3"/>
  <c r="AE1699" i="3"/>
  <c r="AE1700" i="3"/>
  <c r="AE1701" i="3"/>
  <c r="AE1702" i="3"/>
  <c r="AE1703" i="3"/>
  <c r="AE1704" i="3"/>
  <c r="AE1705" i="3"/>
  <c r="AE1706" i="3"/>
  <c r="AE1707" i="3"/>
  <c r="AE1708" i="3"/>
  <c r="AE1709" i="3"/>
  <c r="AE1710" i="3"/>
  <c r="AE1711" i="3"/>
  <c r="AE1712" i="3"/>
  <c r="AE1713" i="3"/>
  <c r="AE1714" i="3"/>
  <c r="AE1715" i="3"/>
  <c r="AE1716" i="3"/>
  <c r="AE1717" i="3"/>
  <c r="AE1718" i="3"/>
  <c r="AE1719" i="3"/>
  <c r="AE1720" i="3"/>
  <c r="AE1721" i="3"/>
  <c r="AE1722" i="3"/>
  <c r="AE1723" i="3"/>
  <c r="AE1724" i="3"/>
  <c r="AE1725" i="3"/>
  <c r="AE1726" i="3"/>
  <c r="AE1727" i="3"/>
  <c r="AE1728" i="3"/>
  <c r="AE1729" i="3"/>
  <c r="AE1730" i="3"/>
  <c r="AE1731" i="3"/>
  <c r="AE1732" i="3"/>
  <c r="AE1733" i="3"/>
  <c r="AE1734" i="3"/>
  <c r="AE1735" i="3"/>
  <c r="AE1736" i="3"/>
  <c r="AE1737" i="3"/>
  <c r="AE1738" i="3"/>
  <c r="AE1739" i="3"/>
  <c r="AE1740" i="3"/>
  <c r="AE1741" i="3"/>
  <c r="AE1742" i="3"/>
  <c r="AE1743" i="3"/>
  <c r="AE1744" i="3"/>
  <c r="AE1745" i="3"/>
  <c r="AE1746" i="3"/>
  <c r="AE1747" i="3"/>
  <c r="AE1748" i="3"/>
  <c r="AE1749" i="3"/>
  <c r="AE1750" i="3"/>
  <c r="AE1751" i="3"/>
  <c r="AE1752" i="3"/>
  <c r="AE1753" i="3"/>
  <c r="AE1754" i="3"/>
  <c r="AE1755" i="3"/>
  <c r="AE1756" i="3"/>
  <c r="AE1757" i="3"/>
  <c r="AE1758" i="3"/>
  <c r="AE1759" i="3"/>
  <c r="AE1760" i="3"/>
  <c r="AE1761" i="3"/>
  <c r="AE1762" i="3"/>
  <c r="AE1763" i="3"/>
  <c r="AE1764" i="3"/>
  <c r="AE1765" i="3"/>
  <c r="AE1766" i="3"/>
  <c r="AE1767" i="3"/>
  <c r="AE1768" i="3"/>
  <c r="AE1769" i="3"/>
  <c r="AE1770" i="3"/>
  <c r="AE1771" i="3"/>
  <c r="AE1772" i="3"/>
  <c r="AE1773" i="3"/>
  <c r="AE1774" i="3"/>
  <c r="AE1775" i="3"/>
  <c r="AE1776" i="3"/>
  <c r="AE1777" i="3"/>
  <c r="AE1778" i="3"/>
  <c r="AE1779" i="3"/>
  <c r="AE1780" i="3"/>
  <c r="AE1781" i="3"/>
  <c r="AE1782" i="3"/>
  <c r="AE1783" i="3"/>
  <c r="AE1784" i="3"/>
  <c r="AE1785" i="3"/>
  <c r="AE1786" i="3"/>
  <c r="AE1787" i="3"/>
  <c r="AE1788" i="3"/>
  <c r="AE1789" i="3"/>
  <c r="AE1790" i="3"/>
  <c r="AE1791" i="3"/>
  <c r="AE1792" i="3"/>
  <c r="AE1793" i="3"/>
  <c r="AE1794" i="3"/>
  <c r="AE1795" i="3"/>
  <c r="AE1796" i="3"/>
  <c r="AE1797" i="3"/>
  <c r="AE1798" i="3"/>
  <c r="AE1799" i="3"/>
  <c r="AE1800" i="3"/>
  <c r="AE1801" i="3"/>
  <c r="AE1802" i="3"/>
  <c r="AE1803" i="3"/>
  <c r="AE1804" i="3"/>
  <c r="AE1805" i="3"/>
  <c r="AE1806" i="3"/>
  <c r="AE1807" i="3"/>
  <c r="AE1808" i="3"/>
  <c r="AE1809" i="3"/>
  <c r="AE1810" i="3"/>
  <c r="AE1811" i="3"/>
  <c r="AE1812" i="3"/>
  <c r="AE1813" i="3"/>
  <c r="AE1814" i="3"/>
  <c r="AE1815" i="3"/>
  <c r="AE1816" i="3"/>
  <c r="AE1817" i="3"/>
  <c r="AE1818" i="3"/>
  <c r="AE1819" i="3"/>
  <c r="AE1820" i="3"/>
  <c r="AE1821" i="3"/>
  <c r="AE1822" i="3"/>
  <c r="AE1823" i="3"/>
  <c r="AE1824" i="3"/>
  <c r="AE1825" i="3"/>
  <c r="AE1826" i="3"/>
  <c r="AE1827" i="3"/>
  <c r="AE1828" i="3"/>
  <c r="AE1829" i="3"/>
  <c r="AE1830" i="3"/>
  <c r="AE1831" i="3"/>
  <c r="AE1832" i="3"/>
  <c r="AE1833" i="3"/>
  <c r="AE1834" i="3"/>
  <c r="AE1835" i="3"/>
  <c r="AE1836" i="3"/>
  <c r="AE1837" i="3"/>
  <c r="AE1838" i="3"/>
  <c r="AE1839" i="3"/>
  <c r="AE1840" i="3"/>
  <c r="AE1841" i="3"/>
  <c r="AE1842" i="3"/>
  <c r="AE1843" i="3"/>
  <c r="AE1844" i="3"/>
  <c r="AE1845" i="3"/>
  <c r="AE1846" i="3"/>
  <c r="AE1847" i="3"/>
  <c r="AE1848" i="3"/>
  <c r="AE1849" i="3"/>
  <c r="AE1850" i="3"/>
  <c r="AE1851" i="3"/>
  <c r="AE1852" i="3"/>
  <c r="AE1853" i="3"/>
  <c r="AE1854" i="3"/>
  <c r="AE1855" i="3"/>
  <c r="AE1856" i="3"/>
  <c r="AE1857" i="3"/>
  <c r="AE1858" i="3"/>
  <c r="AE1859" i="3"/>
  <c r="AE1860" i="3"/>
  <c r="AE1861" i="3"/>
  <c r="AE1862" i="3"/>
  <c r="AE1863" i="3"/>
  <c r="AE1864" i="3"/>
  <c r="AE1865" i="3"/>
  <c r="AE1866" i="3"/>
  <c r="AE1867" i="3"/>
  <c r="AE1868" i="3"/>
  <c r="AE1869" i="3"/>
  <c r="AE1870" i="3"/>
  <c r="AE1871" i="3"/>
  <c r="AE1872" i="3"/>
  <c r="AE1873" i="3"/>
  <c r="AE1874" i="3"/>
  <c r="AE1875" i="3"/>
  <c r="AE1876" i="3"/>
  <c r="AE1877" i="3"/>
  <c r="AE1878" i="3"/>
  <c r="AE1879" i="3"/>
  <c r="AE1880" i="3"/>
  <c r="AE1881" i="3"/>
  <c r="AE1882" i="3"/>
  <c r="AE1883" i="3"/>
  <c r="AE1884" i="3"/>
  <c r="AE1885" i="3"/>
  <c r="AE1886" i="3"/>
  <c r="AE1887" i="3"/>
  <c r="AE1888" i="3"/>
  <c r="AE1889" i="3"/>
  <c r="AE1890" i="3"/>
  <c r="AE1891" i="3"/>
  <c r="AE1892" i="3"/>
  <c r="AE1893" i="3"/>
  <c r="AE1894" i="3"/>
  <c r="AE1895" i="3"/>
  <c r="AE1896" i="3"/>
  <c r="AE1897" i="3"/>
  <c r="AE1898" i="3"/>
  <c r="AE1899" i="3"/>
  <c r="AE1900" i="3"/>
  <c r="AE1901" i="3"/>
  <c r="AE1902" i="3"/>
  <c r="AE1903" i="3"/>
  <c r="AE1904" i="3"/>
  <c r="AE1905" i="3"/>
  <c r="AE1906" i="3"/>
  <c r="AE1907" i="3"/>
  <c r="AE1908" i="3"/>
  <c r="AE1909" i="3"/>
  <c r="AE1910" i="3"/>
  <c r="AE1911" i="3"/>
  <c r="AE1912" i="3"/>
  <c r="AE1913" i="3"/>
  <c r="AE1914" i="3"/>
  <c r="AE1915" i="3"/>
  <c r="AE1916" i="3"/>
  <c r="AE1917" i="3"/>
  <c r="AE1918" i="3"/>
  <c r="AE1919" i="3"/>
  <c r="AE1920" i="3"/>
  <c r="AE1921" i="3"/>
  <c r="AE1922" i="3"/>
  <c r="AE1923" i="3"/>
  <c r="AE1924" i="3"/>
  <c r="AE1925" i="3"/>
  <c r="AE1926" i="3"/>
  <c r="AE1927" i="3"/>
  <c r="AE1928" i="3"/>
  <c r="AE1929" i="3"/>
  <c r="AE1930" i="3"/>
  <c r="AE1931" i="3"/>
  <c r="AE1932" i="3"/>
  <c r="AE1933" i="3"/>
  <c r="AE1934" i="3"/>
  <c r="AE1935" i="3"/>
  <c r="AE1936" i="3"/>
  <c r="AE1937" i="3"/>
  <c r="AE1938" i="3"/>
  <c r="AE1939" i="3"/>
  <c r="AE1940" i="3"/>
  <c r="AE1941" i="3"/>
  <c r="AE1942" i="3"/>
  <c r="AE1943" i="3"/>
  <c r="AE1944" i="3"/>
  <c r="AE1945" i="3"/>
  <c r="AE1946" i="3"/>
  <c r="AE1947" i="3"/>
  <c r="AE1948" i="3"/>
  <c r="AE1949" i="3"/>
  <c r="AE1950" i="3"/>
  <c r="AE1951" i="3"/>
  <c r="AE1952" i="3"/>
  <c r="AE1953" i="3"/>
  <c r="AE1954" i="3"/>
  <c r="AE1955" i="3"/>
  <c r="AE1956" i="3"/>
  <c r="AE1957" i="3"/>
  <c r="AE1958" i="3"/>
  <c r="AE1959" i="3"/>
  <c r="AE1960" i="3"/>
  <c r="AE1961" i="3"/>
  <c r="AE1962" i="3"/>
  <c r="AE1963" i="3"/>
  <c r="AE1964" i="3"/>
  <c r="AE1965" i="3"/>
  <c r="AE1966" i="3"/>
  <c r="AE1967" i="3"/>
  <c r="AE1968" i="3"/>
  <c r="AE1969" i="3"/>
  <c r="AE1970" i="3"/>
  <c r="AE1971" i="3"/>
  <c r="AE1972" i="3"/>
  <c r="AE1973" i="3"/>
  <c r="AE1974" i="3"/>
  <c r="AE1975" i="3"/>
  <c r="AE1976" i="3"/>
  <c r="AE1977" i="3"/>
  <c r="AE1978" i="3"/>
  <c r="AE1979" i="3"/>
  <c r="AE1980" i="3"/>
  <c r="AE1981" i="3"/>
  <c r="AE1982" i="3"/>
  <c r="AE1983" i="3"/>
  <c r="AE1984" i="3"/>
  <c r="AE1985" i="3"/>
  <c r="AE1986" i="3"/>
  <c r="AE1987" i="3"/>
  <c r="AE1988" i="3"/>
  <c r="AE1989" i="3"/>
  <c r="AE1990" i="3"/>
  <c r="AE1991" i="3"/>
  <c r="AE1992" i="3"/>
  <c r="AE1993" i="3"/>
  <c r="AE1994" i="3"/>
  <c r="AE1995" i="3"/>
  <c r="AE1996" i="3"/>
  <c r="AE1997" i="3"/>
  <c r="AE1998" i="3"/>
  <c r="AE1999" i="3"/>
  <c r="AE2000" i="3"/>
  <c r="AE2001" i="3"/>
  <c r="AE2002" i="3"/>
  <c r="AE2003" i="3"/>
  <c r="AE2004" i="3"/>
  <c r="AE2005" i="3"/>
  <c r="AE2006" i="3"/>
  <c r="AE2007" i="3"/>
  <c r="AE2008" i="3"/>
  <c r="AE2009" i="3"/>
  <c r="AE2010" i="3"/>
  <c r="AE2011" i="3"/>
  <c r="AE2012" i="3"/>
  <c r="AE2013" i="3"/>
  <c r="AE2014" i="3"/>
  <c r="AE2015" i="3"/>
  <c r="AE2016" i="3"/>
  <c r="AE2017" i="3"/>
  <c r="AE2018" i="3"/>
  <c r="AE2019" i="3"/>
  <c r="AE2020" i="3"/>
  <c r="AE2021" i="3"/>
  <c r="AE2022" i="3"/>
  <c r="AE2023" i="3"/>
  <c r="AE2024" i="3"/>
  <c r="AE2025" i="3"/>
  <c r="AE2026" i="3"/>
  <c r="AE2027" i="3"/>
  <c r="AE2028" i="3"/>
  <c r="AE2029" i="3"/>
  <c r="AE2030" i="3"/>
  <c r="AE2031" i="3"/>
  <c r="AE2032" i="3"/>
  <c r="AE2033" i="3"/>
  <c r="AE2034" i="3"/>
  <c r="AE2035" i="3"/>
  <c r="AE2036" i="3"/>
  <c r="AE2037" i="3"/>
  <c r="AE2038" i="3"/>
  <c r="AE2039" i="3"/>
  <c r="AE2040" i="3"/>
  <c r="AE2041" i="3"/>
  <c r="AE2042" i="3"/>
  <c r="AE2043" i="3"/>
  <c r="AE2044" i="3"/>
  <c r="AE2045" i="3"/>
  <c r="AE2046" i="3"/>
  <c r="AE2047" i="3"/>
  <c r="AE2048" i="3"/>
  <c r="AE2049" i="3"/>
  <c r="AE2050" i="3"/>
  <c r="AE2051" i="3"/>
  <c r="AE2052" i="3"/>
  <c r="AE2053" i="3"/>
  <c r="AE2054" i="3"/>
  <c r="AE2055" i="3"/>
  <c r="AE2056" i="3"/>
  <c r="AE2057" i="3"/>
  <c r="AE2058" i="3"/>
  <c r="AE2059" i="3"/>
  <c r="AE2060" i="3"/>
  <c r="AE2061" i="3"/>
  <c r="AE2062" i="3"/>
  <c r="AE2063" i="3"/>
  <c r="AE2064" i="3"/>
  <c r="AE2065" i="3"/>
  <c r="AE2066" i="3"/>
  <c r="AE2067" i="3"/>
  <c r="AE2068" i="3"/>
  <c r="AE2069" i="3"/>
  <c r="AE2070" i="3"/>
  <c r="AE2071" i="3"/>
  <c r="AE2072" i="3"/>
  <c r="AE2073" i="3"/>
  <c r="AE2074" i="3"/>
  <c r="AE2075" i="3"/>
  <c r="AE2076" i="3"/>
  <c r="AE2077" i="3"/>
  <c r="AE2078" i="3"/>
  <c r="AE2079" i="3"/>
  <c r="AE2080" i="3"/>
  <c r="AE2081" i="3"/>
  <c r="AE2082" i="3"/>
  <c r="AE2083" i="3"/>
  <c r="AE2084" i="3"/>
  <c r="AE2085" i="3"/>
  <c r="AE2086" i="3"/>
  <c r="AE2087" i="3"/>
  <c r="AE2088" i="3"/>
  <c r="AE2089" i="3"/>
  <c r="AE2090" i="3"/>
  <c r="AE2091" i="3"/>
  <c r="AE2092" i="3"/>
  <c r="AE2093" i="3"/>
  <c r="AE2094" i="3"/>
  <c r="AE2095" i="3"/>
  <c r="AE2096" i="3"/>
  <c r="AE2097" i="3"/>
  <c r="AE2098" i="3"/>
  <c r="AE2099" i="3"/>
  <c r="AE2100" i="3"/>
  <c r="AE2101" i="3"/>
  <c r="AE2102" i="3"/>
  <c r="AE2103" i="3"/>
  <c r="AE2104" i="3"/>
  <c r="AE2105" i="3"/>
  <c r="AE2106" i="3"/>
  <c r="AE2107" i="3"/>
  <c r="AE2108" i="3"/>
  <c r="AE2109" i="3"/>
  <c r="AE2110" i="3"/>
  <c r="AE2111" i="3"/>
  <c r="AE2112" i="3"/>
  <c r="AE2113" i="3"/>
  <c r="AE2114" i="3"/>
  <c r="AE2115" i="3"/>
  <c r="AE2116" i="3"/>
  <c r="AE2117" i="3"/>
  <c r="AE2118" i="3"/>
  <c r="AE2119" i="3"/>
  <c r="AE2120" i="3"/>
  <c r="AE2121" i="3"/>
  <c r="AE2122" i="3"/>
  <c r="AE2123" i="3"/>
  <c r="AE2124" i="3"/>
  <c r="AE2125" i="3"/>
  <c r="AE2126" i="3"/>
  <c r="AE2127" i="3"/>
  <c r="AE2128" i="3"/>
  <c r="AE2129" i="3"/>
  <c r="AE2130" i="3"/>
  <c r="AE2131" i="3"/>
  <c r="AE2132" i="3"/>
  <c r="AE2133" i="3"/>
  <c r="AE2134" i="3"/>
  <c r="AE2135" i="3"/>
  <c r="AE2136" i="3"/>
  <c r="AE2137" i="3"/>
  <c r="AE2138" i="3"/>
  <c r="AE2139" i="3"/>
  <c r="AE2140" i="3"/>
  <c r="AE2141" i="3"/>
  <c r="AE2142" i="3"/>
  <c r="AE2143" i="3"/>
  <c r="AE2144" i="3"/>
  <c r="AE2145" i="3"/>
  <c r="AE2146" i="3"/>
  <c r="AE2147" i="3"/>
  <c r="AE2148" i="3"/>
  <c r="AE2149" i="3"/>
  <c r="AE2150" i="3"/>
  <c r="AE2151" i="3"/>
  <c r="AE2152" i="3"/>
  <c r="AE2153" i="3"/>
  <c r="AE2154" i="3"/>
  <c r="AE2155" i="3"/>
  <c r="AE2156" i="3"/>
  <c r="AE2157" i="3"/>
  <c r="AE2158" i="3"/>
  <c r="AE2159" i="3"/>
  <c r="AE2160" i="3"/>
  <c r="AE2161" i="3"/>
  <c r="AE2162" i="3"/>
  <c r="AE2163" i="3"/>
  <c r="AE2164" i="3"/>
  <c r="AE2165" i="3"/>
  <c r="AE2166" i="3"/>
  <c r="AE2167" i="3"/>
  <c r="AE2168" i="3"/>
  <c r="AE2169" i="3"/>
  <c r="AE2170" i="3"/>
  <c r="AE2171" i="3"/>
  <c r="AE2172" i="3"/>
  <c r="AE2173" i="3"/>
  <c r="AE2174" i="3"/>
  <c r="AE2175" i="3"/>
  <c r="AE2176" i="3"/>
  <c r="AE2177" i="3"/>
  <c r="AE2178" i="3"/>
  <c r="AE2179" i="3"/>
  <c r="AE2180" i="3"/>
  <c r="AE2181" i="3"/>
  <c r="AE2182" i="3"/>
  <c r="AE2183" i="3"/>
  <c r="AE2184" i="3"/>
  <c r="AE2185" i="3"/>
  <c r="AE2186" i="3"/>
  <c r="AE2187" i="3"/>
  <c r="AE2188" i="3"/>
  <c r="AE2189" i="3"/>
  <c r="AE2190" i="3"/>
  <c r="AE2191" i="3"/>
  <c r="AE2192" i="3"/>
  <c r="AE2193" i="3"/>
  <c r="AE2194" i="3"/>
  <c r="AE2195" i="3"/>
  <c r="AE2196" i="3"/>
  <c r="AE2197" i="3"/>
  <c r="AE2198" i="3"/>
  <c r="AE2199" i="3"/>
  <c r="AE2200" i="3"/>
  <c r="AE2201" i="3"/>
  <c r="AE2202" i="3"/>
  <c r="AE2203" i="3"/>
  <c r="AE2204" i="3"/>
  <c r="AE2205" i="3"/>
  <c r="AE2206" i="3"/>
  <c r="AE2207" i="3"/>
  <c r="AE2208" i="3"/>
  <c r="AE2209" i="3"/>
  <c r="AE2210" i="3"/>
  <c r="AE2211" i="3"/>
  <c r="AE2212" i="3"/>
  <c r="AE2213" i="3"/>
  <c r="AE2214" i="3"/>
  <c r="AE2215" i="3"/>
  <c r="AE2216" i="3"/>
  <c r="AE2217" i="3"/>
  <c r="AE2218" i="3"/>
  <c r="AE2219" i="3"/>
  <c r="AE2220" i="3"/>
  <c r="AE2221" i="3"/>
  <c r="AE2222" i="3"/>
  <c r="AE2223" i="3"/>
  <c r="AE2224" i="3"/>
  <c r="AE2225" i="3"/>
  <c r="AE2226" i="3"/>
  <c r="AE2227" i="3"/>
  <c r="AE2228" i="3"/>
  <c r="AE2229" i="3"/>
  <c r="AE2230" i="3"/>
  <c r="AE2231" i="3"/>
  <c r="AE2232" i="3"/>
  <c r="AE2233" i="3"/>
  <c r="AE2234" i="3"/>
  <c r="AE2235" i="3"/>
  <c r="AE2236" i="3"/>
  <c r="AE2237" i="3"/>
  <c r="AE2238" i="3"/>
  <c r="AE2239" i="3"/>
  <c r="AE2240" i="3"/>
  <c r="AE2241" i="3"/>
  <c r="AD2" i="3"/>
  <c r="B8" i="4" s="1"/>
  <c r="C8" i="4" s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C9" i="4" l="1"/>
  <c r="C15" i="4"/>
  <c r="C12" i="4"/>
  <c r="C11" i="4"/>
  <c r="C18" i="4"/>
  <c r="C17" i="4"/>
  <c r="C16" i="4"/>
  <c r="C14" i="4"/>
  <c r="B27" i="4"/>
  <c r="B28" i="4" s="1"/>
</calcChain>
</file>

<file path=xl/sharedStrings.xml><?xml version="1.0" encoding="utf-8"?>
<sst xmlns="http://schemas.openxmlformats.org/spreadsheetml/2006/main" count="9190" uniqueCount="114">
  <si>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</si>
  <si>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</si>
  <si>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</si>
  <si>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</si>
  <si>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</si>
  <si>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</si>
  <si>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</si>
  <si>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</si>
  <si>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</si>
  <si>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</si>
  <si>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</si>
  <si>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</si>
  <si>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</si>
  <si>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</si>
  <si>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</si>
  <si>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</si>
  <si>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</si>
  <si>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</si>
  <si>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</si>
  <si>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</si>
  <si>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</si>
  <si>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</si>
  <si>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</si>
  <si>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</si>
  <si>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</si>
  <si>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</si>
  <si>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</si>
  <si>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</si>
  <si>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</si>
  <si>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</si>
  <si>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</si>
  <si>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</si>
  <si>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</si>
  <si>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</si>
  <si>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</si>
  <si>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</si>
  <si>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</si>
  <si>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</si>
  <si>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</si>
  <si>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</si>
  <si>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</si>
  <si>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</si>
  <si>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Field_Name</t>
  </si>
  <si>
    <t>Data_Type</t>
  </si>
  <si>
    <t>Rule_Type</t>
  </si>
  <si>
    <t>Rule_Description</t>
  </si>
  <si>
    <t>Number</t>
  </si>
  <si>
    <t>Text</t>
  </si>
  <si>
    <t>Date</t>
  </si>
  <si>
    <t>Unique</t>
  </si>
  <si>
    <t>Range</t>
  </si>
  <si>
    <t>Category</t>
  </si>
  <si>
    <t>Not Null</t>
  </si>
  <si>
    <t>Date Validity</t>
  </si>
  <si>
    <t>Numeric</t>
  </si>
  <si>
    <t>Binary</t>
  </si>
  <si>
    <t>Constant</t>
  </si>
  <si>
    <t>Customer ID must be unique</t>
  </si>
  <si>
    <t>Value must be between 1900 and 2010</t>
  </si>
  <si>
    <t>Allowed values: Graduation, PhD, Master, Basic, 2n Cycle</t>
  </si>
  <si>
    <t>Allowed values: 0–2</t>
  </si>
  <si>
    <t>Value must be between 0 and 100</t>
  </si>
  <si>
    <t>Must be numeric and ≥0</t>
  </si>
  <si>
    <t>Allowed values: 0 or 1</t>
  </si>
  <si>
    <t>Must equal 3 for all rows</t>
  </si>
  <si>
    <t>Must equal 11 for all rows</t>
  </si>
  <si>
    <t>Duplicate_ID_Check</t>
  </si>
  <si>
    <t>Birth_Year_Check</t>
  </si>
  <si>
    <t xml:space="preserve">Education_Category_Check </t>
  </si>
  <si>
    <t>Marital_Status_Check</t>
  </si>
  <si>
    <t>Income_Validity_Check</t>
  </si>
  <si>
    <t>Kidhome_Range_Check</t>
  </si>
  <si>
    <t>Teenhome_Range_Check</t>
  </si>
  <si>
    <t>Customer_Date_Validity_Check</t>
  </si>
  <si>
    <t>Recency_Range_Check</t>
  </si>
  <si>
    <t>Product_Spending_Check</t>
  </si>
  <si>
    <t>Purchase_Count_Validity_Check</t>
  </si>
  <si>
    <t>Campaign_Check</t>
  </si>
  <si>
    <t>Complaint_Binary_Check</t>
  </si>
  <si>
    <t>Z_CostContact_Constant_Check</t>
  </si>
  <si>
    <t>Z_Revenue_Constant_Check</t>
  </si>
  <si>
    <t>Response_Binary_Check</t>
  </si>
  <si>
    <t>Metric</t>
  </si>
  <si>
    <t>Value</t>
  </si>
  <si>
    <t>Total Records</t>
  </si>
  <si>
    <t>Duplicate IDs</t>
  </si>
  <si>
    <t>Invalid Birth Year</t>
  </si>
  <si>
    <t>Invalid Education Category</t>
  </si>
  <si>
    <t>Invalid Marital Status</t>
  </si>
  <si>
    <t>Invalid Income</t>
  </si>
  <si>
    <t>Invalid Customer Date</t>
  </si>
  <si>
    <t>Invalid Kidhome</t>
  </si>
  <si>
    <t>Invalid Teenhome</t>
  </si>
  <si>
    <t>Invalid Recency</t>
  </si>
  <si>
    <t>Invalid Purchase Counts</t>
  </si>
  <si>
    <t>Invalid Campaign Values</t>
  </si>
  <si>
    <t>Invalid Complaint Values</t>
  </si>
  <si>
    <t>Invalid Z_CostContact</t>
  </si>
  <si>
    <t>Invalid Z_Revenue</t>
  </si>
  <si>
    <t>Invalid Response</t>
  </si>
  <si>
    <t>Total Errors</t>
  </si>
  <si>
    <t>Data Quality Score</t>
  </si>
  <si>
    <t>Customer Data Quality Audit Summary</t>
  </si>
  <si>
    <t>Dataset Overview</t>
  </si>
  <si>
    <t>Data Quality Issues</t>
  </si>
  <si>
    <t xml:space="preserve">Data Quality KPIs </t>
  </si>
  <si>
    <t xml:space="preserve">Invalid Product Spending </t>
  </si>
  <si>
    <t>Issue</t>
  </si>
  <si>
    <t>Error Count</t>
  </si>
  <si>
    <t>ERROR DISTRIBUTION</t>
  </si>
  <si>
    <t>Error %</t>
  </si>
  <si>
    <t>Must be a positive numeric and not blank</t>
  </si>
  <si>
    <t>Allowed values: Single, Married, Divorced, Together, Widow, Alone. Any other text(e.g 'Absurd','YOLO') must be flagged as Invalid.</t>
  </si>
  <si>
    <t>Must be a valid date between Jan 2012 and Dec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</si>
</sst>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2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BAB9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2" fillId="0" borderId="0" xfId="0" applyFont="1"/>
    <xf numFmtId="10" fontId="0" fillId="0" borderId="0" xfId="0" applyNumberFormat="1"/>
    <xf numFmtId="0" fontId="0" fillId="3" borderId="1" xfId="0" applyFill="1" applyBorder="1"/>
    <xf numFmtId="0" fontId="8" fillId="4" borderId="1" xfId="0" applyFont="1" applyFill="1" applyBorder="1" applyAlignment="1">
      <alignment horizontal="left"/>
    </xf>
    <xf numFmtId="0" fontId="8" fillId="2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10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10" fontId="3" fillId="8" borderId="1" xfId="1" applyNumberFormat="1" applyFont="1" applyFill="1" applyBorder="1" applyAlignment="1">
      <alignment horizontal="center" vertical="center"/>
    </xf>
    <xf numFmtId="0" fontId="0" fillId="11" borderId="0" xfId="0" applyFill="1"/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0" fontId="0" fillId="10" borderId="1" xfId="1" applyNumberFormat="1" applyFont="1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2" fillId="15" borderId="1" xfId="0" applyFont="1" applyFill="1" applyBorder="1" applyAlignment="1">
      <alignment horizontal="center" vertical="center"/>
    </xf>
    <xf numFmtId="10" fontId="12" fillId="15" borderId="1" xfId="1" applyNumberFormat="1" applyFont="1" applyFill="1" applyBorder="1" applyAlignment="1">
      <alignment horizontal="center" vertical="center"/>
    </xf>
    <xf numFmtId="0" fontId="10" fillId="14" borderId="0" xfId="0" applyFont="1" applyFill="1" applyAlignment="1">
      <alignment horizontal="left" vertical="center"/>
    </xf>
    <xf numFmtId="0" fontId="0" fillId="14" borderId="0" xfId="0" applyFill="1" applyAlignment="1">
      <alignment horizontal="right" vertical="center"/>
    </xf>
    <xf numFmtId="0" fontId="10" fillId="13" borderId="0" xfId="0" applyFont="1" applyFill="1" applyAlignment="1">
      <alignment horizontal="left" vertical="center"/>
    </xf>
    <xf numFmtId="0" fontId="0" fillId="13" borderId="0" xfId="0" applyFill="1" applyAlignment="1">
      <alignment horizontal="right" vertical="center"/>
    </xf>
    <xf numFmtId="0" fontId="11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/>
    </xf>
    <xf numFmtId="0" fontId="13" fillId="16" borderId="8" xfId="0" applyFont="1" applyFill="1" applyBorder="1" applyAlignment="1">
      <alignment horizontal="center"/>
    </xf>
    <xf numFmtId="0" fontId="13" fillId="16" borderId="14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10" fillId="14" borderId="13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theme="6" tint="0.79998168889431442"/>
      </font>
    </dxf>
    <dxf>
      <font>
        <color theme="6" tint="0.39994506668294322"/>
      </font>
    </dxf>
    <dxf>
      <font>
        <color theme="6" tint="0.59996337778862885"/>
      </font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F2F2F2"/>
      <color rgb="FFF0F4F7"/>
      <color rgb="FFE74C3C"/>
      <color rgb="FFE06666"/>
      <color rgb="FFF5BAB9"/>
      <color rgb="FFFFCCCC"/>
      <color rgb="FFF9F9F9"/>
      <color rgb="FF27AE60"/>
      <color rgb="FF7F8C8D"/>
      <color rgb="FF2C3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latin typeface="Segoe UI" panose="020B0502040204020203" pitchFamily="34" charset="0"/>
                <a:cs typeface="Segoe UI" panose="020B0502040204020203" pitchFamily="34" charset="0"/>
              </a:rPr>
              <a:t>Top Data Quality Issues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8507372424519709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886611784691195"/>
          <c:y val="0.15319444444444447"/>
          <c:w val="0.69988998250218726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Dashboard!$B$19:$E$27</c:f>
              <c:strCache>
                <c:ptCount val="7"/>
                <c:pt idx="0">
                  <c:v>Invalid Birth Year</c:v>
                </c:pt>
                <c:pt idx="3">
                  <c:v>Invalid Marital Status</c:v>
                </c:pt>
                <c:pt idx="6">
                  <c:v>Invalid Income</c:v>
                </c:pt>
              </c:strCache>
            </c:strRef>
          </c:cat>
          <c:val>
            <c:numRef>
              <c:f>Dashboard!$B$19:$B$27</c:f>
              <c:numCache>
                <c:formatCode>General</c:formatCode>
                <c:ptCount val="9"/>
                <c:pt idx="0">
                  <c:v>0</c:v>
                </c:pt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4-4BF7-A5BF-51840F665C5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Dashboard!$B$19:$E$27</c:f>
              <c:strCache>
                <c:ptCount val="7"/>
                <c:pt idx="0">
                  <c:v>Invalid Birth Year</c:v>
                </c:pt>
                <c:pt idx="3">
                  <c:v>Invalid Marital Status</c:v>
                </c:pt>
                <c:pt idx="6">
                  <c:v>Invalid Income</c:v>
                </c:pt>
              </c:strCache>
            </c:strRef>
          </c:cat>
          <c:val>
            <c:numRef>
              <c:f>Dashboard!$C$19:$C$27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2174-4BF7-A5BF-51840F665C5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Dashboard!$B$19:$E$27</c:f>
              <c:strCache>
                <c:ptCount val="7"/>
                <c:pt idx="0">
                  <c:v>Invalid Birth Year</c:v>
                </c:pt>
                <c:pt idx="3">
                  <c:v>Invalid Marital Status</c:v>
                </c:pt>
                <c:pt idx="6">
                  <c:v>Invalid Income</c:v>
                </c:pt>
              </c:strCache>
            </c:strRef>
          </c:cat>
          <c:val>
            <c:numRef>
              <c:f>Dashboard!$D$19:$D$27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2174-4BF7-A5BF-51840F665C5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Dashboard!$B$19:$E$27</c:f>
              <c:strCache>
                <c:ptCount val="7"/>
                <c:pt idx="0">
                  <c:v>Invalid Birth Year</c:v>
                </c:pt>
                <c:pt idx="3">
                  <c:v>Invalid Marital Status</c:v>
                </c:pt>
                <c:pt idx="6">
                  <c:v>Invalid Income</c:v>
                </c:pt>
              </c:strCache>
            </c:strRef>
          </c:cat>
          <c:val>
            <c:numRef>
              <c:f>Dashboard!$E$19:$E$27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2174-4BF7-A5BF-51840F665C52}"/>
            </c:ext>
          </c:extLst>
        </c:ser>
        <c:ser>
          <c:idx val="4"/>
          <c:order val="4"/>
          <c:spPr>
            <a:solidFill>
              <a:srgbClr val="E74C3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2032520594280198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45-437D-AD3C-6FC746CE3636}"/>
                </c:ext>
              </c:extLst>
            </c:dLbl>
            <c:dLbl>
              <c:idx val="3"/>
              <c:layout>
                <c:manualLayout>
                  <c:x val="6.304878089142032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45-437D-AD3C-6FC746CE3636}"/>
                </c:ext>
              </c:extLst>
            </c:dLbl>
            <c:dLbl>
              <c:idx val="6"/>
              <c:layout>
                <c:manualLayout>
                  <c:x val="0.30205915935395078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45-437D-AD3C-6FC746CE36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Dashboard!$B$19:$E$27</c:f>
              <c:strCache>
                <c:ptCount val="7"/>
                <c:pt idx="0">
                  <c:v>Invalid Birth Year</c:v>
                </c:pt>
                <c:pt idx="3">
                  <c:v>Invalid Marital Status</c:v>
                </c:pt>
                <c:pt idx="6">
                  <c:v>Invalid Income</c:v>
                </c:pt>
              </c:strCache>
            </c:strRef>
          </c:cat>
          <c:val>
            <c:numRef>
              <c:f>Dashboard!$F$19:$F$27</c:f>
              <c:numCache>
                <c:formatCode>General</c:formatCode>
                <c:ptCount val="9"/>
                <c:pt idx="0">
                  <c:v>2</c:v>
                </c:pt>
                <c:pt idx="3">
                  <c:v>4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74-4BF7-A5BF-51840F665C5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Dashboard!$B$19:$E$27</c:f>
              <c:strCache>
                <c:ptCount val="7"/>
                <c:pt idx="0">
                  <c:v>Invalid Birth Year</c:v>
                </c:pt>
                <c:pt idx="3">
                  <c:v>Invalid Marital Status</c:v>
                </c:pt>
                <c:pt idx="6">
                  <c:v>Invalid Income</c:v>
                </c:pt>
              </c:strCache>
            </c:strRef>
          </c:cat>
          <c:val>
            <c:numRef>
              <c:f>Dashboard!$G$19:$G$27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2174-4BF7-A5BF-51840F665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13041167"/>
        <c:axId val="2113024847"/>
      </c:barChart>
      <c:catAx>
        <c:axId val="211304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24847"/>
        <c:crosses val="autoZero"/>
        <c:auto val="1"/>
        <c:lblAlgn val="ctr"/>
        <c:lblOffset val="100"/>
        <c:noMultiLvlLbl val="0"/>
      </c:catAx>
      <c:valAx>
        <c:axId val="2113024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30411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365760</xdr:colOff>
      <xdr:row>1</xdr:row>
      <xdr:rowOff>0</xdr:rowOff>
    </xdr:from>
    <xdr:to>
      <xdr:col>18</xdr:col>
      <xdr:colOff>561120</xdr:colOff>
      <xdr:row>4</xdr:row>
      <xdr:rowOff>23760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75AC37-E4DB-5B6F-3A58-D53F79128BF0}"/>
            </a:ext>
          </a:extLst>
        </xdr:cNvPr>
        <xdr:cNvSpPr/>
      </xdr:nvSpPr>
      <xdr:spPr>
        <a:xfrm>
          <a:off x="365760" y="251298"/>
          <a:ext cx="10928211" cy="583100"/>
        </a:xfrm>
        <a:prstGeom prst="rect">
          <a:avLst/>
        </a:prstGeom>
        <a:solidFill>
          <a:srgbClr val="2C3E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atin typeface="Segoe UI" panose="020B0502040204020203" pitchFamily="34" charset="0"/>
              <a:cs typeface="Segoe UI" panose="020B0502040204020203" pitchFamily="34" charset="0"/>
            </a:rPr>
            <a:t>CUSTOMER DATA QUALITY AUDIT</a:t>
          </a:r>
        </a:p>
        <a:p>
          <a:pPr algn="ctr"/>
          <a:r>
            <a:rPr lang="en-IN" sz="1000" b="0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Data Refresh:March16,2026</a:t>
          </a:r>
        </a:p>
      </xdr:txBody>
    </xdr:sp>
    <xdr:clientData/>
  </xdr:twoCellAnchor>
  <xdr:twoCellAnchor>
    <xdr:from>
      <xdr:col>1</xdr:col>
      <xdr:colOff>7620</xdr:colOff>
      <xdr:row>5</xdr:row>
      <xdr:rowOff>167640</xdr:rowOff>
    </xdr:from>
    <xdr:to>
      <xdr:col>6</xdr:col>
      <xdr:colOff>293220</xdr:colOff>
      <xdr:row>12</xdr:row>
      <xdr:rowOff>125880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2AD4BD2-B058-0442-6F13-61D77FE4228D}"/>
            </a:ext>
          </a:extLst>
        </xdr:cNvPr>
        <xdr:cNvSpPr/>
      </xdr:nvSpPr>
      <xdr:spPr>
        <a:xfrm>
          <a:off x="403860" y="1150620"/>
          <a:ext cx="3333600" cy="1238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127000" dist="38100" dir="2700000" algn="tl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rgbClr val="7F8C8D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RECORDS</a:t>
          </a:r>
        </a:p>
        <a:p>
          <a:pPr algn="ctr"/>
          <a:endParaRPr lang="en-IN" sz="1100" b="0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102870</xdr:colOff>
      <xdr:row>5</xdr:row>
      <xdr:rowOff>167640</xdr:rowOff>
    </xdr:from>
    <xdr:to>
      <xdr:col>12</xdr:col>
      <xdr:colOff>388470</xdr:colOff>
      <xdr:row>12</xdr:row>
      <xdr:rowOff>125880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65E2DBD-DD15-BC2E-B2B5-15AABC74BA19}"/>
            </a:ext>
          </a:extLst>
        </xdr:cNvPr>
        <xdr:cNvSpPr/>
      </xdr:nvSpPr>
      <xdr:spPr>
        <a:xfrm>
          <a:off x="4156710" y="1150620"/>
          <a:ext cx="3333600" cy="1238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127000" dist="38100" dir="2700000" algn="tl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50" b="1">
              <a:solidFill>
                <a:srgbClr val="7F8C8D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ERRORS</a:t>
          </a:r>
        </a:p>
      </xdr:txBody>
    </xdr:sp>
    <xdr:clientData/>
  </xdr:twoCellAnchor>
  <xdr:twoCellAnchor>
    <xdr:from>
      <xdr:col>13</xdr:col>
      <xdr:colOff>213360</xdr:colOff>
      <xdr:row>5</xdr:row>
      <xdr:rowOff>167640</xdr:rowOff>
    </xdr:from>
    <xdr:to>
      <xdr:col>18</xdr:col>
      <xdr:colOff>498960</xdr:colOff>
      <xdr:row>12</xdr:row>
      <xdr:rowOff>125880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F5EC863-2546-EC42-D5B2-953B1C5009C1}"/>
            </a:ext>
          </a:extLst>
        </xdr:cNvPr>
        <xdr:cNvSpPr/>
      </xdr:nvSpPr>
      <xdr:spPr>
        <a:xfrm>
          <a:off x="7924800" y="1150620"/>
          <a:ext cx="3333600" cy="1238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127000" dist="38100" dir="2700000" algn="tl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rgbClr val="7F8C8D"/>
              </a:solidFill>
              <a:latin typeface="Segoe UI" panose="020B0502040204020203" pitchFamily="34" charset="0"/>
              <a:cs typeface="Segoe UI" panose="020B0502040204020203" pitchFamily="34" charset="0"/>
            </a:rPr>
            <a:t>DATA QUALITY SCORE</a:t>
          </a:r>
        </a:p>
      </xdr:txBody>
    </xdr:sp>
    <xdr:clientData/>
  </xdr:twoCellAnchor>
  <xdr:twoCellAnchor>
    <xdr:from>
      <xdr:col>2</xdr:col>
      <xdr:colOff>243840</xdr:colOff>
      <xdr:row>7</xdr:row>
      <xdr:rowOff>60960</xdr:rowOff>
    </xdr:from>
    <xdr:to>
      <xdr:col>5</xdr:col>
      <xdr:colOff>15240</xdr:colOff>
      <xdr:row>11</xdr:row>
      <xdr:rowOff>106680</xdr:rowOff>
    </xdr:to>
    <xdr:sp macro="" textlink="Summary!B4">
      <xdr:nvSpPr>
        <xdr:cNvPr id="10" name="TextBox 9">
          <a:extLst>
            <a:ext uri="{FF2B5EF4-FFF2-40B4-BE49-F238E27FC236}">
              <a16:creationId xmlns:a16="http://schemas.microsoft.com/office/drawing/2014/main" id="{8697457C-C996-E83E-2582-B5AD4C80583C}"/>
            </a:ext>
          </a:extLst>
        </xdr:cNvPr>
        <xdr:cNvSpPr txBox="1"/>
      </xdr:nvSpPr>
      <xdr:spPr>
        <a:xfrm flipH="1">
          <a:off x="1249680" y="1409700"/>
          <a:ext cx="1600200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52BD8FD-A76F-4E81-8000-2A32697BD9FD}" type="TxLink">
            <a:rPr lang="en-US" sz="3200" b="1" i="0" u="none" strike="noStrike">
              <a:solidFill>
                <a:schemeClr val="accent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2240</a:t>
          </a:fld>
          <a:endParaRPr lang="en-IN" sz="3200" b="1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oneCellAnchor>
    <xdr:from>
      <xdr:col>9</xdr:col>
      <xdr:colOff>15240</xdr:colOff>
      <xdr:row>8</xdr:row>
      <xdr:rowOff>7620</xdr:rowOff>
    </xdr:from>
    <xdr:ext cx="1021080" cy="493160"/>
    <xdr:sp macro="" textlink="Summary!B27">
      <xdr:nvSpPr>
        <xdr:cNvPr id="13" name="TextBox 12">
          <a:extLst>
            <a:ext uri="{FF2B5EF4-FFF2-40B4-BE49-F238E27FC236}">
              <a16:creationId xmlns:a16="http://schemas.microsoft.com/office/drawing/2014/main" id="{4E42C3B2-6A06-EEA0-A8CA-3F0E8E727BA1}"/>
            </a:ext>
          </a:extLst>
        </xdr:cNvPr>
        <xdr:cNvSpPr txBox="1"/>
      </xdr:nvSpPr>
      <xdr:spPr>
        <a:xfrm>
          <a:off x="5288280" y="1539240"/>
          <a:ext cx="1021080" cy="493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8522CF4-6926-47B9-8F04-8E1AEC3F4864}" type="TxLink">
            <a:rPr lang="en-US" sz="3200" b="1" i="0" u="none" strike="noStrike">
              <a:solidFill>
                <a:srgbClr val="E74C3C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30</a:t>
          </a:fld>
          <a:endParaRPr lang="en-IN" sz="3200" b="1">
            <a:solidFill>
              <a:srgbClr val="E74C3C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14</xdr:col>
      <xdr:colOff>480060</xdr:colOff>
      <xdr:row>7</xdr:row>
      <xdr:rowOff>121920</xdr:rowOff>
    </xdr:from>
    <xdr:ext cx="1706880" cy="640080"/>
    <xdr:sp macro="" textlink="Summary!B28">
      <xdr:nvSpPr>
        <xdr:cNvPr id="14" name="TextBox 13">
          <a:extLst>
            <a:ext uri="{FF2B5EF4-FFF2-40B4-BE49-F238E27FC236}">
              <a16:creationId xmlns:a16="http://schemas.microsoft.com/office/drawing/2014/main" id="{AFE40A41-BCCA-2D51-B1CA-7E67EF954919}"/>
            </a:ext>
          </a:extLst>
        </xdr:cNvPr>
        <xdr:cNvSpPr txBox="1"/>
      </xdr:nvSpPr>
      <xdr:spPr>
        <a:xfrm>
          <a:off x="8801100" y="1470660"/>
          <a:ext cx="1706880" cy="640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3B092344-C96A-453D-8BAD-36756EE97DD9}" type="TxLink">
            <a:rPr lang="en-US" sz="3200" b="1" i="0" u="none" strike="noStrike">
              <a:solidFill>
                <a:srgbClr val="27AE6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/>
            <a:t>98.66%</a:t>
          </a:fld>
          <a:endParaRPr lang="en-IN" sz="3200" b="1">
            <a:solidFill>
              <a:srgbClr val="27AE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7</xdr:col>
      <xdr:colOff>235085</xdr:colOff>
      <xdr:row>14</xdr:row>
      <xdr:rowOff>176720</xdr:rowOff>
    </xdr:from>
    <xdr:to>
      <xdr:col>18</xdr:col>
      <xdr:colOff>421532</xdr:colOff>
      <xdr:row>29</xdr:row>
      <xdr:rowOff>107005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E12BD-FAFB-447A-FD53-50A3A82FB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31</xdr:row>
      <xdr:rowOff>48638</xdr:rowOff>
    </xdr:from>
    <xdr:to>
      <xdr:col>18</xdr:col>
      <xdr:colOff>405319</xdr:colOff>
      <xdr:row>44</xdr:row>
      <xdr:rowOff>24320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EA03B34-7A21-9054-5410-1C9F95C9F9FF}"/>
            </a:ext>
          </a:extLst>
        </xdr:cNvPr>
        <xdr:cNvSpPr/>
      </xdr:nvSpPr>
      <xdr:spPr>
        <a:xfrm>
          <a:off x="381000" y="5909553"/>
          <a:ext cx="10757170" cy="2399490"/>
        </a:xfrm>
        <a:prstGeom prst="rect">
          <a:avLst/>
        </a:prstGeom>
        <a:solidFill>
          <a:srgbClr val="F2F2F2"/>
        </a:solidFill>
        <a:ln>
          <a:solidFill>
            <a:srgbClr val="F0F4F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latin typeface="Segoe UI" panose="020B0502040204020203" pitchFamily="34" charset="0"/>
              <a:cs typeface="Segoe UI" panose="020B0502040204020203" pitchFamily="34" charset="0"/>
            </a:rPr>
            <a:t>AUDIT CONCLUSION</a:t>
          </a:r>
        </a:p>
        <a:p>
          <a:pPr algn="l"/>
          <a:r>
            <a:rPr lang="en-IN" sz="1300" b="1">
              <a:latin typeface="Segoe UI" panose="020B0502040204020203" pitchFamily="34" charset="0"/>
              <a:cs typeface="Segoe UI" panose="020B0502040204020203" pitchFamily="34" charset="0"/>
            </a:rPr>
            <a:t>Current Status:</a:t>
          </a:r>
          <a:r>
            <a:rPr lang="en-IN" sz="1300">
              <a:latin typeface="Segoe UI" panose="020B0502040204020203" pitchFamily="34" charset="0"/>
              <a:cs typeface="Segoe UI" panose="020B0502040204020203" pitchFamily="34" charset="0"/>
            </a:rPr>
            <a:t>🟢 </a:t>
          </a:r>
          <a:r>
            <a:rPr lang="en-IN" sz="1300" b="1">
              <a:latin typeface="Segoe UI" panose="020B0502040204020203" pitchFamily="34" charset="0"/>
              <a:cs typeface="Segoe UI" panose="020B0502040204020203" pitchFamily="34" charset="0"/>
            </a:rPr>
            <a:t>HEALTHY (98.66%)</a:t>
          </a:r>
        </a:p>
        <a:p>
          <a:pPr algn="l"/>
          <a:endParaRPr lang="en-IN" sz="1300" b="1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IN" sz="1100" b="1">
              <a:latin typeface="Segoe UI" panose="020B0502040204020203" pitchFamily="34" charset="0"/>
              <a:cs typeface="Segoe UI" panose="020B0502040204020203" pitchFamily="34" charset="0"/>
            </a:rPr>
            <a:t>Reliability:</a:t>
          </a:r>
          <a:r>
            <a:rPr lang="en-IN" sz="1100">
              <a:latin typeface="Segoe UI" panose="020B0502040204020203" pitchFamily="34" charset="0"/>
              <a:cs typeface="Segoe UI" panose="020B0502040204020203" pitchFamily="34" charset="0"/>
            </a:rPr>
            <a:t> The dataset achieved a </a:t>
          </a:r>
          <a:r>
            <a:rPr lang="en-IN" sz="1100" b="1">
              <a:latin typeface="Segoe UI" panose="020B0502040204020203" pitchFamily="34" charset="0"/>
              <a:cs typeface="Segoe UI" panose="020B0502040204020203" pitchFamily="34" charset="0"/>
            </a:rPr>
            <a:t>98.66% accuracy score</a:t>
          </a:r>
          <a:r>
            <a:rPr lang="en-IN" sz="1100">
              <a:latin typeface="Segoe UI" panose="020B0502040204020203" pitchFamily="34" charset="0"/>
              <a:cs typeface="Segoe UI" panose="020B0502040204020203" pitchFamily="34" charset="0"/>
            </a:rPr>
            <a:t>, confirming that the information is high-quality and safe for business decision-making.</a:t>
          </a:r>
        </a:p>
        <a:p>
          <a:endParaRPr lang="en-IN" sz="1100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IN" sz="1100" b="1">
              <a:latin typeface="Segoe UI" panose="020B0502040204020203" pitchFamily="34" charset="0"/>
              <a:cs typeface="Segoe UI" panose="020B0502040204020203" pitchFamily="34" charset="0"/>
            </a:rPr>
            <a:t>Analysis:</a:t>
          </a:r>
          <a:r>
            <a:rPr lang="en-IN" sz="1100">
              <a:latin typeface="Segoe UI" panose="020B0502040204020203" pitchFamily="34" charset="0"/>
              <a:cs typeface="Segoe UI" panose="020B0502040204020203" pitchFamily="34" charset="0"/>
            </a:rPr>
            <a:t> I flagged 30 errors across the 2,240 records. The biggest issue was definitely the Income field, where 80% of the problems were just missing values (blanks). I also caught a few minor formatting slips in Birth Year and Marital Status, but those only affected about 0.2% of the data.</a:t>
          </a:r>
        </a:p>
        <a:p>
          <a:endParaRPr lang="en-IN" sz="1100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IN" sz="1100" b="1">
              <a:latin typeface="Segoe UI" panose="020B0502040204020203" pitchFamily="34" charset="0"/>
              <a:cs typeface="Segoe UI" panose="020B0502040204020203" pitchFamily="34" charset="0"/>
            </a:rPr>
            <a:t>Recommendation:</a:t>
          </a:r>
          <a:r>
            <a:rPr lang="en-IN" sz="1100">
              <a:latin typeface="Segoe UI" panose="020B0502040204020203" pitchFamily="34" charset="0"/>
              <a:cs typeface="Segoe UI" panose="020B0502040204020203" pitchFamily="34" charset="0"/>
            </a:rPr>
            <a:t> To reach 100% accuracy, we should implement </a:t>
          </a:r>
          <a:r>
            <a:rPr lang="en-IN" sz="1100" b="1">
              <a:latin typeface="Segoe UI" panose="020B0502040204020203" pitchFamily="34" charset="0"/>
              <a:cs typeface="Segoe UI" panose="020B0502040204020203" pitchFamily="34" charset="0"/>
            </a:rPr>
            <a:t>front-end validation</a:t>
          </a:r>
          <a:r>
            <a:rPr lang="en-IN" sz="1100">
              <a:latin typeface="Segoe UI" panose="020B0502040204020203" pitchFamily="34" charset="0"/>
              <a:cs typeface="Segoe UI" panose="020B0502040204020203" pitchFamily="34" charset="0"/>
            </a:rPr>
            <a:t>. Making the </a:t>
          </a:r>
          <a:r>
            <a:rPr lang="en-IN" sz="1100" b="1">
              <a:latin typeface="Segoe UI" panose="020B0502040204020203" pitchFamily="34" charset="0"/>
              <a:cs typeface="Segoe UI" panose="020B0502040204020203" pitchFamily="34" charset="0"/>
            </a:rPr>
            <a:t>Income</a:t>
          </a:r>
          <a:r>
            <a:rPr lang="en-IN" sz="1100">
              <a:latin typeface="Segoe UI" panose="020B0502040204020203" pitchFamily="34" charset="0"/>
              <a:cs typeface="Segoe UI" panose="020B0502040204020203" pitchFamily="34" charset="0"/>
            </a:rPr>
            <a:t> field mandatory will stop the blanks, and </a:t>
          </a:r>
          <a:r>
            <a:rPr lang="en-IN">
              <a:latin typeface="Segoe UI" panose="020B0502040204020203" pitchFamily="34" charset="0"/>
              <a:cs typeface="Segoe UI" panose="020B0502040204020203" pitchFamily="34" charset="0"/>
            </a:rPr>
            <a:t>perform a </a:t>
          </a:r>
          <a:r>
            <a:rPr lang="en-IN" b="1">
              <a:latin typeface="Segoe UI" panose="020B0502040204020203" pitchFamily="34" charset="0"/>
              <a:cs typeface="Segoe UI" panose="020B0502040204020203" pitchFamily="34" charset="0"/>
            </a:rPr>
            <a:t>technical sync audit</a:t>
          </a:r>
          <a:r>
            <a:rPr lang="en-IN">
              <a:latin typeface="Segoe UI" panose="020B0502040204020203" pitchFamily="34" charset="0"/>
              <a:cs typeface="Segoe UI" panose="020B0502040204020203" pitchFamily="34" charset="0"/>
            </a:rPr>
            <a:t> to ensure no data is lost during system transfers</a:t>
          </a:r>
          <a:r>
            <a:rPr lang="en-IN"/>
            <a:t>.</a:t>
          </a:r>
          <a:r>
            <a:rPr lang="en-IN">
              <a:latin typeface="Segoe UI" panose="020B0502040204020203" pitchFamily="34" charset="0"/>
              <a:cs typeface="Segoe UI" panose="020B0502040204020203" pitchFamily="34" charset="0"/>
            </a:rPr>
            <a:t>Additionally, </a:t>
          </a:r>
          <a:r>
            <a:rPr lang="en-IN" sz="1100">
              <a:latin typeface="Segoe UI" panose="020B0502040204020203" pitchFamily="34" charset="0"/>
              <a:cs typeface="Segoe UI" panose="020B0502040204020203" pitchFamily="34" charset="0"/>
            </a:rPr>
            <a:t>adding </a:t>
          </a:r>
          <a:r>
            <a:rPr lang="en-IN" sz="1100" b="1">
              <a:latin typeface="Segoe UI" panose="020B0502040204020203" pitchFamily="34" charset="0"/>
              <a:cs typeface="Segoe UI" panose="020B0502040204020203" pitchFamily="34" charset="0"/>
            </a:rPr>
            <a:t>dropdown menus</a:t>
          </a:r>
          <a:r>
            <a:rPr lang="en-IN" sz="1100">
              <a:latin typeface="Segoe UI" panose="020B0502040204020203" pitchFamily="34" charset="0"/>
              <a:cs typeface="Segoe UI" panose="020B0502040204020203" pitchFamily="34" charset="0"/>
            </a:rPr>
            <a:t> for Birth Year and Marital Status will kill the manual typos at the source.</a:t>
          </a:r>
          <a:endParaRPr lang="en-IN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4D2187-D7AA-4760-A5E3-44BE59015B1D}" name="Audit_Data" displayName="Audit_Data" ref="A1:AS2241" totalsRowShown="0">
  <autoFilter ref="A1:AS2241" xr:uid="{494D2187-D7AA-4760-A5E3-44BE59015B1D}"/>
  <tableColumns count="45">
    <tableColumn id="1" xr3:uid="{432C64F4-CCF7-494D-AB55-9CE5E0C4BB26}" name="ID"/>
    <tableColumn id="2" xr3:uid="{8845C88F-B010-4209-BDE9-6607D931D84D}" name="Year_Birth"/>
    <tableColumn id="3" xr3:uid="{E7EF230A-B9C6-4D9E-9A15-4A3D411A862B}" name="Education"/>
    <tableColumn id="4" xr3:uid="{B444F029-F1FC-4B2F-9683-6A6054021BC2}" name="Marital_Status"/>
    <tableColumn id="5" xr3:uid="{AFA4E2D4-FA18-4E2D-B5F3-A3DCAE7AFF65}" name="Income"/>
    <tableColumn id="6" xr3:uid="{99B92CA7-6D10-4972-ACC5-5E7633C392F2}" name="Kidhome"/>
    <tableColumn id="7" xr3:uid="{BAA3A5C2-296F-4860-8077-AB814560031E}" name="Teenhome"/>
    <tableColumn id="8" xr3:uid="{7241A4B8-EC4D-4734-8916-D4C2FF6B1EF5}" name="Dt_Customer" dataDxfId="27"/>
    <tableColumn id="9" xr3:uid="{071C40D3-C6B2-4403-93D6-134BB6DB73D9}" name="Recency"/>
    <tableColumn id="10" xr3:uid="{1325BB9C-1C37-4F14-91C2-9871461E3C47}" name="MntWines"/>
    <tableColumn id="11" xr3:uid="{CD2D7A37-F20B-4239-A90A-7C2A3F39A3C6}" name="MntFruits"/>
    <tableColumn id="12" xr3:uid="{9BA87DB8-D9CE-435E-B2C4-6BA834069700}" name="MntMeatProducts"/>
    <tableColumn id="13" xr3:uid="{4D41269E-2449-43D9-A6AB-53740008CE78}" name="MntFishProducts"/>
    <tableColumn id="14" xr3:uid="{7DA5DFF1-5E1D-48DD-9827-40BE338C2941}" name="MntSweetProducts"/>
    <tableColumn id="15" xr3:uid="{159052CA-CB3E-448F-B0BD-F126F1C44801}" name="MntGoldProds"/>
    <tableColumn id="16" xr3:uid="{97F1E7CA-0930-4744-B3A6-4C0C80BC2020}" name="NumDealsPurchases"/>
    <tableColumn id="17" xr3:uid="{7BD1A3F1-6793-47A6-8050-103199704E0A}" name="NumWebPurchases"/>
    <tableColumn id="18" xr3:uid="{58AA98C8-13A1-4BF6-A242-818FCDCBAB79}" name="NumCatalogPurchases"/>
    <tableColumn id="19" xr3:uid="{29F88DF1-BF44-43C4-8D49-35D6203281BD}" name="NumStorePurchases"/>
    <tableColumn id="20" xr3:uid="{E2DF7998-E329-4230-BF5E-B29A4384D37D}" name="NumWebVisitsMonth"/>
    <tableColumn id="21" xr3:uid="{D2DE7685-1EFF-4185-AF2C-E9EB1C827293}" name="AcceptedCmp3"/>
    <tableColumn id="22" xr3:uid="{1C0058FB-C73C-4D73-AF4B-81C32AAAE698}" name="AcceptedCmp4"/>
    <tableColumn id="23" xr3:uid="{910B434D-C2A2-4470-A80D-A919950D35F3}" name="AcceptedCmp5"/>
    <tableColumn id="24" xr3:uid="{893F8B98-C08B-4326-A159-11B13A90070B}" name="AcceptedCmp1"/>
    <tableColumn id="25" xr3:uid="{9D590741-276D-4EC0-BC95-FAEDA3679A43}" name="AcceptedCmp2"/>
    <tableColumn id="26" xr3:uid="{C7DAC543-37CF-4C87-A22D-FBAAF08B3240}" name="Complain"/>
    <tableColumn id="27" xr3:uid="{5E7C79DF-2C31-4FA8-8186-17AB18E05616}" name="Z_CostContact"/>
    <tableColumn id="28" xr3:uid="{883F9A55-7CA4-4935-B3DA-D037387D78B1}" name="Z_Revenue"/>
    <tableColumn id="29" xr3:uid="{A180D9F9-48DD-4E94-8013-803EB6D49C08}" name="Response"/>
    <tableColumn id="30" xr3:uid="{FD5C4874-7951-4103-9A93-8CA9946BC969}" name="Duplicate_ID_Check" dataDxfId="26">
      <calculatedColumnFormula>IF(COUNTIF(A:A,A2)&gt;1,"Duplicate","Ok")</calculatedColumnFormula>
    </tableColumn>
    <tableColumn id="31" xr3:uid="{FD85B848-0B88-4BC9-9F10-06724A240D84}" name="Birth_Year_Check" dataDxfId="25">
      <calculatedColumnFormula>IF(AND(Audit_Data[[#This Row],[Year_Birth]]&gt;=1900,Audit_Data[[#This Row],[Year_Birth]]&lt;=2010),"OK","Invalid")</calculatedColumnFormula>
    </tableColumn>
    <tableColumn id="32" xr3:uid="{57A0B73D-316B-40D2-81A9-C58FD76B7A87}" name="Education_Category_Check " dataDxfId="24">
      <calculatedColumnFormula>IF(OR(C2="Graduation",C2="phD",C2="Master",C2="Basic",C2="2n Cycle"),"Valid","Invalid")</calculatedColumnFormula>
    </tableColumn>
    <tableColumn id="33" xr3:uid="{4A3CC557-81A8-4C44-8E5F-8C51BF7DEC57}" name="Marital_Status_Check" dataDxfId="23">
      <calculatedColumnFormula>IF(OR(D2="Single",D2="Married",D2="Divorced",D2="Together",D2="Widow",D2="Alone"),"Valid","Invalid")</calculatedColumnFormula>
    </tableColumn>
    <tableColumn id="34" xr3:uid="{4DDFC2E3-4EEB-45B0-904A-ED0CF827B55E}" name="Income_Validity_Check" dataDxfId="22">
      <calculatedColumnFormula>IF(AND(ISNUMBER(E2),E2&lt;&gt;""),"Valid","Invalid")</calculatedColumnFormula>
    </tableColumn>
    <tableColumn id="35" xr3:uid="{1E41E296-3BAA-4AA4-98E8-5B45EA3D8627}" name="Kidhome_Range_Check" dataDxfId="21">
      <calculatedColumnFormula>IF(AND(F2&gt;=0,F2&lt;=2),"Valid","Invalid")</calculatedColumnFormula>
    </tableColumn>
    <tableColumn id="36" xr3:uid="{1CAA3B56-987D-4DE4-BC43-6C9D3ECE8775}" name="Teenhome_Range_Check" dataDxfId="20">
      <calculatedColumnFormula>IF(AND(G2&gt;=0,G2&lt;=2),"Valid","Invalid")</calculatedColumnFormula>
    </tableColumn>
    <tableColumn id="37" xr3:uid="{AD58D839-7566-496D-A53D-9028202167E6}" name="Customer_Date_Validity_Check" dataDxfId="19">
      <calculatedColumnFormula>IF(AND(ISNUMBER(H2),H2&gt;=DATE(2012,1,1),H2&lt;=DATE(2014,12,31)),"Valid ","Invalid")</calculatedColumnFormula>
    </tableColumn>
    <tableColumn id="38" xr3:uid="{E9361E16-30F9-49B5-807D-D4545B1ED2D7}" name="Recency_Range_Check" dataDxfId="18">
      <calculatedColumnFormula>IF(AND(Audit_Data[[#This Row],[Recency]]&gt;=0,Audit_Data[[#This Row],[Recency]]&lt;=100),"Valid","Invalid")</calculatedColumnFormula>
    </tableColumn>
    <tableColumn id="39" xr3:uid="{74CF9565-21D1-43EC-8CC6-A4986969C898}" name="Product_Spending_Check" dataDxfId="17">
      <calculatedColumnFormula>IF(AND(ISNUMBER(J2),J2&gt;=0,ISNUMBER(K2),K2&gt;=0,ISNUMBER(L2),L2&gt;=0,ISNUMBER(M2),M2&gt;=0,ISNUMBER(N2),N2&gt;=0,ISNUMBER(O2),O2&gt;=0),"Valid","Invalid")</calculatedColumnFormula>
    </tableColumn>
    <tableColumn id="40" xr3:uid="{3EDEF776-C929-4B15-93BB-D528570903D3}" name="Purchase_Count_Validity_Check" dataDxfId="16">
      <calculatedColumnFormula>IF(AND(ISNUMBER(P2),P2&gt;=0,ISNUMBER(Q2),Q2&gt;=0,ISNUMBER(R2),R2&gt;=0,ISNUMBER(S2),S2&gt;=0,ISNUMBER(T2),T2&gt;=0),"Valid","Invalid")</calculatedColumnFormula>
    </tableColumn>
    <tableColumn id="41" xr3:uid="{A1E94063-93C5-4D24-B67F-F93251C78A68}" name="Campaign_Check" dataDxfId="15">
      <calculatedColumnFormula>IF(AND(U2&lt;=1,V2&lt;=1,W2&lt;=1,X2&lt;=1,Y2&lt;=1),"Valid","Invalid")</calculatedColumnFormula>
    </tableColumn>
    <tableColumn id="42" xr3:uid="{4AEEBC0E-4597-453F-8368-4930602540A2}" name="Complaint_Binary_Check" dataDxfId="14">
      <calculatedColumnFormula>IF(OR(Z2=0,Z2=1),"Valid","Invalid")</calculatedColumnFormula>
    </tableColumn>
    <tableColumn id="43" xr3:uid="{254BE1AB-4AE8-40E7-B9BE-D13996683FCD}" name="Z_CostContact_Constant_Check" dataDxfId="13">
      <calculatedColumnFormula>IF(Audit_Data[[#This Row],[Z_CostContact]]=3,"Valid","Invalid")</calculatedColumnFormula>
    </tableColumn>
    <tableColumn id="44" xr3:uid="{D51E094E-D917-4B5E-A374-37977B59AF36}" name="Z_Revenue_Constant_Check" dataDxfId="12">
      <calculatedColumnFormula>IF(AB2=11,"Valid","Invalid")</calculatedColumnFormula>
    </tableColumn>
    <tableColumn id="45" xr3:uid="{4521209E-2381-4929-995E-0FDB72F11A34}" name="Response_Binary_Check" dataDxfId="11">
      <calculatedColumnFormula>IF(OR(AC2=0,AC2=1),"Valid","Invalid")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4AFCA4-47F7-444B-B12D-FD5CCEEAF43A}" name="DQ_Rules" displayName="DQ_Rules" ref="A1:D30" totalsRowShown="0" dataDxfId="10">
  <autoFilter ref="A1:D30" xr:uid="{C24AFCA4-47F7-444B-B12D-FD5CCEEAF43A}"/>
  <tableColumns count="4">
    <tableColumn id="1" xr3:uid="{5B7A5933-E56E-4972-8CAB-CFAD2C04D71B}" name="Field_Name" dataDxfId="9"/>
    <tableColumn id="2" xr3:uid="{4A6213E6-D42A-425C-9C0A-45A25F2ABC29}" name="Data_Type" dataDxfId="8"/>
    <tableColumn id="3" xr3:uid="{B002A50C-5927-423E-B360-C89EC573257A}" name="Rule_Type" dataDxfId="7"/>
    <tableColumn id="4" xr3:uid="{B35F8805-7ADF-4258-99EC-F682E0944D99}" name="Rule_Description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57D4B-CC8B-4F83-943B-0987950183AD}" name="customer_data" displayName="customer_data" ref="A1:AC2241" totalsRowShown="0">
  <autoFilter ref="A1:AC2241" xr:uid="{F1D57D4B-CC8B-4F83-943B-0987950183AD}"/>
  <tableColumns count="29">
    <tableColumn id="1" xr3:uid="{B248A400-C880-4C1C-9E35-5FCA16399E86}" name="ID"/>
    <tableColumn id="2" xr3:uid="{B8E85A46-8060-4E86-B842-AC66E8BC5FBD}" name="Year_Birth"/>
    <tableColumn id="3" xr3:uid="{69341F6D-7D90-409A-81D2-5916BBE6E648}" name="Education"/>
    <tableColumn id="4" xr3:uid="{130FFD75-C815-4984-A7ED-C47944616D6B}" name="Marital_Status"/>
    <tableColumn id="5" xr3:uid="{FFC15EB0-0A22-4AAF-BDEA-D67A9078471C}" name="Income"/>
    <tableColumn id="6" xr3:uid="{F470341F-3631-45FA-B761-F675B43FB60D}" name="Kidhome"/>
    <tableColumn id="7" xr3:uid="{0CD7C0C8-1DF4-44EA-AC1D-7512192DB8DF}" name="Teenhome"/>
    <tableColumn id="8" xr3:uid="{EA47665C-BC9E-40BD-A7AB-C59BD10549BA}" name="Dt_Customer" dataDxfId="5"/>
    <tableColumn id="9" xr3:uid="{3DD71535-87AD-42B8-A78D-6F39AEE8FE60}" name="Recency"/>
    <tableColumn id="10" xr3:uid="{9ADDF8EF-636E-405B-AD58-D0506B1E22F2}" name="MntWines"/>
    <tableColumn id="11" xr3:uid="{0D0A21C6-83CC-4CC0-898E-A2C1B1DE109F}" name="MntFruits"/>
    <tableColumn id="12" xr3:uid="{D1982074-FAC8-4080-8233-0E9DA90CB1AF}" name="MntMeatProducts"/>
    <tableColumn id="13" xr3:uid="{848AF312-9E86-4E2F-A5A9-B390C7994A14}" name="MntFishProducts"/>
    <tableColumn id="14" xr3:uid="{55FC15DA-2413-4337-BFAB-73F0470DDB89}" name="MntSweetProducts"/>
    <tableColumn id="15" xr3:uid="{0DD78FD1-3C2E-48B9-A658-10B85EA926D3}" name="MntGoldProds"/>
    <tableColumn id="16" xr3:uid="{526EDD14-0F95-48F5-B436-8EADC3D40BE4}" name="NumDealsPurchases"/>
    <tableColumn id="17" xr3:uid="{67D8FAA9-5661-4C67-B706-A0DD743BC19F}" name="NumWebPurchases"/>
    <tableColumn id="18" xr3:uid="{08DC0B53-095B-4D60-B4EC-9AACFFADE208}" name="NumCatalogPurchases"/>
    <tableColumn id="19" xr3:uid="{D61A91AA-FAAF-4F41-A029-7A694E0D654A}" name="NumStorePurchases"/>
    <tableColumn id="20" xr3:uid="{C0FF0F2B-4027-4460-922B-1A75F83CDD4C}" name="NumWebVisitsMonth"/>
    <tableColumn id="21" xr3:uid="{0341F44C-065A-4DB1-8FC7-90FB13B7CCD9}" name="AcceptedCmp3"/>
    <tableColumn id="22" xr3:uid="{56D72259-C59C-4877-8E62-DD739B3544F8}" name="AcceptedCmp4"/>
    <tableColumn id="23" xr3:uid="{9A3DC8DB-7C3D-4C03-AC70-38BE78571AEB}" name="AcceptedCmp5"/>
    <tableColumn id="24" xr3:uid="{487CDA10-4710-4256-A0B9-7E324FBD18D5}" name="AcceptedCmp1"/>
    <tableColumn id="25" xr3:uid="{475EA802-CE9A-49AC-B1AA-B99FCB9007B8}" name="AcceptedCmp2"/>
    <tableColumn id="26" xr3:uid="{7C012272-C2FD-43FF-81D8-B77E4754CFCB}" name="Complain"/>
    <tableColumn id="27" xr3:uid="{888C972F-C220-4CA7-8373-9056354EB960}" name="Z_CostContact"/>
    <tableColumn id="28" xr3:uid="{A0D2C3AD-5FE1-498A-A57D-335AE385FB95}" name="Z_Revenue"/>
    <tableColumn id="29" xr3:uid="{9B351066-7931-4CEB-B580-E4F25BC72E98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7E41-5C7B-4B88-B0AE-D69F2FD7ABF0}">
  <sheetPr>
    <tabColor theme="9" tint="0.39997558519241921"/>
  </sheetPr>
  <dimension ref="B1:G27"/>
  <sheetViews>
    <sheetView showGridLines="0" tabSelected="1" topLeftCell="B1" zoomScaleNormal="100" workbookViewId="0">
      <selection activeCell="H14" sqref="H14"/>
    </sheetView>
  </sheetViews>
  <sheetFormatPr defaultRowHeight="14.4" x14ac:dyDescent="0.3"/>
  <cols>
    <col min="1" max="1" width="5.77734375" style="16" customWidth="1"/>
    <col min="2" max="16384" width="8.88671875" style="16"/>
  </cols>
  <sheetData>
    <row r="1" spans="2:7" ht="19.95" customHeight="1" x14ac:dyDescent="0.3"/>
    <row r="16" spans="2:7" ht="15" customHeight="1" x14ac:dyDescent="0.3">
      <c r="B16" s="31" t="s">
        <v>109</v>
      </c>
      <c r="C16" s="32"/>
      <c r="D16" s="32"/>
      <c r="E16" s="32"/>
      <c r="F16" s="32"/>
      <c r="G16" s="32"/>
    </row>
    <row r="17" spans="2:7" x14ac:dyDescent="0.3">
      <c r="B17" s="32"/>
      <c r="C17" s="32"/>
      <c r="D17" s="32"/>
      <c r="E17" s="32"/>
      <c r="F17" s="32"/>
      <c r="G17" s="32"/>
    </row>
    <row r="18" spans="2:7" ht="15" x14ac:dyDescent="0.35">
      <c r="B18" s="33" t="s">
        <v>107</v>
      </c>
      <c r="C18" s="35"/>
      <c r="D18" s="35"/>
      <c r="E18" s="34"/>
      <c r="F18" s="33" t="s">
        <v>108</v>
      </c>
      <c r="G18" s="34"/>
    </row>
    <row r="19" spans="2:7" x14ac:dyDescent="0.3">
      <c r="B19" s="36" t="s">
        <v>86</v>
      </c>
      <c r="C19" s="42"/>
      <c r="D19" s="42"/>
      <c r="E19" s="37"/>
      <c r="F19" s="36">
        <f>Summary!B9</f>
        <v>2</v>
      </c>
      <c r="G19" s="37"/>
    </row>
    <row r="20" spans="2:7" x14ac:dyDescent="0.3">
      <c r="B20" s="38"/>
      <c r="C20" s="43"/>
      <c r="D20" s="43"/>
      <c r="E20" s="39"/>
      <c r="F20" s="38"/>
      <c r="G20" s="39"/>
    </row>
    <row r="21" spans="2:7" x14ac:dyDescent="0.3">
      <c r="B21" s="40"/>
      <c r="C21" s="44"/>
      <c r="D21" s="44"/>
      <c r="E21" s="41"/>
      <c r="F21" s="40"/>
      <c r="G21" s="41"/>
    </row>
    <row r="22" spans="2:7" x14ac:dyDescent="0.3">
      <c r="B22" s="36" t="s">
        <v>88</v>
      </c>
      <c r="C22" s="42"/>
      <c r="D22" s="42"/>
      <c r="E22" s="37"/>
      <c r="F22" s="36">
        <f>Summary!B11</f>
        <v>4</v>
      </c>
      <c r="G22" s="37"/>
    </row>
    <row r="23" spans="2:7" x14ac:dyDescent="0.3">
      <c r="B23" s="38"/>
      <c r="C23" s="43"/>
      <c r="D23" s="43"/>
      <c r="E23" s="39"/>
      <c r="F23" s="38"/>
      <c r="G23" s="39"/>
    </row>
    <row r="24" spans="2:7" x14ac:dyDescent="0.3">
      <c r="B24" s="40"/>
      <c r="C24" s="44"/>
      <c r="D24" s="44"/>
      <c r="E24" s="41"/>
      <c r="F24" s="40"/>
      <c r="G24" s="41"/>
    </row>
    <row r="25" spans="2:7" x14ac:dyDescent="0.3">
      <c r="B25" s="36" t="s">
        <v>89</v>
      </c>
      <c r="C25" s="42"/>
      <c r="D25" s="42"/>
      <c r="E25" s="37"/>
      <c r="F25" s="36">
        <f>Summary!B12</f>
        <v>24</v>
      </c>
      <c r="G25" s="37"/>
    </row>
    <row r="26" spans="2:7" x14ac:dyDescent="0.3">
      <c r="B26" s="38"/>
      <c r="C26" s="43"/>
      <c r="D26" s="43"/>
      <c r="E26" s="39"/>
      <c r="F26" s="38"/>
      <c r="G26" s="39"/>
    </row>
    <row r="27" spans="2:7" x14ac:dyDescent="0.3">
      <c r="B27" s="40"/>
      <c r="C27" s="44"/>
      <c r="D27" s="44"/>
      <c r="E27" s="41"/>
      <c r="F27" s="40"/>
      <c r="G27" s="41"/>
    </row>
  </sheetData>
  <sheetProtection sheet="1" selectLockedCells="1" selectUnlockedCells="1"/>
  <mergeCells count="9">
    <mergeCell ref="B16:G17"/>
    <mergeCell ref="F18:G18"/>
    <mergeCell ref="B18:E18"/>
    <mergeCell ref="F25:G27"/>
    <mergeCell ref="B25:E27"/>
    <mergeCell ref="F22:G24"/>
    <mergeCell ref="B22:E24"/>
    <mergeCell ref="F19:G21"/>
    <mergeCell ref="B19:E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1241-1925-439D-9114-F3BA2C362E31}">
  <sheetPr>
    <tabColor theme="4" tint="0.39997558519241921"/>
  </sheetPr>
  <dimension ref="A1:R30"/>
  <sheetViews>
    <sheetView showGridLines="0" topLeftCell="A5" zoomScaleNormal="100" workbookViewId="0">
      <selection sqref="A1:G1"/>
    </sheetView>
  </sheetViews>
  <sheetFormatPr defaultRowHeight="14.4" x14ac:dyDescent="0.3"/>
  <cols>
    <col min="1" max="1" width="23.21875" customWidth="1"/>
    <col min="2" max="2" width="26.44140625" customWidth="1"/>
    <col min="3" max="3" width="15.21875" customWidth="1"/>
    <col min="7" max="7" width="9" customWidth="1"/>
    <col min="8" max="8" width="12.44140625" customWidth="1"/>
    <col min="17" max="17" width="35.77734375" customWidth="1"/>
    <col min="18" max="18" width="12.77734375" customWidth="1"/>
  </cols>
  <sheetData>
    <row r="1" spans="1:18" ht="21" x14ac:dyDescent="0.3">
      <c r="A1" s="50" t="s">
        <v>102</v>
      </c>
      <c r="B1" s="50"/>
      <c r="C1" s="50"/>
      <c r="D1" s="50"/>
      <c r="E1" s="50"/>
      <c r="F1" s="50"/>
      <c r="G1" s="50"/>
    </row>
    <row r="2" spans="1:18" ht="18" x14ac:dyDescent="0.35">
      <c r="A2" s="45" t="s">
        <v>103</v>
      </c>
      <c r="B2" s="45"/>
    </row>
    <row r="3" spans="1:18" ht="15.6" x14ac:dyDescent="0.3">
      <c r="A3" s="6" t="s">
        <v>82</v>
      </c>
      <c r="B3" s="10" t="s">
        <v>83</v>
      </c>
    </row>
    <row r="4" spans="1:18" x14ac:dyDescent="0.3">
      <c r="A4" s="4" t="s">
        <v>84</v>
      </c>
      <c r="B4" s="13">
        <f>COUNTA(Data_Audit!A:A)-1</f>
        <v>2240</v>
      </c>
    </row>
    <row r="5" spans="1:18" x14ac:dyDescent="0.3">
      <c r="A5" s="11"/>
      <c r="B5" s="11"/>
    </row>
    <row r="6" spans="1:18" ht="18" x14ac:dyDescent="0.35">
      <c r="A6" s="48" t="s">
        <v>104</v>
      </c>
      <c r="B6" s="49"/>
      <c r="C6" s="49"/>
    </row>
    <row r="7" spans="1:18" ht="15.6" x14ac:dyDescent="0.3">
      <c r="A7" s="22" t="s">
        <v>82</v>
      </c>
      <c r="B7" s="9" t="s">
        <v>83</v>
      </c>
      <c r="C7" s="9" t="s">
        <v>110</v>
      </c>
    </row>
    <row r="8" spans="1:18" x14ac:dyDescent="0.3">
      <c r="A8" s="23" t="s">
        <v>85</v>
      </c>
      <c r="B8" s="19">
        <f>COUNTIF(Data_Audit!AD:AD,"Duplicate")</f>
        <v>0</v>
      </c>
      <c r="C8" s="20">
        <f>$B8/$B$4</f>
        <v>0</v>
      </c>
    </row>
    <row r="9" spans="1:18" x14ac:dyDescent="0.3">
      <c r="A9" s="24" t="s">
        <v>86</v>
      </c>
      <c r="B9" s="25">
        <f>COUNTIF(Data_Audit!AE:AE,"Invalid")</f>
        <v>2</v>
      </c>
      <c r="C9" s="26">
        <f>$B9/$B$4</f>
        <v>8.9285714285714283E-4</v>
      </c>
    </row>
    <row r="10" spans="1:18" ht="14.4" customHeight="1" x14ac:dyDescent="0.3">
      <c r="A10" s="23" t="s">
        <v>87</v>
      </c>
      <c r="B10" s="19">
        <f>COUNTIF(Data_Audit!AF:AF,"Invalid")</f>
        <v>0</v>
      </c>
      <c r="C10" s="20">
        <f t="shared" ref="C10:C23" si="0">$B10/$B$4</f>
        <v>0</v>
      </c>
    </row>
    <row r="11" spans="1:18" ht="14.4" customHeight="1" x14ac:dyDescent="0.3">
      <c r="A11" s="24" t="s">
        <v>88</v>
      </c>
      <c r="B11" s="25">
        <f>COUNTIF(Data_Audit!AG:AG,"Invalid")</f>
        <v>4</v>
      </c>
      <c r="C11" s="26">
        <f t="shared" si="0"/>
        <v>1.7857142857142857E-3</v>
      </c>
      <c r="Q11" s="27"/>
      <c r="R11" s="28"/>
    </row>
    <row r="12" spans="1:18" ht="14.4" customHeight="1" x14ac:dyDescent="0.3">
      <c r="A12" s="23" t="s">
        <v>89</v>
      </c>
      <c r="B12" s="25">
        <f>COUNTIF(Data_Audit!AH:AH,"Invalid")</f>
        <v>24</v>
      </c>
      <c r="C12" s="26">
        <f t="shared" si="0"/>
        <v>1.0714285714285714E-2</v>
      </c>
      <c r="Q12" s="29"/>
      <c r="R12" s="30"/>
    </row>
    <row r="13" spans="1:18" ht="14.4" customHeight="1" x14ac:dyDescent="0.3">
      <c r="A13" s="24" t="s">
        <v>91</v>
      </c>
      <c r="B13" s="12">
        <f>COUNTIF(Data_Audit!AI:AI,"Invalid")</f>
        <v>0</v>
      </c>
      <c r="C13" s="21">
        <f t="shared" si="0"/>
        <v>0</v>
      </c>
      <c r="Q13" s="17"/>
      <c r="R13" s="18"/>
    </row>
    <row r="14" spans="1:18" x14ac:dyDescent="0.3">
      <c r="A14" s="23" t="s">
        <v>92</v>
      </c>
      <c r="B14" s="19">
        <f>COUNTIF(Data_Audit!AJ:AJ,"Invalid")</f>
        <v>0</v>
      </c>
      <c r="C14" s="20">
        <f t="shared" si="0"/>
        <v>0</v>
      </c>
    </row>
    <row r="15" spans="1:18" x14ac:dyDescent="0.3">
      <c r="A15" s="24" t="s">
        <v>90</v>
      </c>
      <c r="B15" s="12">
        <f>COUNTIF(Data_Audit!AK:AK,"Invalid")</f>
        <v>0</v>
      </c>
      <c r="C15" s="21">
        <f t="shared" si="0"/>
        <v>0</v>
      </c>
    </row>
    <row r="16" spans="1:18" x14ac:dyDescent="0.3">
      <c r="A16" s="23" t="s">
        <v>93</v>
      </c>
      <c r="B16" s="19">
        <f>COUNTIF(Data_Audit!AL:AL,"Invalid")</f>
        <v>0</v>
      </c>
      <c r="C16" s="20">
        <f t="shared" si="0"/>
        <v>0</v>
      </c>
    </row>
    <row r="17" spans="1:8" x14ac:dyDescent="0.3">
      <c r="A17" s="24" t="s">
        <v>106</v>
      </c>
      <c r="B17" s="12">
        <f>COUNTIF(Data_Audit!AM:AM,"Invalid")</f>
        <v>0</v>
      </c>
      <c r="C17" s="21">
        <f t="shared" si="0"/>
        <v>0</v>
      </c>
    </row>
    <row r="18" spans="1:8" x14ac:dyDescent="0.3">
      <c r="A18" s="23" t="s">
        <v>94</v>
      </c>
      <c r="B18" s="19">
        <f>COUNTIF(Data_Audit!AN:AN,"Invalid")</f>
        <v>0</v>
      </c>
      <c r="C18" s="20">
        <f t="shared" si="0"/>
        <v>0</v>
      </c>
    </row>
    <row r="19" spans="1:8" x14ac:dyDescent="0.3">
      <c r="A19" s="24" t="s">
        <v>95</v>
      </c>
      <c r="B19" s="12">
        <f>COUNTIF(Data_Audit!AO:AO,"Invalid")</f>
        <v>0</v>
      </c>
      <c r="C19" s="21">
        <f t="shared" si="0"/>
        <v>0</v>
      </c>
    </row>
    <row r="20" spans="1:8" x14ac:dyDescent="0.3">
      <c r="A20" s="23" t="s">
        <v>96</v>
      </c>
      <c r="B20" s="19">
        <f>COUNTIF(Data_Audit!AP:AP,"Invalid")</f>
        <v>0</v>
      </c>
      <c r="C20" s="20">
        <f t="shared" si="0"/>
        <v>0</v>
      </c>
    </row>
    <row r="21" spans="1:8" x14ac:dyDescent="0.3">
      <c r="A21" s="24" t="s">
        <v>97</v>
      </c>
      <c r="B21" s="12">
        <f>COUNTIF(Data_Audit!AQ:AQ,"Invalid")</f>
        <v>0</v>
      </c>
      <c r="C21" s="21">
        <f t="shared" si="0"/>
        <v>0</v>
      </c>
    </row>
    <row r="22" spans="1:8" x14ac:dyDescent="0.3">
      <c r="A22" s="23" t="s">
        <v>98</v>
      </c>
      <c r="B22" s="19">
        <f>COUNTIF(Data_Audit!AR:AR,"Invalid")</f>
        <v>0</v>
      </c>
      <c r="C22" s="20">
        <f t="shared" si="0"/>
        <v>0</v>
      </c>
    </row>
    <row r="23" spans="1:8" x14ac:dyDescent="0.3">
      <c r="A23" s="24" t="s">
        <v>99</v>
      </c>
      <c r="B23" s="12">
        <f>COUNTIF(Data_Audit!AS:AS,"Invalid")</f>
        <v>0</v>
      </c>
      <c r="C23" s="21">
        <f t="shared" si="0"/>
        <v>0</v>
      </c>
    </row>
    <row r="24" spans="1:8" x14ac:dyDescent="0.3">
      <c r="A24" s="11"/>
      <c r="B24" s="11"/>
    </row>
    <row r="25" spans="1:8" ht="18" x14ac:dyDescent="0.35">
      <c r="A25" s="46" t="s">
        <v>105</v>
      </c>
      <c r="B25" s="47"/>
    </row>
    <row r="26" spans="1:8" ht="15.6" x14ac:dyDescent="0.3">
      <c r="A26" s="5" t="s">
        <v>82</v>
      </c>
      <c r="B26" s="9" t="s">
        <v>83</v>
      </c>
    </row>
    <row r="27" spans="1:8" x14ac:dyDescent="0.3">
      <c r="A27" s="8" t="s">
        <v>100</v>
      </c>
      <c r="B27" s="14">
        <f>SUM(B8:B23)</f>
        <v>30</v>
      </c>
    </row>
    <row r="28" spans="1:8" x14ac:dyDescent="0.3">
      <c r="A28" s="7" t="s">
        <v>101</v>
      </c>
      <c r="B28" s="15">
        <f>1-(B27/B4)</f>
        <v>0.9866071428571429</v>
      </c>
    </row>
    <row r="30" spans="1:8" x14ac:dyDescent="0.3">
      <c r="H30" s="3"/>
    </row>
  </sheetData>
  <sheetProtection sheet="1" objects="1" scenarios="1" selectLockedCells="1" selectUnlockedCells="1"/>
  <dataConsolidate/>
  <mergeCells count="4">
    <mergeCell ref="A2:B2"/>
    <mergeCell ref="A25:B25"/>
    <mergeCell ref="A6:C6"/>
    <mergeCell ref="A1:G1"/>
  </mergeCells>
  <conditionalFormatting sqref="B8:C23">
    <cfRule type="expression" dxfId="4" priority="1">
      <formula>"$B7&gt;0"</formula>
    </cfRule>
    <cfRule type="cellIs" dxfId="3" priority="3" operator="equal">
      <formula>0</formula>
    </cfRule>
  </conditionalFormatting>
  <conditionalFormatting sqref="B8:C24">
    <cfRule type="cellIs" dxfId="2" priority="2" operator="equal">
      <formula>0</formula>
    </cfRule>
  </conditionalFormatting>
  <conditionalFormatting sqref="C8:C23">
    <cfRule type="cellIs" dxfId="1" priority="6" operator="equal">
      <formula>0</formula>
    </cfRule>
  </conditionalFormatting>
  <pageMargins left="0.7" right="0.7" top="0.75" bottom="0.75" header="0.3" footer="0.3"/>
  <pageSetup orientation="portrait" r:id="rId1"/>
  <ignoredErrors>
    <ignoredError sqref="B28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C683-A6D1-41D2-8349-5CFF6511148A}">
  <sheetPr>
    <tabColor theme="2" tint="-0.249977111117893"/>
  </sheetPr>
  <dimension ref="A1:AS2241"/>
  <sheetViews>
    <sheetView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5546875" bestFit="1" customWidth="1"/>
    <col min="2" max="2" width="12.5546875" bestFit="1" customWidth="1"/>
    <col min="3" max="3" width="11.77734375" bestFit="1" customWidth="1"/>
    <col min="4" max="4" width="15.88671875" bestFit="1" customWidth="1"/>
    <col min="5" max="5" width="9.88671875" bestFit="1" customWidth="1"/>
    <col min="6" max="6" width="11.109375" bestFit="1" customWidth="1"/>
    <col min="7" max="7" width="12.6640625" bestFit="1" customWidth="1"/>
    <col min="8" max="8" width="14.88671875" bestFit="1" customWidth="1"/>
    <col min="9" max="9" width="10.6640625" bestFit="1" customWidth="1"/>
    <col min="10" max="10" width="12.44140625" bestFit="1" customWidth="1"/>
    <col min="11" max="11" width="12" bestFit="1" customWidth="1"/>
    <col min="12" max="12" width="19.33203125" bestFit="1" customWidth="1"/>
    <col min="13" max="13" width="18.109375" bestFit="1" customWidth="1"/>
    <col min="14" max="14" width="20.109375" bestFit="1" customWidth="1"/>
    <col min="15" max="15" width="15.88671875" bestFit="1" customWidth="1"/>
    <col min="16" max="16" width="21.109375" bestFit="1" customWidth="1"/>
    <col min="17" max="17" width="20.33203125" bestFit="1" customWidth="1"/>
    <col min="18" max="18" width="22.6640625" bestFit="1" customWidth="1"/>
    <col min="19" max="19" width="20.88671875" bestFit="1" customWidth="1"/>
    <col min="20" max="20" width="22.21875" bestFit="1" customWidth="1"/>
    <col min="21" max="25" width="16.44140625" bestFit="1" customWidth="1"/>
    <col min="26" max="26" width="11.44140625" bestFit="1" customWidth="1"/>
    <col min="27" max="27" width="15.6640625" bestFit="1" customWidth="1"/>
    <col min="28" max="28" width="13" bestFit="1" customWidth="1"/>
    <col min="29" max="29" width="11.77734375" bestFit="1" customWidth="1"/>
    <col min="30" max="30" width="20.6640625" bestFit="1" customWidth="1"/>
    <col min="31" max="31" width="18.6640625" bestFit="1" customWidth="1"/>
    <col min="32" max="32" width="27.33203125" customWidth="1"/>
    <col min="33" max="33" width="22.21875" bestFit="1" customWidth="1"/>
    <col min="34" max="34" width="23.5546875" bestFit="1" customWidth="1"/>
    <col min="35" max="35" width="23.6640625" bestFit="1" customWidth="1"/>
    <col min="36" max="36" width="25.21875" bestFit="1" customWidth="1"/>
    <col min="37" max="37" width="30.77734375" bestFit="1" customWidth="1"/>
    <col min="38" max="38" width="23.21875" bestFit="1" customWidth="1"/>
    <col min="39" max="39" width="25.21875" bestFit="1" customWidth="1"/>
    <col min="40" max="40" width="31.109375" bestFit="1" customWidth="1"/>
    <col min="41" max="41" width="18" bestFit="1" customWidth="1"/>
    <col min="42" max="42" width="24.88671875" bestFit="1" customWidth="1"/>
    <col min="43" max="43" width="30.77734375" bestFit="1" customWidth="1"/>
    <col min="44" max="44" width="28" bestFit="1" customWidth="1"/>
    <col min="45" max="45" width="24.5546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</row>
    <row r="2" spans="1:45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 t="str">
        <f>IF(COUNTIF(A:A,A2)&gt;1,"Duplicate","Ok")</f>
        <v>Ok</v>
      </c>
      <c r="AE2" t="str">
        <f>IF(AND(Audit_Data[[#This Row],[Year_Birth]]&gt;=1900,Audit_Data[[#This Row],[Year_Birth]]&lt;=2010),"OK","Invalid")</f>
        <v>OK</v>
      </c>
      <c r="AF2" t="str">
        <f t="shared" ref="AF2:AF65" si="0">IF(OR(C2="Graduation",C2="phD",C2="Master",C2="Basic",C2="2n Cycle"),"Valid","Invalid")</f>
        <v>Valid</v>
      </c>
      <c r="AG2" t="str">
        <f t="shared" ref="AG2:AG65" si="1">IF(OR(D2="Single",D2="Married",D2="Divorced",D2="Together",D2="Widow",D2="Alone"),"Valid","Invalid")</f>
        <v>Valid</v>
      </c>
      <c r="AH2" t="str">
        <f t="shared" ref="AH2:AH65" si="2">IF(AND(ISNUMBER(E2),E2&lt;&gt;""),"Valid","Invalid")</f>
        <v>Valid</v>
      </c>
      <c r="AI2" t="str">
        <f>IF(AND(F2&gt;=0,F2&lt;=2),"Valid","Invalid")</f>
        <v>Valid</v>
      </c>
      <c r="AJ2" t="str">
        <f>IF(AND(G2&gt;=0,G2&lt;=2),"Valid","Invalid")</f>
        <v>Valid</v>
      </c>
      <c r="AK2" t="str">
        <f>IF(AND(ISNUMBER(H2),H2&gt;=DATE(2012,1,1),H2&lt;=DATE(2014,12,31)),"Valid ","Invalid")</f>
        <v xml:space="preserve">Valid </v>
      </c>
      <c r="AL2" t="str">
        <f>IF(AND(Audit_Data[[#This Row],[Recency]]&gt;=0,Audit_Data[[#This Row],[Recency]]&lt;=100),"Valid","Invalid")</f>
        <v>Valid</v>
      </c>
      <c r="AM2" t="str">
        <f t="shared" ref="AM2:AM65" si="3">IF(AND(ISNUMBER(J2),J2&gt;=0,ISNUMBER(K2),K2&gt;=0,ISNUMBER(L2),L2&gt;=0,ISNUMBER(M2),M2&gt;=0,ISNUMBER(N2),N2&gt;=0,ISNUMBER(O2),O2&gt;=0),"Valid","Invalid")</f>
        <v>Valid</v>
      </c>
      <c r="AN2" t="str">
        <f t="shared" ref="AN2:AN65" si="4">IF(AND(ISNUMBER(P2),P2&gt;=0,ISNUMBER(Q2),Q2&gt;=0,ISNUMBER(R2),R2&gt;=0,ISNUMBER(S2),S2&gt;=0,ISNUMBER(T2),T2&gt;=0),"Valid","Invalid")</f>
        <v>Valid</v>
      </c>
      <c r="AO2" t="str">
        <f t="shared" ref="AO2:AO65" si="5">IF(AND(U2&lt;=1,V2&lt;=1,W2&lt;=1,X2&lt;=1,Y2&lt;=1),"Valid","Invalid")</f>
        <v>Valid</v>
      </c>
      <c r="AP2" t="str">
        <f>IF(OR(Z2=0,Z2=1),"Valid","Invalid")</f>
        <v>Valid</v>
      </c>
      <c r="AQ2" t="str">
        <f>IF(Audit_Data[[#This Row],[Z_CostContact]]=3,"Valid","Invalid")</f>
        <v>Valid</v>
      </c>
      <c r="AR2" t="str">
        <f t="shared" ref="AR2:AR65" si="6">IF(AB2=11,"Valid","Invalid")</f>
        <v>Valid</v>
      </c>
      <c r="AS2" t="str">
        <f t="shared" ref="AS2:AS65" si="7">IF(OR(AC2=0,AC2=1),"Valid","Invalid")</f>
        <v>Valid</v>
      </c>
    </row>
    <row r="3" spans="1:45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 t="str">
        <f t="shared" ref="AD3:AD65" si="8">IF(COUNTIF(A:A,A3)&gt;1,"Duplicate","Ok")</f>
        <v>Ok</v>
      </c>
      <c r="AE3" t="str">
        <f>IF(AND(Audit_Data[[#This Row],[Year_Birth]]&gt;=1900,Audit_Data[[#This Row],[Year_Birth]]&lt;=2010),"OK","Invalid")</f>
        <v>OK</v>
      </c>
      <c r="AF3" t="str">
        <f t="shared" si="0"/>
        <v>Valid</v>
      </c>
      <c r="AG3" t="str">
        <f t="shared" si="1"/>
        <v>Valid</v>
      </c>
      <c r="AH3" t="str">
        <f t="shared" si="2"/>
        <v>Valid</v>
      </c>
      <c r="AI3" t="str">
        <f t="shared" ref="AI3:AI65" si="9">IF(AND(F3&gt;=0,F3&lt;=2),"Valid","Invalid")</f>
        <v>Valid</v>
      </c>
      <c r="AJ3" t="str">
        <f t="shared" ref="AJ3:AJ65" si="10">IF(AND(G3&gt;=0,G3&lt;=2),"Valid","Invalid")</f>
        <v>Valid</v>
      </c>
      <c r="AK3" t="str">
        <f t="shared" ref="AK3:AK66" si="11">IF(AND(ISNUMBER(H3),H3&gt;=DATE(2012,1,1),H3&lt;=DATE(2014,12,31)),"Valid ","Invalid")</f>
        <v xml:space="preserve">Valid </v>
      </c>
      <c r="AL3" t="str">
        <f>IF(AND(Audit_Data[[#This Row],[Recency]]&gt;=0,Audit_Data[[#This Row],[Recency]]&lt;=100),"Valid","Invalid")</f>
        <v>Valid</v>
      </c>
      <c r="AM3" t="str">
        <f t="shared" si="3"/>
        <v>Valid</v>
      </c>
      <c r="AN3" t="str">
        <f t="shared" si="4"/>
        <v>Valid</v>
      </c>
      <c r="AO3" t="str">
        <f t="shared" si="5"/>
        <v>Valid</v>
      </c>
      <c r="AP3" t="str">
        <f t="shared" ref="AP3:AP65" si="12">IF(OR(Z3=0,Z3=1),"Valid","Invalid")</f>
        <v>Valid</v>
      </c>
      <c r="AQ3" t="str">
        <f>IF(Audit_Data[[#This Row],[Z_CostContact]]=3,"Valid","Invalid")</f>
        <v>Valid</v>
      </c>
      <c r="AR3" t="str">
        <f t="shared" si="6"/>
        <v>Valid</v>
      </c>
      <c r="AS3" t="str">
        <f t="shared" si="7"/>
        <v>Valid</v>
      </c>
    </row>
    <row r="4" spans="1:45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 t="str">
        <f t="shared" si="8"/>
        <v>Ok</v>
      </c>
      <c r="AE4" t="str">
        <f>IF(AND(Audit_Data[[#This Row],[Year_Birth]]&gt;=1900,Audit_Data[[#This Row],[Year_Birth]]&lt;=2010),"OK","Invalid")</f>
        <v>OK</v>
      </c>
      <c r="AF4" t="str">
        <f t="shared" si="0"/>
        <v>Valid</v>
      </c>
      <c r="AG4" t="str">
        <f t="shared" si="1"/>
        <v>Valid</v>
      </c>
      <c r="AH4" t="str">
        <f t="shared" si="2"/>
        <v>Valid</v>
      </c>
      <c r="AI4" t="str">
        <f t="shared" si="9"/>
        <v>Valid</v>
      </c>
      <c r="AJ4" t="str">
        <f t="shared" si="10"/>
        <v>Valid</v>
      </c>
      <c r="AK4" t="str">
        <f t="shared" si="11"/>
        <v xml:space="preserve">Valid </v>
      </c>
      <c r="AL4" t="str">
        <f>IF(AND(Audit_Data[[#This Row],[Recency]]&gt;=0,Audit_Data[[#This Row],[Recency]]&lt;=100),"Valid","Invalid")</f>
        <v>Valid</v>
      </c>
      <c r="AM4" t="str">
        <f t="shared" si="3"/>
        <v>Valid</v>
      </c>
      <c r="AN4" t="str">
        <f t="shared" si="4"/>
        <v>Valid</v>
      </c>
      <c r="AO4" t="str">
        <f t="shared" si="5"/>
        <v>Valid</v>
      </c>
      <c r="AP4" t="str">
        <f t="shared" si="12"/>
        <v>Valid</v>
      </c>
      <c r="AQ4" t="str">
        <f>IF(Audit_Data[[#This Row],[Z_CostContact]]=3,"Valid","Invalid")</f>
        <v>Valid</v>
      </c>
      <c r="AR4" t="str">
        <f t="shared" si="6"/>
        <v>Valid</v>
      </c>
      <c r="AS4" t="str">
        <f t="shared" si="7"/>
        <v>Valid</v>
      </c>
    </row>
    <row r="5" spans="1:45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 t="str">
        <f t="shared" si="8"/>
        <v>Ok</v>
      </c>
      <c r="AE5" t="str">
        <f>IF(AND(Audit_Data[[#This Row],[Year_Birth]]&gt;=1900,Audit_Data[[#This Row],[Year_Birth]]&lt;=2010),"OK","Invalid")</f>
        <v>OK</v>
      </c>
      <c r="AF5" t="str">
        <f t="shared" si="0"/>
        <v>Valid</v>
      </c>
      <c r="AG5" t="str">
        <f t="shared" si="1"/>
        <v>Valid</v>
      </c>
      <c r="AH5" t="str">
        <f t="shared" si="2"/>
        <v>Valid</v>
      </c>
      <c r="AI5" t="str">
        <f t="shared" si="9"/>
        <v>Valid</v>
      </c>
      <c r="AJ5" t="str">
        <f t="shared" si="10"/>
        <v>Valid</v>
      </c>
      <c r="AK5" t="str">
        <f t="shared" si="11"/>
        <v xml:space="preserve">Valid </v>
      </c>
      <c r="AL5" t="str">
        <f>IF(AND(Audit_Data[[#This Row],[Recency]]&gt;=0,Audit_Data[[#This Row],[Recency]]&lt;=100),"Valid","Invalid")</f>
        <v>Valid</v>
      </c>
      <c r="AM5" t="str">
        <f t="shared" si="3"/>
        <v>Valid</v>
      </c>
      <c r="AN5" t="str">
        <f t="shared" si="4"/>
        <v>Valid</v>
      </c>
      <c r="AO5" t="str">
        <f t="shared" si="5"/>
        <v>Valid</v>
      </c>
      <c r="AP5" t="str">
        <f t="shared" si="12"/>
        <v>Valid</v>
      </c>
      <c r="AQ5" t="str">
        <f>IF(Audit_Data[[#This Row],[Z_CostContact]]=3,"Valid","Invalid")</f>
        <v>Valid</v>
      </c>
      <c r="AR5" t="str">
        <f t="shared" si="6"/>
        <v>Valid</v>
      </c>
      <c r="AS5" t="str">
        <f t="shared" si="7"/>
        <v>Valid</v>
      </c>
    </row>
    <row r="6" spans="1:45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 t="str">
        <f t="shared" si="8"/>
        <v>Ok</v>
      </c>
      <c r="AE6" t="str">
        <f>IF(AND(Audit_Data[[#This Row],[Year_Birth]]&gt;=1900,Audit_Data[[#This Row],[Year_Birth]]&lt;=2010),"OK","Invalid")</f>
        <v>OK</v>
      </c>
      <c r="AF6" t="str">
        <f t="shared" si="0"/>
        <v>Valid</v>
      </c>
      <c r="AG6" t="str">
        <f t="shared" si="1"/>
        <v>Valid</v>
      </c>
      <c r="AH6" t="str">
        <f t="shared" si="2"/>
        <v>Valid</v>
      </c>
      <c r="AI6" t="str">
        <f t="shared" si="9"/>
        <v>Valid</v>
      </c>
      <c r="AJ6" t="str">
        <f t="shared" si="10"/>
        <v>Valid</v>
      </c>
      <c r="AK6" t="str">
        <f t="shared" si="11"/>
        <v xml:space="preserve">Valid </v>
      </c>
      <c r="AL6" t="str">
        <f>IF(AND(Audit_Data[[#This Row],[Recency]]&gt;=0,Audit_Data[[#This Row],[Recency]]&lt;=100),"Valid","Invalid")</f>
        <v>Valid</v>
      </c>
      <c r="AM6" t="str">
        <f t="shared" si="3"/>
        <v>Valid</v>
      </c>
      <c r="AN6" t="str">
        <f t="shared" si="4"/>
        <v>Valid</v>
      </c>
      <c r="AO6" t="str">
        <f t="shared" si="5"/>
        <v>Valid</v>
      </c>
      <c r="AP6" t="str">
        <f t="shared" si="12"/>
        <v>Valid</v>
      </c>
      <c r="AQ6" t="str">
        <f>IF(Audit_Data[[#This Row],[Z_CostContact]]=3,"Valid","Invalid")</f>
        <v>Valid</v>
      </c>
      <c r="AR6" t="str">
        <f t="shared" si="6"/>
        <v>Valid</v>
      </c>
      <c r="AS6" t="str">
        <f t="shared" si="7"/>
        <v>Valid</v>
      </c>
    </row>
    <row r="7" spans="1:45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 t="str">
        <f t="shared" si="8"/>
        <v>Ok</v>
      </c>
      <c r="AE7" t="str">
        <f>IF(AND(Audit_Data[[#This Row],[Year_Birth]]&gt;=1900,Audit_Data[[#This Row],[Year_Birth]]&lt;=2010),"OK","Invalid")</f>
        <v>OK</v>
      </c>
      <c r="AF7" t="str">
        <f t="shared" si="0"/>
        <v>Valid</v>
      </c>
      <c r="AG7" t="str">
        <f t="shared" si="1"/>
        <v>Valid</v>
      </c>
      <c r="AH7" t="str">
        <f t="shared" si="2"/>
        <v>Valid</v>
      </c>
      <c r="AI7" t="str">
        <f t="shared" si="9"/>
        <v>Valid</v>
      </c>
      <c r="AJ7" t="str">
        <f t="shared" si="10"/>
        <v>Valid</v>
      </c>
      <c r="AK7" t="str">
        <f t="shared" si="11"/>
        <v xml:space="preserve">Valid </v>
      </c>
      <c r="AL7" t="str">
        <f>IF(AND(Audit_Data[[#This Row],[Recency]]&gt;=0,Audit_Data[[#This Row],[Recency]]&lt;=100),"Valid","Invalid")</f>
        <v>Valid</v>
      </c>
      <c r="AM7" t="str">
        <f t="shared" si="3"/>
        <v>Valid</v>
      </c>
      <c r="AN7" t="str">
        <f t="shared" si="4"/>
        <v>Valid</v>
      </c>
      <c r="AO7" t="str">
        <f t="shared" si="5"/>
        <v>Valid</v>
      </c>
      <c r="AP7" t="str">
        <f t="shared" si="12"/>
        <v>Valid</v>
      </c>
      <c r="AQ7" t="str">
        <f>IF(Audit_Data[[#This Row],[Z_CostContact]]=3,"Valid","Invalid")</f>
        <v>Valid</v>
      </c>
      <c r="AR7" t="str">
        <f t="shared" si="6"/>
        <v>Valid</v>
      </c>
      <c r="AS7" t="str">
        <f t="shared" si="7"/>
        <v>Valid</v>
      </c>
    </row>
    <row r="8" spans="1:45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 t="str">
        <f t="shared" si="8"/>
        <v>Ok</v>
      </c>
      <c r="AE8" t="str">
        <f>IF(AND(Audit_Data[[#This Row],[Year_Birth]]&gt;=1900,Audit_Data[[#This Row],[Year_Birth]]&lt;=2010),"OK","Invalid")</f>
        <v>OK</v>
      </c>
      <c r="AF8" t="str">
        <f t="shared" si="0"/>
        <v>Valid</v>
      </c>
      <c r="AG8" t="str">
        <f t="shared" si="1"/>
        <v>Valid</v>
      </c>
      <c r="AH8" t="str">
        <f t="shared" si="2"/>
        <v>Valid</v>
      </c>
      <c r="AI8" t="str">
        <f t="shared" si="9"/>
        <v>Valid</v>
      </c>
      <c r="AJ8" t="str">
        <f t="shared" si="10"/>
        <v>Valid</v>
      </c>
      <c r="AK8" t="str">
        <f>IF(AND(ISNUMBER(H8),H8&gt;=DATE(2012,1,1),H8&lt;=DATE(2014,12,31)),"Valid ","Invalid")</f>
        <v xml:space="preserve">Valid </v>
      </c>
      <c r="AL8" t="str">
        <f>IF(AND(Audit_Data[[#This Row],[Recency]]&gt;=0,Audit_Data[[#This Row],[Recency]]&lt;=100),"Valid","Invalid")</f>
        <v>Valid</v>
      </c>
      <c r="AM8" t="str">
        <f t="shared" si="3"/>
        <v>Valid</v>
      </c>
      <c r="AN8" t="str">
        <f t="shared" si="4"/>
        <v>Valid</v>
      </c>
      <c r="AO8" t="str">
        <f t="shared" si="5"/>
        <v>Valid</v>
      </c>
      <c r="AP8" t="str">
        <f t="shared" si="12"/>
        <v>Valid</v>
      </c>
      <c r="AQ8" t="str">
        <f>IF(Audit_Data[[#This Row],[Z_CostContact]]=3,"Valid","Invalid")</f>
        <v>Valid</v>
      </c>
      <c r="AR8" t="str">
        <f t="shared" si="6"/>
        <v>Valid</v>
      </c>
      <c r="AS8" t="str">
        <f t="shared" si="7"/>
        <v>Valid</v>
      </c>
    </row>
    <row r="9" spans="1:45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 t="str">
        <f t="shared" si="8"/>
        <v>Ok</v>
      </c>
      <c r="AE9" t="str">
        <f>IF(AND(Audit_Data[[#This Row],[Year_Birth]]&gt;=1900,Audit_Data[[#This Row],[Year_Birth]]&lt;=2010),"OK","Invalid")</f>
        <v>OK</v>
      </c>
      <c r="AF9" t="str">
        <f t="shared" si="0"/>
        <v>Valid</v>
      </c>
      <c r="AG9" t="str">
        <f t="shared" si="1"/>
        <v>Valid</v>
      </c>
      <c r="AH9" t="str">
        <f t="shared" si="2"/>
        <v>Valid</v>
      </c>
      <c r="AI9" t="str">
        <f t="shared" si="9"/>
        <v>Valid</v>
      </c>
      <c r="AJ9" t="str">
        <f t="shared" si="10"/>
        <v>Valid</v>
      </c>
      <c r="AK9" t="str">
        <f t="shared" si="11"/>
        <v xml:space="preserve">Valid </v>
      </c>
      <c r="AL9" t="str">
        <f>IF(AND(Audit_Data[[#This Row],[Recency]]&gt;=0,Audit_Data[[#This Row],[Recency]]&lt;=100),"Valid","Invalid")</f>
        <v>Valid</v>
      </c>
      <c r="AM9" t="str">
        <f t="shared" si="3"/>
        <v>Valid</v>
      </c>
      <c r="AN9" t="str">
        <f t="shared" si="4"/>
        <v>Valid</v>
      </c>
      <c r="AO9" t="str">
        <f t="shared" si="5"/>
        <v>Valid</v>
      </c>
      <c r="AP9" t="str">
        <f t="shared" si="12"/>
        <v>Valid</v>
      </c>
      <c r="AQ9" t="str">
        <f>IF(Audit_Data[[#This Row],[Z_CostContact]]=3,"Valid","Invalid")</f>
        <v>Valid</v>
      </c>
      <c r="AR9" t="str">
        <f t="shared" si="6"/>
        <v>Valid</v>
      </c>
      <c r="AS9" t="str">
        <f t="shared" si="7"/>
        <v>Valid</v>
      </c>
    </row>
    <row r="10" spans="1:45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 t="str">
        <f t="shared" si="8"/>
        <v>Ok</v>
      </c>
      <c r="AE10" t="str">
        <f>IF(AND(Audit_Data[[#This Row],[Year_Birth]]&gt;=1900,Audit_Data[[#This Row],[Year_Birth]]&lt;=2010),"OK","Invalid")</f>
        <v>OK</v>
      </c>
      <c r="AF10" t="str">
        <f t="shared" si="0"/>
        <v>Valid</v>
      </c>
      <c r="AG10" t="str">
        <f t="shared" si="1"/>
        <v>Valid</v>
      </c>
      <c r="AH10" t="str">
        <f t="shared" si="2"/>
        <v>Valid</v>
      </c>
      <c r="AI10" t="str">
        <f t="shared" si="9"/>
        <v>Valid</v>
      </c>
      <c r="AJ10" t="str">
        <f t="shared" si="10"/>
        <v>Valid</v>
      </c>
      <c r="AK10" t="str">
        <f t="shared" si="11"/>
        <v xml:space="preserve">Valid </v>
      </c>
      <c r="AL10" t="str">
        <f>IF(AND(Audit_Data[[#This Row],[Recency]]&gt;=0,Audit_Data[[#This Row],[Recency]]&lt;=100),"Valid","Invalid")</f>
        <v>Valid</v>
      </c>
      <c r="AM10" t="str">
        <f t="shared" si="3"/>
        <v>Valid</v>
      </c>
      <c r="AN10" t="str">
        <f t="shared" si="4"/>
        <v>Valid</v>
      </c>
      <c r="AO10" t="str">
        <f t="shared" si="5"/>
        <v>Valid</v>
      </c>
      <c r="AP10" t="str">
        <f t="shared" si="12"/>
        <v>Valid</v>
      </c>
      <c r="AQ10" t="str">
        <f>IF(Audit_Data[[#This Row],[Z_CostContact]]=3,"Valid","Invalid")</f>
        <v>Valid</v>
      </c>
      <c r="AR10" t="str">
        <f t="shared" si="6"/>
        <v>Valid</v>
      </c>
      <c r="AS10" t="str">
        <f t="shared" si="7"/>
        <v>Valid</v>
      </c>
    </row>
    <row r="11" spans="1:45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 t="str">
        <f t="shared" si="8"/>
        <v>Ok</v>
      </c>
      <c r="AE11" t="str">
        <f>IF(AND(Audit_Data[[#This Row],[Year_Birth]]&gt;=1900,Audit_Data[[#This Row],[Year_Birth]]&lt;=2010),"OK","Invalid")</f>
        <v>OK</v>
      </c>
      <c r="AF11" t="str">
        <f t="shared" si="0"/>
        <v>Valid</v>
      </c>
      <c r="AG11" t="str">
        <f t="shared" si="1"/>
        <v>Valid</v>
      </c>
      <c r="AH11" t="str">
        <f t="shared" si="2"/>
        <v>Valid</v>
      </c>
      <c r="AI11" t="str">
        <f t="shared" si="9"/>
        <v>Valid</v>
      </c>
      <c r="AJ11" t="str">
        <f t="shared" si="10"/>
        <v>Valid</v>
      </c>
      <c r="AK11" t="str">
        <f t="shared" si="11"/>
        <v xml:space="preserve">Valid </v>
      </c>
      <c r="AL11" t="str">
        <f>IF(AND(Audit_Data[[#This Row],[Recency]]&gt;=0,Audit_Data[[#This Row],[Recency]]&lt;=100),"Valid","Invalid")</f>
        <v>Valid</v>
      </c>
      <c r="AM11" t="str">
        <f t="shared" si="3"/>
        <v>Valid</v>
      </c>
      <c r="AN11" t="str">
        <f t="shared" si="4"/>
        <v>Valid</v>
      </c>
      <c r="AO11" t="str">
        <f t="shared" si="5"/>
        <v>Valid</v>
      </c>
      <c r="AP11" t="str">
        <f t="shared" si="12"/>
        <v>Valid</v>
      </c>
      <c r="AQ11" t="str">
        <f>IF(Audit_Data[[#This Row],[Z_CostContact]]=3,"Valid","Invalid")</f>
        <v>Valid</v>
      </c>
      <c r="AR11" t="str">
        <f t="shared" si="6"/>
        <v>Valid</v>
      </c>
      <c r="AS11" t="str">
        <f t="shared" si="7"/>
        <v>Valid</v>
      </c>
    </row>
    <row r="12" spans="1:45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 t="str">
        <f t="shared" si="8"/>
        <v>Ok</v>
      </c>
      <c r="AE12" t="str">
        <f>IF(AND(Audit_Data[[#This Row],[Year_Birth]]&gt;=1900,Audit_Data[[#This Row],[Year_Birth]]&lt;=2010),"OK","Invalid")</f>
        <v>OK</v>
      </c>
      <c r="AF12" t="str">
        <f t="shared" si="0"/>
        <v>Valid</v>
      </c>
      <c r="AG12" t="str">
        <f t="shared" si="1"/>
        <v>Valid</v>
      </c>
      <c r="AH12" t="str">
        <f t="shared" si="2"/>
        <v>Invalid</v>
      </c>
      <c r="AI12" t="str">
        <f t="shared" si="9"/>
        <v>Valid</v>
      </c>
      <c r="AJ12" t="str">
        <f t="shared" si="10"/>
        <v>Valid</v>
      </c>
      <c r="AK12" t="str">
        <f t="shared" si="11"/>
        <v xml:space="preserve">Valid </v>
      </c>
      <c r="AL12" t="str">
        <f>IF(AND(Audit_Data[[#This Row],[Recency]]&gt;=0,Audit_Data[[#This Row],[Recency]]&lt;=100),"Valid","Invalid")</f>
        <v>Valid</v>
      </c>
      <c r="AM12" t="str">
        <f t="shared" si="3"/>
        <v>Valid</v>
      </c>
      <c r="AN12" t="str">
        <f t="shared" si="4"/>
        <v>Valid</v>
      </c>
      <c r="AO12" t="str">
        <f t="shared" si="5"/>
        <v>Valid</v>
      </c>
      <c r="AP12" t="str">
        <f t="shared" si="12"/>
        <v>Valid</v>
      </c>
      <c r="AQ12" t="str">
        <f>IF(Audit_Data[[#This Row],[Z_CostContact]]=3,"Valid","Invalid")</f>
        <v>Valid</v>
      </c>
      <c r="AR12" t="str">
        <f t="shared" si="6"/>
        <v>Valid</v>
      </c>
      <c r="AS12" t="str">
        <f t="shared" si="7"/>
        <v>Valid</v>
      </c>
    </row>
    <row r="13" spans="1:45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 t="str">
        <f t="shared" si="8"/>
        <v>Ok</v>
      </c>
      <c r="AE13" t="str">
        <f>IF(AND(Audit_Data[[#This Row],[Year_Birth]]&gt;=1900,Audit_Data[[#This Row],[Year_Birth]]&lt;=2010),"OK","Invalid")</f>
        <v>OK</v>
      </c>
      <c r="AF13" t="str">
        <f t="shared" si="0"/>
        <v>Valid</v>
      </c>
      <c r="AG13" t="str">
        <f t="shared" si="1"/>
        <v>Valid</v>
      </c>
      <c r="AH13" t="str">
        <f t="shared" si="2"/>
        <v>Valid</v>
      </c>
      <c r="AI13" t="str">
        <f t="shared" si="9"/>
        <v>Valid</v>
      </c>
      <c r="AJ13" t="str">
        <f t="shared" si="10"/>
        <v>Valid</v>
      </c>
      <c r="AK13" t="str">
        <f t="shared" si="11"/>
        <v xml:space="preserve">Valid </v>
      </c>
      <c r="AL13" t="str">
        <f>IF(AND(Audit_Data[[#This Row],[Recency]]&gt;=0,Audit_Data[[#This Row],[Recency]]&lt;=100),"Valid","Invalid")</f>
        <v>Valid</v>
      </c>
      <c r="AM13" t="str">
        <f t="shared" si="3"/>
        <v>Valid</v>
      </c>
      <c r="AN13" t="str">
        <f t="shared" si="4"/>
        <v>Valid</v>
      </c>
      <c r="AO13" t="str">
        <f t="shared" si="5"/>
        <v>Valid</v>
      </c>
      <c r="AP13" t="str">
        <f t="shared" si="12"/>
        <v>Valid</v>
      </c>
      <c r="AQ13" t="str">
        <f>IF(Audit_Data[[#This Row],[Z_CostContact]]=3,"Valid","Invalid")</f>
        <v>Valid</v>
      </c>
      <c r="AR13" t="str">
        <f t="shared" si="6"/>
        <v>Valid</v>
      </c>
      <c r="AS13" t="str">
        <f t="shared" si="7"/>
        <v>Valid</v>
      </c>
    </row>
    <row r="14" spans="1:45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 t="str">
        <f t="shared" si="8"/>
        <v>Ok</v>
      </c>
      <c r="AE14" t="str">
        <f>IF(AND(Audit_Data[[#This Row],[Year_Birth]]&gt;=1900,Audit_Data[[#This Row],[Year_Birth]]&lt;=2010),"OK","Invalid")</f>
        <v>OK</v>
      </c>
      <c r="AF14" t="str">
        <f t="shared" si="0"/>
        <v>Valid</v>
      </c>
      <c r="AG14" t="str">
        <f t="shared" si="1"/>
        <v>Valid</v>
      </c>
      <c r="AH14" t="str">
        <f t="shared" si="2"/>
        <v>Valid</v>
      </c>
      <c r="AI14" t="str">
        <f t="shared" si="9"/>
        <v>Valid</v>
      </c>
      <c r="AJ14" t="str">
        <f t="shared" si="10"/>
        <v>Valid</v>
      </c>
      <c r="AK14" t="str">
        <f t="shared" si="11"/>
        <v xml:space="preserve">Valid </v>
      </c>
      <c r="AL14" t="str">
        <f>IF(AND(Audit_Data[[#This Row],[Recency]]&gt;=0,Audit_Data[[#This Row],[Recency]]&lt;=100),"Valid","Invalid")</f>
        <v>Valid</v>
      </c>
      <c r="AM14" t="str">
        <f t="shared" si="3"/>
        <v>Valid</v>
      </c>
      <c r="AN14" t="str">
        <f t="shared" si="4"/>
        <v>Valid</v>
      </c>
      <c r="AO14" t="str">
        <f t="shared" si="5"/>
        <v>Valid</v>
      </c>
      <c r="AP14" t="str">
        <f t="shared" si="12"/>
        <v>Valid</v>
      </c>
      <c r="AQ14" t="str">
        <f>IF(Audit_Data[[#This Row],[Z_CostContact]]=3,"Valid","Invalid")</f>
        <v>Valid</v>
      </c>
      <c r="AR14" t="str">
        <f t="shared" si="6"/>
        <v>Valid</v>
      </c>
      <c r="AS14" t="str">
        <f t="shared" si="7"/>
        <v>Valid</v>
      </c>
    </row>
    <row r="15" spans="1:45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 t="str">
        <f t="shared" si="8"/>
        <v>Ok</v>
      </c>
      <c r="AE15" t="str">
        <f>IF(AND(Audit_Data[[#This Row],[Year_Birth]]&gt;=1900,Audit_Data[[#This Row],[Year_Birth]]&lt;=2010),"OK","Invalid")</f>
        <v>OK</v>
      </c>
      <c r="AF15" t="str">
        <f t="shared" si="0"/>
        <v>Valid</v>
      </c>
      <c r="AG15" t="str">
        <f t="shared" si="1"/>
        <v>Valid</v>
      </c>
      <c r="AH15" t="str">
        <f t="shared" si="2"/>
        <v>Valid</v>
      </c>
      <c r="AI15" t="str">
        <f t="shared" si="9"/>
        <v>Valid</v>
      </c>
      <c r="AJ15" t="str">
        <f t="shared" si="10"/>
        <v>Valid</v>
      </c>
      <c r="AK15" t="str">
        <f t="shared" si="11"/>
        <v xml:space="preserve">Valid </v>
      </c>
      <c r="AL15" t="str">
        <f>IF(AND(Audit_Data[[#This Row],[Recency]]&gt;=0,Audit_Data[[#This Row],[Recency]]&lt;=100),"Valid","Invalid")</f>
        <v>Valid</v>
      </c>
      <c r="AM15" t="str">
        <f t="shared" si="3"/>
        <v>Valid</v>
      </c>
      <c r="AN15" t="str">
        <f t="shared" si="4"/>
        <v>Valid</v>
      </c>
      <c r="AO15" t="str">
        <f t="shared" si="5"/>
        <v>Valid</v>
      </c>
      <c r="AP15" t="str">
        <f t="shared" si="12"/>
        <v>Valid</v>
      </c>
      <c r="AQ15" t="str">
        <f>IF(Audit_Data[[#This Row],[Z_CostContact]]=3,"Valid","Invalid")</f>
        <v>Valid</v>
      </c>
      <c r="AR15" t="str">
        <f t="shared" si="6"/>
        <v>Valid</v>
      </c>
      <c r="AS15" t="str">
        <f t="shared" si="7"/>
        <v>Valid</v>
      </c>
    </row>
    <row r="16" spans="1:45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 t="str">
        <f t="shared" si="8"/>
        <v>Ok</v>
      </c>
      <c r="AE16" t="str">
        <f>IF(AND(Audit_Data[[#This Row],[Year_Birth]]&gt;=1900,Audit_Data[[#This Row],[Year_Birth]]&lt;=2010),"OK","Invalid")</f>
        <v>OK</v>
      </c>
      <c r="AF16" t="str">
        <f t="shared" si="0"/>
        <v>Valid</v>
      </c>
      <c r="AG16" t="str">
        <f t="shared" si="1"/>
        <v>Valid</v>
      </c>
      <c r="AH16" t="str">
        <f t="shared" si="2"/>
        <v>Valid</v>
      </c>
      <c r="AI16" t="str">
        <f t="shared" si="9"/>
        <v>Valid</v>
      </c>
      <c r="AJ16" t="str">
        <f t="shared" si="10"/>
        <v>Valid</v>
      </c>
      <c r="AK16" t="str">
        <f t="shared" si="11"/>
        <v xml:space="preserve">Valid </v>
      </c>
      <c r="AL16" t="str">
        <f>IF(AND(Audit_Data[[#This Row],[Recency]]&gt;=0,Audit_Data[[#This Row],[Recency]]&lt;=100),"Valid","Invalid")</f>
        <v>Valid</v>
      </c>
      <c r="AM16" t="str">
        <f t="shared" si="3"/>
        <v>Valid</v>
      </c>
      <c r="AN16" t="str">
        <f t="shared" si="4"/>
        <v>Valid</v>
      </c>
      <c r="AO16" t="str">
        <f t="shared" si="5"/>
        <v>Valid</v>
      </c>
      <c r="AP16" t="str">
        <f t="shared" si="12"/>
        <v>Valid</v>
      </c>
      <c r="AQ16" t="str">
        <f>IF(Audit_Data[[#This Row],[Z_CostContact]]=3,"Valid","Invalid")</f>
        <v>Valid</v>
      </c>
      <c r="AR16" t="str">
        <f t="shared" si="6"/>
        <v>Valid</v>
      </c>
      <c r="AS16" t="str">
        <f t="shared" si="7"/>
        <v>Valid</v>
      </c>
    </row>
    <row r="17" spans="1:45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 t="str">
        <f t="shared" si="8"/>
        <v>Ok</v>
      </c>
      <c r="AE17" t="str">
        <f>IF(AND(Audit_Data[[#This Row],[Year_Birth]]&gt;=1900,Audit_Data[[#This Row],[Year_Birth]]&lt;=2010),"OK","Invalid")</f>
        <v>OK</v>
      </c>
      <c r="AF17" t="str">
        <f t="shared" si="0"/>
        <v>Valid</v>
      </c>
      <c r="AG17" t="str">
        <f t="shared" si="1"/>
        <v>Valid</v>
      </c>
      <c r="AH17" t="str">
        <f t="shared" si="2"/>
        <v>Valid</v>
      </c>
      <c r="AI17" t="str">
        <f t="shared" si="9"/>
        <v>Valid</v>
      </c>
      <c r="AJ17" t="str">
        <f t="shared" si="10"/>
        <v>Valid</v>
      </c>
      <c r="AK17" t="str">
        <f t="shared" si="11"/>
        <v xml:space="preserve">Valid </v>
      </c>
      <c r="AL17" t="str">
        <f>IF(AND(Audit_Data[[#This Row],[Recency]]&gt;=0,Audit_Data[[#This Row],[Recency]]&lt;=100),"Valid","Invalid")</f>
        <v>Valid</v>
      </c>
      <c r="AM17" t="str">
        <f t="shared" si="3"/>
        <v>Valid</v>
      </c>
      <c r="AN17" t="str">
        <f t="shared" si="4"/>
        <v>Valid</v>
      </c>
      <c r="AO17" t="str">
        <f t="shared" si="5"/>
        <v>Valid</v>
      </c>
      <c r="AP17" t="str">
        <f t="shared" si="12"/>
        <v>Valid</v>
      </c>
      <c r="AQ17" t="str">
        <f>IF(Audit_Data[[#This Row],[Z_CostContact]]=3,"Valid","Invalid")</f>
        <v>Valid</v>
      </c>
      <c r="AR17" t="str">
        <f t="shared" si="6"/>
        <v>Valid</v>
      </c>
      <c r="AS17" t="str">
        <f t="shared" si="7"/>
        <v>Valid</v>
      </c>
    </row>
    <row r="18" spans="1:45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 t="str">
        <f t="shared" si="8"/>
        <v>Ok</v>
      </c>
      <c r="AE18" t="str">
        <f>IF(AND(Audit_Data[[#This Row],[Year_Birth]]&gt;=1900,Audit_Data[[#This Row],[Year_Birth]]&lt;=2010),"OK","Invalid")</f>
        <v>OK</v>
      </c>
      <c r="AF18" t="str">
        <f t="shared" si="0"/>
        <v>Valid</v>
      </c>
      <c r="AG18" t="str">
        <f t="shared" si="1"/>
        <v>Valid</v>
      </c>
      <c r="AH18" t="str">
        <f t="shared" si="2"/>
        <v>Valid</v>
      </c>
      <c r="AI18" t="str">
        <f t="shared" si="9"/>
        <v>Valid</v>
      </c>
      <c r="AJ18" t="str">
        <f t="shared" si="10"/>
        <v>Valid</v>
      </c>
      <c r="AK18" t="str">
        <f t="shared" si="11"/>
        <v xml:space="preserve">Valid </v>
      </c>
      <c r="AL18" t="str">
        <f>IF(AND(Audit_Data[[#This Row],[Recency]]&gt;=0,Audit_Data[[#This Row],[Recency]]&lt;=100),"Valid","Invalid")</f>
        <v>Valid</v>
      </c>
      <c r="AM18" t="str">
        <f t="shared" si="3"/>
        <v>Valid</v>
      </c>
      <c r="AN18" t="str">
        <f t="shared" si="4"/>
        <v>Valid</v>
      </c>
      <c r="AO18" t="str">
        <f t="shared" si="5"/>
        <v>Valid</v>
      </c>
      <c r="AP18" t="str">
        <f t="shared" si="12"/>
        <v>Valid</v>
      </c>
      <c r="AQ18" t="str">
        <f>IF(Audit_Data[[#This Row],[Z_CostContact]]=3,"Valid","Invalid")</f>
        <v>Valid</v>
      </c>
      <c r="AR18" t="str">
        <f t="shared" si="6"/>
        <v>Valid</v>
      </c>
      <c r="AS18" t="str">
        <f t="shared" si="7"/>
        <v>Valid</v>
      </c>
    </row>
    <row r="19" spans="1:45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 t="str">
        <f t="shared" si="8"/>
        <v>Ok</v>
      </c>
      <c r="AE19" t="str">
        <f>IF(AND(Audit_Data[[#This Row],[Year_Birth]]&gt;=1900,Audit_Data[[#This Row],[Year_Birth]]&lt;=2010),"OK","Invalid")</f>
        <v>OK</v>
      </c>
      <c r="AF19" t="str">
        <f t="shared" si="0"/>
        <v>Valid</v>
      </c>
      <c r="AG19" t="str">
        <f t="shared" si="1"/>
        <v>Valid</v>
      </c>
      <c r="AH19" t="str">
        <f t="shared" si="2"/>
        <v>Valid</v>
      </c>
      <c r="AI19" t="str">
        <f t="shared" si="9"/>
        <v>Valid</v>
      </c>
      <c r="AJ19" t="str">
        <f t="shared" si="10"/>
        <v>Valid</v>
      </c>
      <c r="AK19" t="str">
        <f t="shared" si="11"/>
        <v xml:space="preserve">Valid </v>
      </c>
      <c r="AL19" t="str">
        <f>IF(AND(Audit_Data[[#This Row],[Recency]]&gt;=0,Audit_Data[[#This Row],[Recency]]&lt;=100),"Valid","Invalid")</f>
        <v>Valid</v>
      </c>
      <c r="AM19" t="str">
        <f t="shared" si="3"/>
        <v>Valid</v>
      </c>
      <c r="AN19" t="str">
        <f t="shared" si="4"/>
        <v>Valid</v>
      </c>
      <c r="AO19" t="str">
        <f t="shared" si="5"/>
        <v>Valid</v>
      </c>
      <c r="AP19" t="str">
        <f t="shared" si="12"/>
        <v>Valid</v>
      </c>
      <c r="AQ19" t="str">
        <f>IF(Audit_Data[[#This Row],[Z_CostContact]]=3,"Valid","Invalid")</f>
        <v>Valid</v>
      </c>
      <c r="AR19" t="str">
        <f t="shared" si="6"/>
        <v>Valid</v>
      </c>
      <c r="AS19" t="str">
        <f t="shared" si="7"/>
        <v>Valid</v>
      </c>
    </row>
    <row r="20" spans="1:45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 t="str">
        <f t="shared" si="8"/>
        <v>Ok</v>
      </c>
      <c r="AE20" t="str">
        <f>IF(AND(Audit_Data[[#This Row],[Year_Birth]]&gt;=1900,Audit_Data[[#This Row],[Year_Birth]]&lt;=2010),"OK","Invalid")</f>
        <v>OK</v>
      </c>
      <c r="AF20" t="str">
        <f t="shared" si="0"/>
        <v>Valid</v>
      </c>
      <c r="AG20" t="str">
        <f t="shared" si="1"/>
        <v>Valid</v>
      </c>
      <c r="AH20" t="str">
        <f t="shared" si="2"/>
        <v>Valid</v>
      </c>
      <c r="AI20" t="str">
        <f t="shared" si="9"/>
        <v>Valid</v>
      </c>
      <c r="AJ20" t="str">
        <f t="shared" si="10"/>
        <v>Valid</v>
      </c>
      <c r="AK20" t="str">
        <f t="shared" si="11"/>
        <v xml:space="preserve">Valid </v>
      </c>
      <c r="AL20" t="str">
        <f>IF(AND(Audit_Data[[#This Row],[Recency]]&gt;=0,Audit_Data[[#This Row],[Recency]]&lt;=100),"Valid","Invalid")</f>
        <v>Valid</v>
      </c>
      <c r="AM20" t="str">
        <f t="shared" si="3"/>
        <v>Valid</v>
      </c>
      <c r="AN20" t="str">
        <f t="shared" si="4"/>
        <v>Valid</v>
      </c>
      <c r="AO20" t="str">
        <f t="shared" si="5"/>
        <v>Valid</v>
      </c>
      <c r="AP20" t="str">
        <f t="shared" si="12"/>
        <v>Valid</v>
      </c>
      <c r="AQ20" t="str">
        <f>IF(Audit_Data[[#This Row],[Z_CostContact]]=3,"Valid","Invalid")</f>
        <v>Valid</v>
      </c>
      <c r="AR20" t="str">
        <f t="shared" si="6"/>
        <v>Valid</v>
      </c>
      <c r="AS20" t="str">
        <f t="shared" si="7"/>
        <v>Valid</v>
      </c>
    </row>
    <row r="21" spans="1:45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 t="str">
        <f t="shared" si="8"/>
        <v>Ok</v>
      </c>
      <c r="AE21" t="str">
        <f>IF(AND(Audit_Data[[#This Row],[Year_Birth]]&gt;=1900,Audit_Data[[#This Row],[Year_Birth]]&lt;=2010),"OK","Invalid")</f>
        <v>OK</v>
      </c>
      <c r="AF21" t="str">
        <f t="shared" si="0"/>
        <v>Valid</v>
      </c>
      <c r="AG21" t="str">
        <f t="shared" si="1"/>
        <v>Valid</v>
      </c>
      <c r="AH21" t="str">
        <f t="shared" si="2"/>
        <v>Valid</v>
      </c>
      <c r="AI21" t="str">
        <f t="shared" si="9"/>
        <v>Valid</v>
      </c>
      <c r="AJ21" t="str">
        <f t="shared" si="10"/>
        <v>Valid</v>
      </c>
      <c r="AK21" t="str">
        <f t="shared" si="11"/>
        <v xml:space="preserve">Valid </v>
      </c>
      <c r="AL21" t="str">
        <f>IF(AND(Audit_Data[[#This Row],[Recency]]&gt;=0,Audit_Data[[#This Row],[Recency]]&lt;=100),"Valid","Invalid")</f>
        <v>Valid</v>
      </c>
      <c r="AM21" t="str">
        <f t="shared" si="3"/>
        <v>Valid</v>
      </c>
      <c r="AN21" t="str">
        <f t="shared" si="4"/>
        <v>Valid</v>
      </c>
      <c r="AO21" t="str">
        <f t="shared" si="5"/>
        <v>Valid</v>
      </c>
      <c r="AP21" t="str">
        <f t="shared" si="12"/>
        <v>Valid</v>
      </c>
      <c r="AQ21" t="str">
        <f>IF(Audit_Data[[#This Row],[Z_CostContact]]=3,"Valid","Invalid")</f>
        <v>Valid</v>
      </c>
      <c r="AR21" t="str">
        <f t="shared" si="6"/>
        <v>Valid</v>
      </c>
      <c r="AS21" t="str">
        <f t="shared" si="7"/>
        <v>Valid</v>
      </c>
    </row>
    <row r="22" spans="1:45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 t="str">
        <f t="shared" si="8"/>
        <v>Ok</v>
      </c>
      <c r="AE22" t="str">
        <f>IF(AND(Audit_Data[[#This Row],[Year_Birth]]&gt;=1900,Audit_Data[[#This Row],[Year_Birth]]&lt;=2010),"OK","Invalid")</f>
        <v>OK</v>
      </c>
      <c r="AF22" t="str">
        <f t="shared" si="0"/>
        <v>Valid</v>
      </c>
      <c r="AG22" t="str">
        <f t="shared" si="1"/>
        <v>Valid</v>
      </c>
      <c r="AH22" t="str">
        <f t="shared" si="2"/>
        <v>Valid</v>
      </c>
      <c r="AI22" t="str">
        <f t="shared" si="9"/>
        <v>Valid</v>
      </c>
      <c r="AJ22" t="str">
        <f t="shared" si="10"/>
        <v>Valid</v>
      </c>
      <c r="AK22" t="str">
        <f t="shared" si="11"/>
        <v xml:space="preserve">Valid </v>
      </c>
      <c r="AL22" t="str">
        <f>IF(AND(Audit_Data[[#This Row],[Recency]]&gt;=0,Audit_Data[[#This Row],[Recency]]&lt;=100),"Valid","Invalid")</f>
        <v>Valid</v>
      </c>
      <c r="AM22" t="str">
        <f t="shared" si="3"/>
        <v>Valid</v>
      </c>
      <c r="AN22" t="str">
        <f t="shared" si="4"/>
        <v>Valid</v>
      </c>
      <c r="AO22" t="str">
        <f t="shared" si="5"/>
        <v>Valid</v>
      </c>
      <c r="AP22" t="str">
        <f t="shared" si="12"/>
        <v>Valid</v>
      </c>
      <c r="AQ22" t="str">
        <f>IF(Audit_Data[[#This Row],[Z_CostContact]]=3,"Valid","Invalid")</f>
        <v>Valid</v>
      </c>
      <c r="AR22" t="str">
        <f t="shared" si="6"/>
        <v>Valid</v>
      </c>
      <c r="AS22" t="str">
        <f t="shared" si="7"/>
        <v>Valid</v>
      </c>
    </row>
    <row r="23" spans="1:45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 t="str">
        <f t="shared" si="8"/>
        <v>Ok</v>
      </c>
      <c r="AE23" t="str">
        <f>IF(AND(Audit_Data[[#This Row],[Year_Birth]]&gt;=1900,Audit_Data[[#This Row],[Year_Birth]]&lt;=2010),"OK","Invalid")</f>
        <v>OK</v>
      </c>
      <c r="AF23" t="str">
        <f t="shared" si="0"/>
        <v>Valid</v>
      </c>
      <c r="AG23" t="str">
        <f t="shared" si="1"/>
        <v>Valid</v>
      </c>
      <c r="AH23" t="str">
        <f t="shared" si="2"/>
        <v>Valid</v>
      </c>
      <c r="AI23" t="str">
        <f t="shared" si="9"/>
        <v>Valid</v>
      </c>
      <c r="AJ23" t="str">
        <f t="shared" si="10"/>
        <v>Valid</v>
      </c>
      <c r="AK23" t="str">
        <f t="shared" si="11"/>
        <v xml:space="preserve">Valid </v>
      </c>
      <c r="AL23" t="str">
        <f>IF(AND(Audit_Data[[#This Row],[Recency]]&gt;=0,Audit_Data[[#This Row],[Recency]]&lt;=100),"Valid","Invalid")</f>
        <v>Valid</v>
      </c>
      <c r="AM23" t="str">
        <f t="shared" si="3"/>
        <v>Valid</v>
      </c>
      <c r="AN23" t="str">
        <f t="shared" si="4"/>
        <v>Valid</v>
      </c>
      <c r="AO23" t="str">
        <f t="shared" si="5"/>
        <v>Valid</v>
      </c>
      <c r="AP23" t="str">
        <f t="shared" si="12"/>
        <v>Valid</v>
      </c>
      <c r="AQ23" t="str">
        <f>IF(Audit_Data[[#This Row],[Z_CostContact]]=3,"Valid","Invalid")</f>
        <v>Valid</v>
      </c>
      <c r="AR23" t="str">
        <f t="shared" si="6"/>
        <v>Valid</v>
      </c>
      <c r="AS23" t="str">
        <f t="shared" si="7"/>
        <v>Valid</v>
      </c>
    </row>
    <row r="24" spans="1:45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 t="str">
        <f t="shared" si="8"/>
        <v>Ok</v>
      </c>
      <c r="AE24" t="str">
        <f>IF(AND(Audit_Data[[#This Row],[Year_Birth]]&gt;=1900,Audit_Data[[#This Row],[Year_Birth]]&lt;=2010),"OK","Invalid")</f>
        <v>OK</v>
      </c>
      <c r="AF24" t="str">
        <f t="shared" si="0"/>
        <v>Valid</v>
      </c>
      <c r="AG24" t="str">
        <f t="shared" si="1"/>
        <v>Valid</v>
      </c>
      <c r="AH24" t="str">
        <f t="shared" si="2"/>
        <v>Valid</v>
      </c>
      <c r="AI24" t="str">
        <f t="shared" si="9"/>
        <v>Valid</v>
      </c>
      <c r="AJ24" t="str">
        <f t="shared" si="10"/>
        <v>Valid</v>
      </c>
      <c r="AK24" t="str">
        <f t="shared" si="11"/>
        <v xml:space="preserve">Valid </v>
      </c>
      <c r="AL24" t="str">
        <f>IF(AND(Audit_Data[[#This Row],[Recency]]&gt;=0,Audit_Data[[#This Row],[Recency]]&lt;=100),"Valid","Invalid")</f>
        <v>Valid</v>
      </c>
      <c r="AM24" t="str">
        <f t="shared" si="3"/>
        <v>Valid</v>
      </c>
      <c r="AN24" t="str">
        <f t="shared" si="4"/>
        <v>Valid</v>
      </c>
      <c r="AO24" t="str">
        <f t="shared" si="5"/>
        <v>Valid</v>
      </c>
      <c r="AP24" t="str">
        <f t="shared" si="12"/>
        <v>Valid</v>
      </c>
      <c r="AQ24" t="str">
        <f>IF(Audit_Data[[#This Row],[Z_CostContact]]=3,"Valid","Invalid")</f>
        <v>Valid</v>
      </c>
      <c r="AR24" t="str">
        <f t="shared" si="6"/>
        <v>Valid</v>
      </c>
      <c r="AS24" t="str">
        <f t="shared" si="7"/>
        <v>Valid</v>
      </c>
    </row>
    <row r="25" spans="1:45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 t="str">
        <f t="shared" si="8"/>
        <v>Ok</v>
      </c>
      <c r="AE25" t="str">
        <f>IF(AND(Audit_Data[[#This Row],[Year_Birth]]&gt;=1900,Audit_Data[[#This Row],[Year_Birth]]&lt;=2010),"OK","Invalid")</f>
        <v>OK</v>
      </c>
      <c r="AF25" t="str">
        <f t="shared" si="0"/>
        <v>Valid</v>
      </c>
      <c r="AG25" t="str">
        <f t="shared" si="1"/>
        <v>Valid</v>
      </c>
      <c r="AH25" t="str">
        <f t="shared" si="2"/>
        <v>Valid</v>
      </c>
      <c r="AI25" t="str">
        <f t="shared" si="9"/>
        <v>Valid</v>
      </c>
      <c r="AJ25" t="str">
        <f t="shared" si="10"/>
        <v>Valid</v>
      </c>
      <c r="AK25" t="str">
        <f t="shared" si="11"/>
        <v xml:space="preserve">Valid </v>
      </c>
      <c r="AL25" t="str">
        <f>IF(AND(Audit_Data[[#This Row],[Recency]]&gt;=0,Audit_Data[[#This Row],[Recency]]&lt;=100),"Valid","Invalid")</f>
        <v>Valid</v>
      </c>
      <c r="AM25" t="str">
        <f t="shared" si="3"/>
        <v>Valid</v>
      </c>
      <c r="AN25" t="str">
        <f t="shared" si="4"/>
        <v>Valid</v>
      </c>
      <c r="AO25" t="str">
        <f t="shared" si="5"/>
        <v>Valid</v>
      </c>
      <c r="AP25" t="str">
        <f t="shared" si="12"/>
        <v>Valid</v>
      </c>
      <c r="AQ25" t="str">
        <f>IF(Audit_Data[[#This Row],[Z_CostContact]]=3,"Valid","Invalid")</f>
        <v>Valid</v>
      </c>
      <c r="AR25" t="str">
        <f t="shared" si="6"/>
        <v>Valid</v>
      </c>
      <c r="AS25" t="str">
        <f t="shared" si="7"/>
        <v>Valid</v>
      </c>
    </row>
    <row r="26" spans="1:45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 t="str">
        <f t="shared" si="8"/>
        <v>Ok</v>
      </c>
      <c r="AE26" t="str">
        <f>IF(AND(Audit_Data[[#This Row],[Year_Birth]]&gt;=1900,Audit_Data[[#This Row],[Year_Birth]]&lt;=2010),"OK","Invalid")</f>
        <v>OK</v>
      </c>
      <c r="AF26" t="str">
        <f t="shared" si="0"/>
        <v>Valid</v>
      </c>
      <c r="AG26" t="str">
        <f t="shared" si="1"/>
        <v>Valid</v>
      </c>
      <c r="AH26" t="str">
        <f t="shared" si="2"/>
        <v>Valid</v>
      </c>
      <c r="AI26" t="str">
        <f t="shared" si="9"/>
        <v>Valid</v>
      </c>
      <c r="AJ26" t="str">
        <f t="shared" si="10"/>
        <v>Valid</v>
      </c>
      <c r="AK26" t="str">
        <f t="shared" si="11"/>
        <v xml:space="preserve">Valid </v>
      </c>
      <c r="AL26" t="str">
        <f>IF(AND(Audit_Data[[#This Row],[Recency]]&gt;=0,Audit_Data[[#This Row],[Recency]]&lt;=100),"Valid","Invalid")</f>
        <v>Valid</v>
      </c>
      <c r="AM26" t="str">
        <f t="shared" si="3"/>
        <v>Valid</v>
      </c>
      <c r="AN26" t="str">
        <f t="shared" si="4"/>
        <v>Valid</v>
      </c>
      <c r="AO26" t="str">
        <f t="shared" si="5"/>
        <v>Valid</v>
      </c>
      <c r="AP26" t="str">
        <f t="shared" si="12"/>
        <v>Valid</v>
      </c>
      <c r="AQ26" t="str">
        <f>IF(Audit_Data[[#This Row],[Z_CostContact]]=3,"Valid","Invalid")</f>
        <v>Valid</v>
      </c>
      <c r="AR26" t="str">
        <f t="shared" si="6"/>
        <v>Valid</v>
      </c>
      <c r="AS26" t="str">
        <f t="shared" si="7"/>
        <v>Valid</v>
      </c>
    </row>
    <row r="27" spans="1:45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 t="str">
        <f t="shared" si="8"/>
        <v>Ok</v>
      </c>
      <c r="AE27" t="str">
        <f>IF(AND(Audit_Data[[#This Row],[Year_Birth]]&gt;=1900,Audit_Data[[#This Row],[Year_Birth]]&lt;=2010),"OK","Invalid")</f>
        <v>OK</v>
      </c>
      <c r="AF27" t="str">
        <f t="shared" si="0"/>
        <v>Valid</v>
      </c>
      <c r="AG27" t="str">
        <f t="shared" si="1"/>
        <v>Valid</v>
      </c>
      <c r="AH27" t="str">
        <f t="shared" si="2"/>
        <v>Valid</v>
      </c>
      <c r="AI27" t="str">
        <f t="shared" si="9"/>
        <v>Valid</v>
      </c>
      <c r="AJ27" t="str">
        <f t="shared" si="10"/>
        <v>Valid</v>
      </c>
      <c r="AK27" t="str">
        <f t="shared" si="11"/>
        <v xml:space="preserve">Valid </v>
      </c>
      <c r="AL27" t="str">
        <f>IF(AND(Audit_Data[[#This Row],[Recency]]&gt;=0,Audit_Data[[#This Row],[Recency]]&lt;=100),"Valid","Invalid")</f>
        <v>Valid</v>
      </c>
      <c r="AM27" t="str">
        <f t="shared" si="3"/>
        <v>Valid</v>
      </c>
      <c r="AN27" t="str">
        <f t="shared" si="4"/>
        <v>Valid</v>
      </c>
      <c r="AO27" t="str">
        <f t="shared" si="5"/>
        <v>Valid</v>
      </c>
      <c r="AP27" t="str">
        <f t="shared" si="12"/>
        <v>Valid</v>
      </c>
      <c r="AQ27" t="str">
        <f>IF(Audit_Data[[#This Row],[Z_CostContact]]=3,"Valid","Invalid")</f>
        <v>Valid</v>
      </c>
      <c r="AR27" t="str">
        <f t="shared" si="6"/>
        <v>Valid</v>
      </c>
      <c r="AS27" t="str">
        <f t="shared" si="7"/>
        <v>Valid</v>
      </c>
    </row>
    <row r="28" spans="1:45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 t="str">
        <f t="shared" si="8"/>
        <v>Ok</v>
      </c>
      <c r="AE28" t="str">
        <f>IF(AND(Audit_Data[[#This Row],[Year_Birth]]&gt;=1900,Audit_Data[[#This Row],[Year_Birth]]&lt;=2010),"OK","Invalid")</f>
        <v>OK</v>
      </c>
      <c r="AF28" t="str">
        <f t="shared" si="0"/>
        <v>Valid</v>
      </c>
      <c r="AG28" t="str">
        <f t="shared" si="1"/>
        <v>Valid</v>
      </c>
      <c r="AH28" t="str">
        <f t="shared" si="2"/>
        <v>Valid</v>
      </c>
      <c r="AI28" t="str">
        <f t="shared" si="9"/>
        <v>Valid</v>
      </c>
      <c r="AJ28" t="str">
        <f t="shared" si="10"/>
        <v>Valid</v>
      </c>
      <c r="AK28" t="str">
        <f t="shared" si="11"/>
        <v xml:space="preserve">Valid </v>
      </c>
      <c r="AL28" t="str">
        <f>IF(AND(Audit_Data[[#This Row],[Recency]]&gt;=0,Audit_Data[[#This Row],[Recency]]&lt;=100),"Valid","Invalid")</f>
        <v>Valid</v>
      </c>
      <c r="AM28" t="str">
        <f t="shared" si="3"/>
        <v>Valid</v>
      </c>
      <c r="AN28" t="str">
        <f t="shared" si="4"/>
        <v>Valid</v>
      </c>
      <c r="AO28" t="str">
        <f t="shared" si="5"/>
        <v>Valid</v>
      </c>
      <c r="AP28" t="str">
        <f t="shared" si="12"/>
        <v>Valid</v>
      </c>
      <c r="AQ28" t="str">
        <f>IF(Audit_Data[[#This Row],[Z_CostContact]]=3,"Valid","Invalid")</f>
        <v>Valid</v>
      </c>
      <c r="AR28" t="str">
        <f t="shared" si="6"/>
        <v>Valid</v>
      </c>
      <c r="AS28" t="str">
        <f t="shared" si="7"/>
        <v>Valid</v>
      </c>
    </row>
    <row r="29" spans="1:45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 t="str">
        <f t="shared" si="8"/>
        <v>Ok</v>
      </c>
      <c r="AE29" t="str">
        <f>IF(AND(Audit_Data[[#This Row],[Year_Birth]]&gt;=1900,Audit_Data[[#This Row],[Year_Birth]]&lt;=2010),"OK","Invalid")</f>
        <v>OK</v>
      </c>
      <c r="AF29" t="str">
        <f t="shared" si="0"/>
        <v>Valid</v>
      </c>
      <c r="AG29" t="str">
        <f t="shared" si="1"/>
        <v>Valid</v>
      </c>
      <c r="AH29" t="str">
        <f t="shared" si="2"/>
        <v>Invalid</v>
      </c>
      <c r="AI29" t="str">
        <f t="shared" si="9"/>
        <v>Valid</v>
      </c>
      <c r="AJ29" t="str">
        <f t="shared" si="10"/>
        <v>Valid</v>
      </c>
      <c r="AK29" t="str">
        <f t="shared" si="11"/>
        <v xml:space="preserve">Valid </v>
      </c>
      <c r="AL29" t="str">
        <f>IF(AND(Audit_Data[[#This Row],[Recency]]&gt;=0,Audit_Data[[#This Row],[Recency]]&lt;=100),"Valid","Invalid")</f>
        <v>Valid</v>
      </c>
      <c r="AM29" t="str">
        <f t="shared" si="3"/>
        <v>Valid</v>
      </c>
      <c r="AN29" t="str">
        <f t="shared" si="4"/>
        <v>Valid</v>
      </c>
      <c r="AO29" t="str">
        <f t="shared" si="5"/>
        <v>Valid</v>
      </c>
      <c r="AP29" t="str">
        <f t="shared" si="12"/>
        <v>Valid</v>
      </c>
      <c r="AQ29" t="str">
        <f>IF(Audit_Data[[#This Row],[Z_CostContact]]=3,"Valid","Invalid")</f>
        <v>Valid</v>
      </c>
      <c r="AR29" t="str">
        <f t="shared" si="6"/>
        <v>Valid</v>
      </c>
      <c r="AS29" t="str">
        <f t="shared" si="7"/>
        <v>Valid</v>
      </c>
    </row>
    <row r="30" spans="1:45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 t="str">
        <f t="shared" si="8"/>
        <v>Ok</v>
      </c>
      <c r="AE30" t="str">
        <f>IF(AND(Audit_Data[[#This Row],[Year_Birth]]&gt;=1900,Audit_Data[[#This Row],[Year_Birth]]&lt;=2010),"OK","Invalid")</f>
        <v>OK</v>
      </c>
      <c r="AF30" t="str">
        <f t="shared" si="0"/>
        <v>Valid</v>
      </c>
      <c r="AG30" t="str">
        <f t="shared" si="1"/>
        <v>Valid</v>
      </c>
      <c r="AH30" t="str">
        <f t="shared" si="2"/>
        <v>Valid</v>
      </c>
      <c r="AI30" t="str">
        <f t="shared" si="9"/>
        <v>Valid</v>
      </c>
      <c r="AJ30" t="str">
        <f t="shared" si="10"/>
        <v>Valid</v>
      </c>
      <c r="AK30" t="str">
        <f t="shared" si="11"/>
        <v xml:space="preserve">Valid </v>
      </c>
      <c r="AL30" t="str">
        <f>IF(AND(Audit_Data[[#This Row],[Recency]]&gt;=0,Audit_Data[[#This Row],[Recency]]&lt;=100),"Valid","Invalid")</f>
        <v>Valid</v>
      </c>
      <c r="AM30" t="str">
        <f t="shared" si="3"/>
        <v>Valid</v>
      </c>
      <c r="AN30" t="str">
        <f t="shared" si="4"/>
        <v>Valid</v>
      </c>
      <c r="AO30" t="str">
        <f t="shared" si="5"/>
        <v>Valid</v>
      </c>
      <c r="AP30" t="str">
        <f t="shared" si="12"/>
        <v>Valid</v>
      </c>
      <c r="AQ30" t="str">
        <f>IF(Audit_Data[[#This Row],[Z_CostContact]]=3,"Valid","Invalid")</f>
        <v>Valid</v>
      </c>
      <c r="AR30" t="str">
        <f t="shared" si="6"/>
        <v>Valid</v>
      </c>
      <c r="AS30" t="str">
        <f t="shared" si="7"/>
        <v>Valid</v>
      </c>
    </row>
    <row r="31" spans="1:45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 t="str">
        <f t="shared" si="8"/>
        <v>Ok</v>
      </c>
      <c r="AE31" t="str">
        <f>IF(AND(Audit_Data[[#This Row],[Year_Birth]]&gt;=1900,Audit_Data[[#This Row],[Year_Birth]]&lt;=2010),"OK","Invalid")</f>
        <v>OK</v>
      </c>
      <c r="AF31" t="str">
        <f t="shared" si="0"/>
        <v>Valid</v>
      </c>
      <c r="AG31" t="str">
        <f t="shared" si="1"/>
        <v>Valid</v>
      </c>
      <c r="AH31" t="str">
        <f t="shared" si="2"/>
        <v>Valid</v>
      </c>
      <c r="AI31" t="str">
        <f t="shared" si="9"/>
        <v>Valid</v>
      </c>
      <c r="AJ31" t="str">
        <f t="shared" si="10"/>
        <v>Valid</v>
      </c>
      <c r="AK31" t="str">
        <f t="shared" si="11"/>
        <v xml:space="preserve">Valid </v>
      </c>
      <c r="AL31" t="str">
        <f>IF(AND(Audit_Data[[#This Row],[Recency]]&gt;=0,Audit_Data[[#This Row],[Recency]]&lt;=100),"Valid","Invalid")</f>
        <v>Valid</v>
      </c>
      <c r="AM31" t="str">
        <f t="shared" si="3"/>
        <v>Valid</v>
      </c>
      <c r="AN31" t="str">
        <f t="shared" si="4"/>
        <v>Valid</v>
      </c>
      <c r="AO31" t="str">
        <f t="shared" si="5"/>
        <v>Valid</v>
      </c>
      <c r="AP31" t="str">
        <f t="shared" si="12"/>
        <v>Valid</v>
      </c>
      <c r="AQ31" t="str">
        <f>IF(Audit_Data[[#This Row],[Z_CostContact]]=3,"Valid","Invalid")</f>
        <v>Valid</v>
      </c>
      <c r="AR31" t="str">
        <f t="shared" si="6"/>
        <v>Valid</v>
      </c>
      <c r="AS31" t="str">
        <f t="shared" si="7"/>
        <v>Valid</v>
      </c>
    </row>
    <row r="32" spans="1:45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 t="str">
        <f t="shared" si="8"/>
        <v>Ok</v>
      </c>
      <c r="AE32" t="str">
        <f>IF(AND(Audit_Data[[#This Row],[Year_Birth]]&gt;=1900,Audit_Data[[#This Row],[Year_Birth]]&lt;=2010),"OK","Invalid")</f>
        <v>OK</v>
      </c>
      <c r="AF32" t="str">
        <f t="shared" si="0"/>
        <v>Valid</v>
      </c>
      <c r="AG32" t="str">
        <f t="shared" si="1"/>
        <v>Valid</v>
      </c>
      <c r="AH32" t="str">
        <f t="shared" si="2"/>
        <v>Valid</v>
      </c>
      <c r="AI32" t="str">
        <f t="shared" si="9"/>
        <v>Valid</v>
      </c>
      <c r="AJ32" t="str">
        <f t="shared" si="10"/>
        <v>Valid</v>
      </c>
      <c r="AK32" t="str">
        <f t="shared" si="11"/>
        <v xml:space="preserve">Valid </v>
      </c>
      <c r="AL32" t="str">
        <f>IF(AND(Audit_Data[[#This Row],[Recency]]&gt;=0,Audit_Data[[#This Row],[Recency]]&lt;=100),"Valid","Invalid")</f>
        <v>Valid</v>
      </c>
      <c r="AM32" t="str">
        <f t="shared" si="3"/>
        <v>Valid</v>
      </c>
      <c r="AN32" t="str">
        <f t="shared" si="4"/>
        <v>Valid</v>
      </c>
      <c r="AO32" t="str">
        <f t="shared" si="5"/>
        <v>Valid</v>
      </c>
      <c r="AP32" t="str">
        <f t="shared" si="12"/>
        <v>Valid</v>
      </c>
      <c r="AQ32" t="str">
        <f>IF(Audit_Data[[#This Row],[Z_CostContact]]=3,"Valid","Invalid")</f>
        <v>Valid</v>
      </c>
      <c r="AR32" t="str">
        <f t="shared" si="6"/>
        <v>Valid</v>
      </c>
      <c r="AS32" t="str">
        <f t="shared" si="7"/>
        <v>Valid</v>
      </c>
    </row>
    <row r="33" spans="1:45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 t="str">
        <f t="shared" si="8"/>
        <v>Ok</v>
      </c>
      <c r="AE33" t="str">
        <f>IF(AND(Audit_Data[[#This Row],[Year_Birth]]&gt;=1900,Audit_Data[[#This Row],[Year_Birth]]&lt;=2010),"OK","Invalid")</f>
        <v>OK</v>
      </c>
      <c r="AF33" t="str">
        <f t="shared" si="0"/>
        <v>Valid</v>
      </c>
      <c r="AG33" t="str">
        <f t="shared" si="1"/>
        <v>Valid</v>
      </c>
      <c r="AH33" t="str">
        <f t="shared" si="2"/>
        <v>Valid</v>
      </c>
      <c r="AI33" t="str">
        <f t="shared" si="9"/>
        <v>Valid</v>
      </c>
      <c r="AJ33" t="str">
        <f t="shared" si="10"/>
        <v>Valid</v>
      </c>
      <c r="AK33" t="str">
        <f t="shared" si="11"/>
        <v xml:space="preserve">Valid </v>
      </c>
      <c r="AL33" t="str">
        <f>IF(AND(Audit_Data[[#This Row],[Recency]]&gt;=0,Audit_Data[[#This Row],[Recency]]&lt;=100),"Valid","Invalid")</f>
        <v>Valid</v>
      </c>
      <c r="AM33" t="str">
        <f t="shared" si="3"/>
        <v>Valid</v>
      </c>
      <c r="AN33" t="str">
        <f t="shared" si="4"/>
        <v>Valid</v>
      </c>
      <c r="AO33" t="str">
        <f t="shared" si="5"/>
        <v>Valid</v>
      </c>
      <c r="AP33" t="str">
        <f t="shared" si="12"/>
        <v>Valid</v>
      </c>
      <c r="AQ33" t="str">
        <f>IF(Audit_Data[[#This Row],[Z_CostContact]]=3,"Valid","Invalid")</f>
        <v>Valid</v>
      </c>
      <c r="AR33" t="str">
        <f t="shared" si="6"/>
        <v>Valid</v>
      </c>
      <c r="AS33" t="str">
        <f t="shared" si="7"/>
        <v>Valid</v>
      </c>
    </row>
    <row r="34" spans="1:45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 t="str">
        <f t="shared" si="8"/>
        <v>Ok</v>
      </c>
      <c r="AE34" t="str">
        <f>IF(AND(Audit_Data[[#This Row],[Year_Birth]]&gt;=1900,Audit_Data[[#This Row],[Year_Birth]]&lt;=2010),"OK","Invalid")</f>
        <v>OK</v>
      </c>
      <c r="AF34" t="str">
        <f t="shared" si="0"/>
        <v>Valid</v>
      </c>
      <c r="AG34" t="str">
        <f t="shared" si="1"/>
        <v>Valid</v>
      </c>
      <c r="AH34" t="str">
        <f t="shared" si="2"/>
        <v>Valid</v>
      </c>
      <c r="AI34" t="str">
        <f t="shared" si="9"/>
        <v>Valid</v>
      </c>
      <c r="AJ34" t="str">
        <f t="shared" si="10"/>
        <v>Valid</v>
      </c>
      <c r="AK34" t="str">
        <f t="shared" si="11"/>
        <v xml:space="preserve">Valid </v>
      </c>
      <c r="AL34" t="str">
        <f>IF(AND(Audit_Data[[#This Row],[Recency]]&gt;=0,Audit_Data[[#This Row],[Recency]]&lt;=100),"Valid","Invalid")</f>
        <v>Valid</v>
      </c>
      <c r="AM34" t="str">
        <f t="shared" si="3"/>
        <v>Valid</v>
      </c>
      <c r="AN34" t="str">
        <f t="shared" si="4"/>
        <v>Valid</v>
      </c>
      <c r="AO34" t="str">
        <f t="shared" si="5"/>
        <v>Valid</v>
      </c>
      <c r="AP34" t="str">
        <f t="shared" si="12"/>
        <v>Valid</v>
      </c>
      <c r="AQ34" t="str">
        <f>IF(Audit_Data[[#This Row],[Z_CostContact]]=3,"Valid","Invalid")</f>
        <v>Valid</v>
      </c>
      <c r="AR34" t="str">
        <f t="shared" si="6"/>
        <v>Valid</v>
      </c>
      <c r="AS34" t="str">
        <f t="shared" si="7"/>
        <v>Valid</v>
      </c>
    </row>
    <row r="35" spans="1:45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 t="str">
        <f t="shared" si="8"/>
        <v>Ok</v>
      </c>
      <c r="AE35" t="str">
        <f>IF(AND(Audit_Data[[#This Row],[Year_Birth]]&gt;=1900,Audit_Data[[#This Row],[Year_Birth]]&lt;=2010),"OK","Invalid")</f>
        <v>OK</v>
      </c>
      <c r="AF35" t="str">
        <f t="shared" si="0"/>
        <v>Valid</v>
      </c>
      <c r="AG35" t="str">
        <f t="shared" si="1"/>
        <v>Valid</v>
      </c>
      <c r="AH35" t="str">
        <f t="shared" si="2"/>
        <v>Valid</v>
      </c>
      <c r="AI35" t="str">
        <f t="shared" si="9"/>
        <v>Valid</v>
      </c>
      <c r="AJ35" t="str">
        <f t="shared" si="10"/>
        <v>Valid</v>
      </c>
      <c r="AK35" t="str">
        <f t="shared" si="11"/>
        <v xml:space="preserve">Valid </v>
      </c>
      <c r="AL35" t="str">
        <f>IF(AND(Audit_Data[[#This Row],[Recency]]&gt;=0,Audit_Data[[#This Row],[Recency]]&lt;=100),"Valid","Invalid")</f>
        <v>Valid</v>
      </c>
      <c r="AM35" t="str">
        <f t="shared" si="3"/>
        <v>Valid</v>
      </c>
      <c r="AN35" t="str">
        <f t="shared" si="4"/>
        <v>Valid</v>
      </c>
      <c r="AO35" t="str">
        <f t="shared" si="5"/>
        <v>Valid</v>
      </c>
      <c r="AP35" t="str">
        <f t="shared" si="12"/>
        <v>Valid</v>
      </c>
      <c r="AQ35" t="str">
        <f>IF(Audit_Data[[#This Row],[Z_CostContact]]=3,"Valid","Invalid")</f>
        <v>Valid</v>
      </c>
      <c r="AR35" t="str">
        <f t="shared" si="6"/>
        <v>Valid</v>
      </c>
      <c r="AS35" t="str">
        <f t="shared" si="7"/>
        <v>Valid</v>
      </c>
    </row>
    <row r="36" spans="1:45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 t="str">
        <f t="shared" si="8"/>
        <v>Ok</v>
      </c>
      <c r="AE36" t="str">
        <f>IF(AND(Audit_Data[[#This Row],[Year_Birth]]&gt;=1900,Audit_Data[[#This Row],[Year_Birth]]&lt;=2010),"OK","Invalid")</f>
        <v>OK</v>
      </c>
      <c r="AF36" t="str">
        <f t="shared" si="0"/>
        <v>Valid</v>
      </c>
      <c r="AG36" t="str">
        <f t="shared" si="1"/>
        <v>Valid</v>
      </c>
      <c r="AH36" t="str">
        <f t="shared" si="2"/>
        <v>Valid</v>
      </c>
      <c r="AI36" t="str">
        <f t="shared" si="9"/>
        <v>Valid</v>
      </c>
      <c r="AJ36" t="str">
        <f t="shared" si="10"/>
        <v>Valid</v>
      </c>
      <c r="AK36" t="str">
        <f t="shared" si="11"/>
        <v xml:space="preserve">Valid </v>
      </c>
      <c r="AL36" t="str">
        <f>IF(AND(Audit_Data[[#This Row],[Recency]]&gt;=0,Audit_Data[[#This Row],[Recency]]&lt;=100),"Valid","Invalid")</f>
        <v>Valid</v>
      </c>
      <c r="AM36" t="str">
        <f t="shared" si="3"/>
        <v>Valid</v>
      </c>
      <c r="AN36" t="str">
        <f t="shared" si="4"/>
        <v>Valid</v>
      </c>
      <c r="AO36" t="str">
        <f t="shared" si="5"/>
        <v>Valid</v>
      </c>
      <c r="AP36" t="str">
        <f t="shared" si="12"/>
        <v>Valid</v>
      </c>
      <c r="AQ36" t="str">
        <f>IF(Audit_Data[[#This Row],[Z_CostContact]]=3,"Valid","Invalid")</f>
        <v>Valid</v>
      </c>
      <c r="AR36" t="str">
        <f t="shared" si="6"/>
        <v>Valid</v>
      </c>
      <c r="AS36" t="str">
        <f t="shared" si="7"/>
        <v>Valid</v>
      </c>
    </row>
    <row r="37" spans="1:45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 t="str">
        <f t="shared" si="8"/>
        <v>Ok</v>
      </c>
      <c r="AE37" t="str">
        <f>IF(AND(Audit_Data[[#This Row],[Year_Birth]]&gt;=1900,Audit_Data[[#This Row],[Year_Birth]]&lt;=2010),"OK","Invalid")</f>
        <v>OK</v>
      </c>
      <c r="AF37" t="str">
        <f t="shared" si="0"/>
        <v>Valid</v>
      </c>
      <c r="AG37" t="str">
        <f t="shared" si="1"/>
        <v>Valid</v>
      </c>
      <c r="AH37" t="str">
        <f t="shared" si="2"/>
        <v>Valid</v>
      </c>
      <c r="AI37" t="str">
        <f t="shared" si="9"/>
        <v>Valid</v>
      </c>
      <c r="AJ37" t="str">
        <f t="shared" si="10"/>
        <v>Valid</v>
      </c>
      <c r="AK37" t="str">
        <f t="shared" si="11"/>
        <v xml:space="preserve">Valid </v>
      </c>
      <c r="AL37" t="str">
        <f>IF(AND(Audit_Data[[#This Row],[Recency]]&gt;=0,Audit_Data[[#This Row],[Recency]]&lt;=100),"Valid","Invalid")</f>
        <v>Valid</v>
      </c>
      <c r="AM37" t="str">
        <f t="shared" si="3"/>
        <v>Valid</v>
      </c>
      <c r="AN37" t="str">
        <f t="shared" si="4"/>
        <v>Valid</v>
      </c>
      <c r="AO37" t="str">
        <f t="shared" si="5"/>
        <v>Valid</v>
      </c>
      <c r="AP37" t="str">
        <f t="shared" si="12"/>
        <v>Valid</v>
      </c>
      <c r="AQ37" t="str">
        <f>IF(Audit_Data[[#This Row],[Z_CostContact]]=3,"Valid","Invalid")</f>
        <v>Valid</v>
      </c>
      <c r="AR37" t="str">
        <f t="shared" si="6"/>
        <v>Valid</v>
      </c>
      <c r="AS37" t="str">
        <f t="shared" si="7"/>
        <v>Valid</v>
      </c>
    </row>
    <row r="38" spans="1:45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 t="str">
        <f t="shared" si="8"/>
        <v>Ok</v>
      </c>
      <c r="AE38" t="str">
        <f>IF(AND(Audit_Data[[#This Row],[Year_Birth]]&gt;=1900,Audit_Data[[#This Row],[Year_Birth]]&lt;=2010),"OK","Invalid")</f>
        <v>OK</v>
      </c>
      <c r="AF38" t="str">
        <f t="shared" si="0"/>
        <v>Valid</v>
      </c>
      <c r="AG38" t="str">
        <f t="shared" si="1"/>
        <v>Valid</v>
      </c>
      <c r="AH38" t="str">
        <f t="shared" si="2"/>
        <v>Valid</v>
      </c>
      <c r="AI38" t="str">
        <f t="shared" si="9"/>
        <v>Valid</v>
      </c>
      <c r="AJ38" t="str">
        <f t="shared" si="10"/>
        <v>Valid</v>
      </c>
      <c r="AK38" t="str">
        <f t="shared" si="11"/>
        <v xml:space="preserve">Valid </v>
      </c>
      <c r="AL38" t="str">
        <f>IF(AND(Audit_Data[[#This Row],[Recency]]&gt;=0,Audit_Data[[#This Row],[Recency]]&lt;=100),"Valid","Invalid")</f>
        <v>Valid</v>
      </c>
      <c r="AM38" t="str">
        <f t="shared" si="3"/>
        <v>Valid</v>
      </c>
      <c r="AN38" t="str">
        <f t="shared" si="4"/>
        <v>Valid</v>
      </c>
      <c r="AO38" t="str">
        <f t="shared" si="5"/>
        <v>Valid</v>
      </c>
      <c r="AP38" t="str">
        <f t="shared" si="12"/>
        <v>Valid</v>
      </c>
      <c r="AQ38" t="str">
        <f>IF(Audit_Data[[#This Row],[Z_CostContact]]=3,"Valid","Invalid")</f>
        <v>Valid</v>
      </c>
      <c r="AR38" t="str">
        <f t="shared" si="6"/>
        <v>Valid</v>
      </c>
      <c r="AS38" t="str">
        <f t="shared" si="7"/>
        <v>Valid</v>
      </c>
    </row>
    <row r="39" spans="1:45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 t="str">
        <f t="shared" si="8"/>
        <v>Ok</v>
      </c>
      <c r="AE39" t="str">
        <f>IF(AND(Audit_Data[[#This Row],[Year_Birth]]&gt;=1900,Audit_Data[[#This Row],[Year_Birth]]&lt;=2010),"OK","Invalid")</f>
        <v>OK</v>
      </c>
      <c r="AF39" t="str">
        <f t="shared" si="0"/>
        <v>Valid</v>
      </c>
      <c r="AG39" t="str">
        <f t="shared" si="1"/>
        <v>Valid</v>
      </c>
      <c r="AH39" t="str">
        <f t="shared" si="2"/>
        <v>Valid</v>
      </c>
      <c r="AI39" t="str">
        <f t="shared" si="9"/>
        <v>Valid</v>
      </c>
      <c r="AJ39" t="str">
        <f t="shared" si="10"/>
        <v>Valid</v>
      </c>
      <c r="AK39" t="str">
        <f t="shared" si="11"/>
        <v xml:space="preserve">Valid </v>
      </c>
      <c r="AL39" t="str">
        <f>IF(AND(Audit_Data[[#This Row],[Recency]]&gt;=0,Audit_Data[[#This Row],[Recency]]&lt;=100),"Valid","Invalid")</f>
        <v>Valid</v>
      </c>
      <c r="AM39" t="str">
        <f t="shared" si="3"/>
        <v>Valid</v>
      </c>
      <c r="AN39" t="str">
        <f t="shared" si="4"/>
        <v>Valid</v>
      </c>
      <c r="AO39" t="str">
        <f t="shared" si="5"/>
        <v>Valid</v>
      </c>
      <c r="AP39" t="str">
        <f t="shared" si="12"/>
        <v>Valid</v>
      </c>
      <c r="AQ39" t="str">
        <f>IF(Audit_Data[[#This Row],[Z_CostContact]]=3,"Valid","Invalid")</f>
        <v>Valid</v>
      </c>
      <c r="AR39" t="str">
        <f t="shared" si="6"/>
        <v>Valid</v>
      </c>
      <c r="AS39" t="str">
        <f t="shared" si="7"/>
        <v>Valid</v>
      </c>
    </row>
    <row r="40" spans="1:45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 t="str">
        <f t="shared" si="8"/>
        <v>Ok</v>
      </c>
      <c r="AE40" t="str">
        <f>IF(AND(Audit_Data[[#This Row],[Year_Birth]]&gt;=1900,Audit_Data[[#This Row],[Year_Birth]]&lt;=2010),"OK","Invalid")</f>
        <v>OK</v>
      </c>
      <c r="AF40" t="str">
        <f t="shared" si="0"/>
        <v>Valid</v>
      </c>
      <c r="AG40" t="str">
        <f t="shared" si="1"/>
        <v>Valid</v>
      </c>
      <c r="AH40" t="str">
        <f t="shared" si="2"/>
        <v>Valid</v>
      </c>
      <c r="AI40" t="str">
        <f t="shared" si="9"/>
        <v>Valid</v>
      </c>
      <c r="AJ40" t="str">
        <f t="shared" si="10"/>
        <v>Valid</v>
      </c>
      <c r="AK40" t="str">
        <f t="shared" si="11"/>
        <v xml:space="preserve">Valid </v>
      </c>
      <c r="AL40" t="str">
        <f>IF(AND(Audit_Data[[#This Row],[Recency]]&gt;=0,Audit_Data[[#This Row],[Recency]]&lt;=100),"Valid","Invalid")</f>
        <v>Valid</v>
      </c>
      <c r="AM40" t="str">
        <f t="shared" si="3"/>
        <v>Valid</v>
      </c>
      <c r="AN40" t="str">
        <f t="shared" si="4"/>
        <v>Valid</v>
      </c>
      <c r="AO40" t="str">
        <f t="shared" si="5"/>
        <v>Valid</v>
      </c>
      <c r="AP40" t="str">
        <f t="shared" si="12"/>
        <v>Valid</v>
      </c>
      <c r="AQ40" t="str">
        <f>IF(Audit_Data[[#This Row],[Z_CostContact]]=3,"Valid","Invalid")</f>
        <v>Valid</v>
      </c>
      <c r="AR40" t="str">
        <f t="shared" si="6"/>
        <v>Valid</v>
      </c>
      <c r="AS40" t="str">
        <f t="shared" si="7"/>
        <v>Valid</v>
      </c>
    </row>
    <row r="41" spans="1:45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 t="str">
        <f t="shared" si="8"/>
        <v>Ok</v>
      </c>
      <c r="AE41" t="str">
        <f>IF(AND(Audit_Data[[#This Row],[Year_Birth]]&gt;=1900,Audit_Data[[#This Row],[Year_Birth]]&lt;=2010),"OK","Invalid")</f>
        <v>OK</v>
      </c>
      <c r="AF41" t="str">
        <f t="shared" si="0"/>
        <v>Valid</v>
      </c>
      <c r="AG41" t="str">
        <f t="shared" si="1"/>
        <v>Valid</v>
      </c>
      <c r="AH41" t="str">
        <f t="shared" si="2"/>
        <v>Valid</v>
      </c>
      <c r="AI41" t="str">
        <f t="shared" si="9"/>
        <v>Valid</v>
      </c>
      <c r="AJ41" t="str">
        <f t="shared" si="10"/>
        <v>Valid</v>
      </c>
      <c r="AK41" t="str">
        <f t="shared" si="11"/>
        <v xml:space="preserve">Valid </v>
      </c>
      <c r="AL41" t="str">
        <f>IF(AND(Audit_Data[[#This Row],[Recency]]&gt;=0,Audit_Data[[#This Row],[Recency]]&lt;=100),"Valid","Invalid")</f>
        <v>Valid</v>
      </c>
      <c r="AM41" t="str">
        <f t="shared" si="3"/>
        <v>Valid</v>
      </c>
      <c r="AN41" t="str">
        <f t="shared" si="4"/>
        <v>Valid</v>
      </c>
      <c r="AO41" t="str">
        <f t="shared" si="5"/>
        <v>Valid</v>
      </c>
      <c r="AP41" t="str">
        <f t="shared" si="12"/>
        <v>Valid</v>
      </c>
      <c r="AQ41" t="str">
        <f>IF(Audit_Data[[#This Row],[Z_CostContact]]=3,"Valid","Invalid")</f>
        <v>Valid</v>
      </c>
      <c r="AR41" t="str">
        <f t="shared" si="6"/>
        <v>Valid</v>
      </c>
      <c r="AS41" t="str">
        <f t="shared" si="7"/>
        <v>Valid</v>
      </c>
    </row>
    <row r="42" spans="1:45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 t="str">
        <f t="shared" si="8"/>
        <v>Ok</v>
      </c>
      <c r="AE42" t="str">
        <f>IF(AND(Audit_Data[[#This Row],[Year_Birth]]&gt;=1900,Audit_Data[[#This Row],[Year_Birth]]&lt;=2010),"OK","Invalid")</f>
        <v>OK</v>
      </c>
      <c r="AF42" t="str">
        <f t="shared" si="0"/>
        <v>Valid</v>
      </c>
      <c r="AG42" t="str">
        <f t="shared" si="1"/>
        <v>Valid</v>
      </c>
      <c r="AH42" t="str">
        <f t="shared" si="2"/>
        <v>Valid</v>
      </c>
      <c r="AI42" t="str">
        <f t="shared" si="9"/>
        <v>Valid</v>
      </c>
      <c r="AJ42" t="str">
        <f t="shared" si="10"/>
        <v>Valid</v>
      </c>
      <c r="AK42" t="str">
        <f t="shared" si="11"/>
        <v xml:space="preserve">Valid </v>
      </c>
      <c r="AL42" t="str">
        <f>IF(AND(Audit_Data[[#This Row],[Recency]]&gt;=0,Audit_Data[[#This Row],[Recency]]&lt;=100),"Valid","Invalid")</f>
        <v>Valid</v>
      </c>
      <c r="AM42" t="str">
        <f t="shared" si="3"/>
        <v>Valid</v>
      </c>
      <c r="AN42" t="str">
        <f t="shared" si="4"/>
        <v>Valid</v>
      </c>
      <c r="AO42" t="str">
        <f t="shared" si="5"/>
        <v>Valid</v>
      </c>
      <c r="AP42" t="str">
        <f t="shared" si="12"/>
        <v>Valid</v>
      </c>
      <c r="AQ42" t="str">
        <f>IF(Audit_Data[[#This Row],[Z_CostContact]]=3,"Valid","Invalid")</f>
        <v>Valid</v>
      </c>
      <c r="AR42" t="str">
        <f t="shared" si="6"/>
        <v>Valid</v>
      </c>
      <c r="AS42" t="str">
        <f t="shared" si="7"/>
        <v>Valid</v>
      </c>
    </row>
    <row r="43" spans="1:45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 t="str">
        <f t="shared" si="8"/>
        <v>Ok</v>
      </c>
      <c r="AE43" t="str">
        <f>IF(AND(Audit_Data[[#This Row],[Year_Birth]]&gt;=1900,Audit_Data[[#This Row],[Year_Birth]]&lt;=2010),"OK","Invalid")</f>
        <v>OK</v>
      </c>
      <c r="AF43" t="str">
        <f t="shared" si="0"/>
        <v>Valid</v>
      </c>
      <c r="AG43" t="str">
        <f t="shared" si="1"/>
        <v>Valid</v>
      </c>
      <c r="AH43" t="str">
        <f t="shared" si="2"/>
        <v>Valid</v>
      </c>
      <c r="AI43" t="str">
        <f t="shared" si="9"/>
        <v>Valid</v>
      </c>
      <c r="AJ43" t="str">
        <f t="shared" si="10"/>
        <v>Valid</v>
      </c>
      <c r="AK43" t="str">
        <f t="shared" si="11"/>
        <v xml:space="preserve">Valid </v>
      </c>
      <c r="AL43" t="str">
        <f>IF(AND(Audit_Data[[#This Row],[Recency]]&gt;=0,Audit_Data[[#This Row],[Recency]]&lt;=100),"Valid","Invalid")</f>
        <v>Valid</v>
      </c>
      <c r="AM43" t="str">
        <f t="shared" si="3"/>
        <v>Valid</v>
      </c>
      <c r="AN43" t="str">
        <f t="shared" si="4"/>
        <v>Valid</v>
      </c>
      <c r="AO43" t="str">
        <f t="shared" si="5"/>
        <v>Valid</v>
      </c>
      <c r="AP43" t="str">
        <f t="shared" si="12"/>
        <v>Valid</v>
      </c>
      <c r="AQ43" t="str">
        <f>IF(Audit_Data[[#This Row],[Z_CostContact]]=3,"Valid","Invalid")</f>
        <v>Valid</v>
      </c>
      <c r="AR43" t="str">
        <f t="shared" si="6"/>
        <v>Valid</v>
      </c>
      <c r="AS43" t="str">
        <f t="shared" si="7"/>
        <v>Valid</v>
      </c>
    </row>
    <row r="44" spans="1:45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 t="str">
        <f t="shared" si="8"/>
        <v>Ok</v>
      </c>
      <c r="AE44" t="str">
        <f>IF(AND(Audit_Data[[#This Row],[Year_Birth]]&gt;=1900,Audit_Data[[#This Row],[Year_Birth]]&lt;=2010),"OK","Invalid")</f>
        <v>OK</v>
      </c>
      <c r="AF44" t="str">
        <f t="shared" si="0"/>
        <v>Valid</v>
      </c>
      <c r="AG44" t="str">
        <f t="shared" si="1"/>
        <v>Valid</v>
      </c>
      <c r="AH44" t="str">
        <f t="shared" si="2"/>
        <v>Valid</v>
      </c>
      <c r="AI44" t="str">
        <f t="shared" si="9"/>
        <v>Valid</v>
      </c>
      <c r="AJ44" t="str">
        <f t="shared" si="10"/>
        <v>Valid</v>
      </c>
      <c r="AK44" t="str">
        <f t="shared" si="11"/>
        <v xml:space="preserve">Valid </v>
      </c>
      <c r="AL44" t="str">
        <f>IF(AND(Audit_Data[[#This Row],[Recency]]&gt;=0,Audit_Data[[#This Row],[Recency]]&lt;=100),"Valid","Invalid")</f>
        <v>Valid</v>
      </c>
      <c r="AM44" t="str">
        <f t="shared" si="3"/>
        <v>Valid</v>
      </c>
      <c r="AN44" t="str">
        <f t="shared" si="4"/>
        <v>Valid</v>
      </c>
      <c r="AO44" t="str">
        <f t="shared" si="5"/>
        <v>Valid</v>
      </c>
      <c r="AP44" t="str">
        <f t="shared" si="12"/>
        <v>Valid</v>
      </c>
      <c r="AQ44" t="str">
        <f>IF(Audit_Data[[#This Row],[Z_CostContact]]=3,"Valid","Invalid")</f>
        <v>Valid</v>
      </c>
      <c r="AR44" t="str">
        <f t="shared" si="6"/>
        <v>Valid</v>
      </c>
      <c r="AS44" t="str">
        <f t="shared" si="7"/>
        <v>Valid</v>
      </c>
    </row>
    <row r="45" spans="1:45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 t="str">
        <f t="shared" si="8"/>
        <v>Ok</v>
      </c>
      <c r="AE45" t="str">
        <f>IF(AND(Audit_Data[[#This Row],[Year_Birth]]&gt;=1900,Audit_Data[[#This Row],[Year_Birth]]&lt;=2010),"OK","Invalid")</f>
        <v>OK</v>
      </c>
      <c r="AF45" t="str">
        <f t="shared" si="0"/>
        <v>Valid</v>
      </c>
      <c r="AG45" t="str">
        <f t="shared" si="1"/>
        <v>Valid</v>
      </c>
      <c r="AH45" t="str">
        <f t="shared" si="2"/>
        <v>Invalid</v>
      </c>
      <c r="AI45" t="str">
        <f t="shared" si="9"/>
        <v>Valid</v>
      </c>
      <c r="AJ45" t="str">
        <f t="shared" si="10"/>
        <v>Valid</v>
      </c>
      <c r="AK45" t="str">
        <f t="shared" si="11"/>
        <v xml:space="preserve">Valid </v>
      </c>
      <c r="AL45" t="str">
        <f>IF(AND(Audit_Data[[#This Row],[Recency]]&gt;=0,Audit_Data[[#This Row],[Recency]]&lt;=100),"Valid","Invalid")</f>
        <v>Valid</v>
      </c>
      <c r="AM45" t="str">
        <f t="shared" si="3"/>
        <v>Valid</v>
      </c>
      <c r="AN45" t="str">
        <f t="shared" si="4"/>
        <v>Valid</v>
      </c>
      <c r="AO45" t="str">
        <f t="shared" si="5"/>
        <v>Valid</v>
      </c>
      <c r="AP45" t="str">
        <f t="shared" si="12"/>
        <v>Valid</v>
      </c>
      <c r="AQ45" t="str">
        <f>IF(Audit_Data[[#This Row],[Z_CostContact]]=3,"Valid","Invalid")</f>
        <v>Valid</v>
      </c>
      <c r="AR45" t="str">
        <f t="shared" si="6"/>
        <v>Valid</v>
      </c>
      <c r="AS45" t="str">
        <f t="shared" si="7"/>
        <v>Valid</v>
      </c>
    </row>
    <row r="46" spans="1:45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 t="str">
        <f t="shared" si="8"/>
        <v>Ok</v>
      </c>
      <c r="AE46" t="str">
        <f>IF(AND(Audit_Data[[#This Row],[Year_Birth]]&gt;=1900,Audit_Data[[#This Row],[Year_Birth]]&lt;=2010),"OK","Invalid")</f>
        <v>OK</v>
      </c>
      <c r="AF46" t="str">
        <f t="shared" si="0"/>
        <v>Valid</v>
      </c>
      <c r="AG46" t="str">
        <f t="shared" si="1"/>
        <v>Valid</v>
      </c>
      <c r="AH46" t="str">
        <f t="shared" si="2"/>
        <v>Valid</v>
      </c>
      <c r="AI46" t="str">
        <f t="shared" si="9"/>
        <v>Valid</v>
      </c>
      <c r="AJ46" t="str">
        <f t="shared" si="10"/>
        <v>Valid</v>
      </c>
      <c r="AK46" t="str">
        <f t="shared" si="11"/>
        <v xml:space="preserve">Valid </v>
      </c>
      <c r="AL46" t="str">
        <f>IF(AND(Audit_Data[[#This Row],[Recency]]&gt;=0,Audit_Data[[#This Row],[Recency]]&lt;=100),"Valid","Invalid")</f>
        <v>Valid</v>
      </c>
      <c r="AM46" t="str">
        <f t="shared" si="3"/>
        <v>Valid</v>
      </c>
      <c r="AN46" t="str">
        <f t="shared" si="4"/>
        <v>Valid</v>
      </c>
      <c r="AO46" t="str">
        <f t="shared" si="5"/>
        <v>Valid</v>
      </c>
      <c r="AP46" t="str">
        <f t="shared" si="12"/>
        <v>Valid</v>
      </c>
      <c r="AQ46" t="str">
        <f>IF(Audit_Data[[#This Row],[Z_CostContact]]=3,"Valid","Invalid")</f>
        <v>Valid</v>
      </c>
      <c r="AR46" t="str">
        <f t="shared" si="6"/>
        <v>Valid</v>
      </c>
      <c r="AS46" t="str">
        <f t="shared" si="7"/>
        <v>Valid</v>
      </c>
    </row>
    <row r="47" spans="1:45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 t="str">
        <f t="shared" si="8"/>
        <v>Ok</v>
      </c>
      <c r="AE47" t="str">
        <f>IF(AND(Audit_Data[[#This Row],[Year_Birth]]&gt;=1900,Audit_Data[[#This Row],[Year_Birth]]&lt;=2010),"OK","Invalid")</f>
        <v>OK</v>
      </c>
      <c r="AF47" t="str">
        <f t="shared" si="0"/>
        <v>Valid</v>
      </c>
      <c r="AG47" t="str">
        <f t="shared" si="1"/>
        <v>Valid</v>
      </c>
      <c r="AH47" t="str">
        <f t="shared" si="2"/>
        <v>Valid</v>
      </c>
      <c r="AI47" t="str">
        <f t="shared" si="9"/>
        <v>Valid</v>
      </c>
      <c r="AJ47" t="str">
        <f t="shared" si="10"/>
        <v>Valid</v>
      </c>
      <c r="AK47" t="str">
        <f t="shared" si="11"/>
        <v xml:space="preserve">Valid </v>
      </c>
      <c r="AL47" t="str">
        <f>IF(AND(Audit_Data[[#This Row],[Recency]]&gt;=0,Audit_Data[[#This Row],[Recency]]&lt;=100),"Valid","Invalid")</f>
        <v>Valid</v>
      </c>
      <c r="AM47" t="str">
        <f t="shared" si="3"/>
        <v>Valid</v>
      </c>
      <c r="AN47" t="str">
        <f t="shared" si="4"/>
        <v>Valid</v>
      </c>
      <c r="AO47" t="str">
        <f t="shared" si="5"/>
        <v>Valid</v>
      </c>
      <c r="AP47" t="str">
        <f t="shared" si="12"/>
        <v>Valid</v>
      </c>
      <c r="AQ47" t="str">
        <f>IF(Audit_Data[[#This Row],[Z_CostContact]]=3,"Valid","Invalid")</f>
        <v>Valid</v>
      </c>
      <c r="AR47" t="str">
        <f t="shared" si="6"/>
        <v>Valid</v>
      </c>
      <c r="AS47" t="str">
        <f t="shared" si="7"/>
        <v>Valid</v>
      </c>
    </row>
    <row r="48" spans="1:45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 t="str">
        <f t="shared" si="8"/>
        <v>Ok</v>
      </c>
      <c r="AE48" t="str">
        <f>IF(AND(Audit_Data[[#This Row],[Year_Birth]]&gt;=1900,Audit_Data[[#This Row],[Year_Birth]]&lt;=2010),"OK","Invalid")</f>
        <v>OK</v>
      </c>
      <c r="AF48" t="str">
        <f t="shared" si="0"/>
        <v>Valid</v>
      </c>
      <c r="AG48" t="str">
        <f t="shared" si="1"/>
        <v>Valid</v>
      </c>
      <c r="AH48" t="str">
        <f t="shared" si="2"/>
        <v>Valid</v>
      </c>
      <c r="AI48" t="str">
        <f t="shared" si="9"/>
        <v>Valid</v>
      </c>
      <c r="AJ48" t="str">
        <f t="shared" si="10"/>
        <v>Valid</v>
      </c>
      <c r="AK48" t="str">
        <f t="shared" si="11"/>
        <v xml:space="preserve">Valid </v>
      </c>
      <c r="AL48" t="str">
        <f>IF(AND(Audit_Data[[#This Row],[Recency]]&gt;=0,Audit_Data[[#This Row],[Recency]]&lt;=100),"Valid","Invalid")</f>
        <v>Valid</v>
      </c>
      <c r="AM48" t="str">
        <f t="shared" si="3"/>
        <v>Valid</v>
      </c>
      <c r="AN48" t="str">
        <f t="shared" si="4"/>
        <v>Valid</v>
      </c>
      <c r="AO48" t="str">
        <f t="shared" si="5"/>
        <v>Valid</v>
      </c>
      <c r="AP48" t="str">
        <f t="shared" si="12"/>
        <v>Valid</v>
      </c>
      <c r="AQ48" t="str">
        <f>IF(Audit_Data[[#This Row],[Z_CostContact]]=3,"Valid","Invalid")</f>
        <v>Valid</v>
      </c>
      <c r="AR48" t="str">
        <f t="shared" si="6"/>
        <v>Valid</v>
      </c>
      <c r="AS48" t="str">
        <f t="shared" si="7"/>
        <v>Valid</v>
      </c>
    </row>
    <row r="49" spans="1:45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 t="str">
        <f t="shared" si="8"/>
        <v>Ok</v>
      </c>
      <c r="AE49" t="str">
        <f>IF(AND(Audit_Data[[#This Row],[Year_Birth]]&gt;=1900,Audit_Data[[#This Row],[Year_Birth]]&lt;=2010),"OK","Invalid")</f>
        <v>OK</v>
      </c>
      <c r="AF49" t="str">
        <f t="shared" si="0"/>
        <v>Valid</v>
      </c>
      <c r="AG49" t="str">
        <f t="shared" si="1"/>
        <v>Valid</v>
      </c>
      <c r="AH49" t="str">
        <f t="shared" si="2"/>
        <v>Valid</v>
      </c>
      <c r="AI49" t="str">
        <f t="shared" si="9"/>
        <v>Valid</v>
      </c>
      <c r="AJ49" t="str">
        <f t="shared" si="10"/>
        <v>Valid</v>
      </c>
      <c r="AK49" t="str">
        <f t="shared" si="11"/>
        <v xml:space="preserve">Valid </v>
      </c>
      <c r="AL49" t="str">
        <f>IF(AND(Audit_Data[[#This Row],[Recency]]&gt;=0,Audit_Data[[#This Row],[Recency]]&lt;=100),"Valid","Invalid")</f>
        <v>Valid</v>
      </c>
      <c r="AM49" t="str">
        <f t="shared" si="3"/>
        <v>Valid</v>
      </c>
      <c r="AN49" t="str">
        <f t="shared" si="4"/>
        <v>Valid</v>
      </c>
      <c r="AO49" t="str">
        <f t="shared" si="5"/>
        <v>Valid</v>
      </c>
      <c r="AP49" t="str">
        <f t="shared" si="12"/>
        <v>Valid</v>
      </c>
      <c r="AQ49" t="str">
        <f>IF(Audit_Data[[#This Row],[Z_CostContact]]=3,"Valid","Invalid")</f>
        <v>Valid</v>
      </c>
      <c r="AR49" t="str">
        <f t="shared" si="6"/>
        <v>Valid</v>
      </c>
      <c r="AS49" t="str">
        <f t="shared" si="7"/>
        <v>Valid</v>
      </c>
    </row>
    <row r="50" spans="1:45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 t="str">
        <f t="shared" si="8"/>
        <v>Ok</v>
      </c>
      <c r="AE50" t="str">
        <f>IF(AND(Audit_Data[[#This Row],[Year_Birth]]&gt;=1900,Audit_Data[[#This Row],[Year_Birth]]&lt;=2010),"OK","Invalid")</f>
        <v>OK</v>
      </c>
      <c r="AF50" t="str">
        <f t="shared" si="0"/>
        <v>Valid</v>
      </c>
      <c r="AG50" t="str">
        <f t="shared" si="1"/>
        <v>Valid</v>
      </c>
      <c r="AH50" t="str">
        <f t="shared" si="2"/>
        <v>Invalid</v>
      </c>
      <c r="AI50" t="str">
        <f t="shared" si="9"/>
        <v>Valid</v>
      </c>
      <c r="AJ50" t="str">
        <f t="shared" si="10"/>
        <v>Valid</v>
      </c>
      <c r="AK50" t="str">
        <f t="shared" si="11"/>
        <v xml:space="preserve">Valid </v>
      </c>
      <c r="AL50" t="str">
        <f>IF(AND(Audit_Data[[#This Row],[Recency]]&gt;=0,Audit_Data[[#This Row],[Recency]]&lt;=100),"Valid","Invalid")</f>
        <v>Valid</v>
      </c>
      <c r="AM50" t="str">
        <f t="shared" si="3"/>
        <v>Valid</v>
      </c>
      <c r="AN50" t="str">
        <f t="shared" si="4"/>
        <v>Valid</v>
      </c>
      <c r="AO50" t="str">
        <f t="shared" si="5"/>
        <v>Valid</v>
      </c>
      <c r="AP50" t="str">
        <f t="shared" si="12"/>
        <v>Valid</v>
      </c>
      <c r="AQ50" t="str">
        <f>IF(Audit_Data[[#This Row],[Z_CostContact]]=3,"Valid","Invalid")</f>
        <v>Valid</v>
      </c>
      <c r="AR50" t="str">
        <f t="shared" si="6"/>
        <v>Valid</v>
      </c>
      <c r="AS50" t="str">
        <f t="shared" si="7"/>
        <v>Valid</v>
      </c>
    </row>
    <row r="51" spans="1:45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 t="str">
        <f t="shared" si="8"/>
        <v>Ok</v>
      </c>
      <c r="AE51" t="str">
        <f>IF(AND(Audit_Data[[#This Row],[Year_Birth]]&gt;=1900,Audit_Data[[#This Row],[Year_Birth]]&lt;=2010),"OK","Invalid")</f>
        <v>OK</v>
      </c>
      <c r="AF51" t="str">
        <f t="shared" si="0"/>
        <v>Valid</v>
      </c>
      <c r="AG51" t="str">
        <f t="shared" si="1"/>
        <v>Valid</v>
      </c>
      <c r="AH51" t="str">
        <f t="shared" si="2"/>
        <v>Valid</v>
      </c>
      <c r="AI51" t="str">
        <f t="shared" si="9"/>
        <v>Valid</v>
      </c>
      <c r="AJ51" t="str">
        <f t="shared" si="10"/>
        <v>Valid</v>
      </c>
      <c r="AK51" t="str">
        <f t="shared" si="11"/>
        <v xml:space="preserve">Valid </v>
      </c>
      <c r="AL51" t="str">
        <f>IF(AND(Audit_Data[[#This Row],[Recency]]&gt;=0,Audit_Data[[#This Row],[Recency]]&lt;=100),"Valid","Invalid")</f>
        <v>Valid</v>
      </c>
      <c r="AM51" t="str">
        <f t="shared" si="3"/>
        <v>Valid</v>
      </c>
      <c r="AN51" t="str">
        <f t="shared" si="4"/>
        <v>Valid</v>
      </c>
      <c r="AO51" t="str">
        <f t="shared" si="5"/>
        <v>Valid</v>
      </c>
      <c r="AP51" t="str">
        <f t="shared" si="12"/>
        <v>Valid</v>
      </c>
      <c r="AQ51" t="str">
        <f>IF(Audit_Data[[#This Row],[Z_CostContact]]=3,"Valid","Invalid")</f>
        <v>Valid</v>
      </c>
      <c r="AR51" t="str">
        <f t="shared" si="6"/>
        <v>Valid</v>
      </c>
      <c r="AS51" t="str">
        <f t="shared" si="7"/>
        <v>Valid</v>
      </c>
    </row>
    <row r="52" spans="1:45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 t="str">
        <f t="shared" si="8"/>
        <v>Ok</v>
      </c>
      <c r="AE52" t="str">
        <f>IF(AND(Audit_Data[[#This Row],[Year_Birth]]&gt;=1900,Audit_Data[[#This Row],[Year_Birth]]&lt;=2010),"OK","Invalid")</f>
        <v>OK</v>
      </c>
      <c r="AF52" t="str">
        <f t="shared" si="0"/>
        <v>Valid</v>
      </c>
      <c r="AG52" t="str">
        <f t="shared" si="1"/>
        <v>Valid</v>
      </c>
      <c r="AH52" t="str">
        <f t="shared" si="2"/>
        <v>Valid</v>
      </c>
      <c r="AI52" t="str">
        <f t="shared" si="9"/>
        <v>Valid</v>
      </c>
      <c r="AJ52" t="str">
        <f t="shared" si="10"/>
        <v>Valid</v>
      </c>
      <c r="AK52" t="str">
        <f t="shared" si="11"/>
        <v xml:space="preserve">Valid </v>
      </c>
      <c r="AL52" t="str">
        <f>IF(AND(Audit_Data[[#This Row],[Recency]]&gt;=0,Audit_Data[[#This Row],[Recency]]&lt;=100),"Valid","Invalid")</f>
        <v>Valid</v>
      </c>
      <c r="AM52" t="str">
        <f t="shared" si="3"/>
        <v>Valid</v>
      </c>
      <c r="AN52" t="str">
        <f t="shared" si="4"/>
        <v>Valid</v>
      </c>
      <c r="AO52" t="str">
        <f t="shared" si="5"/>
        <v>Valid</v>
      </c>
      <c r="AP52" t="str">
        <f t="shared" si="12"/>
        <v>Valid</v>
      </c>
      <c r="AQ52" t="str">
        <f>IF(Audit_Data[[#This Row],[Z_CostContact]]=3,"Valid","Invalid")</f>
        <v>Valid</v>
      </c>
      <c r="AR52" t="str">
        <f t="shared" si="6"/>
        <v>Valid</v>
      </c>
      <c r="AS52" t="str">
        <f t="shared" si="7"/>
        <v>Valid</v>
      </c>
    </row>
    <row r="53" spans="1:45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 t="str">
        <f t="shared" si="8"/>
        <v>Ok</v>
      </c>
      <c r="AE53" t="str">
        <f>IF(AND(Audit_Data[[#This Row],[Year_Birth]]&gt;=1900,Audit_Data[[#This Row],[Year_Birth]]&lt;=2010),"OK","Invalid")</f>
        <v>OK</v>
      </c>
      <c r="AF53" t="str">
        <f t="shared" si="0"/>
        <v>Valid</v>
      </c>
      <c r="AG53" t="str">
        <f t="shared" si="1"/>
        <v>Valid</v>
      </c>
      <c r="AH53" t="str">
        <f t="shared" si="2"/>
        <v>Valid</v>
      </c>
      <c r="AI53" t="str">
        <f t="shared" si="9"/>
        <v>Valid</v>
      </c>
      <c r="AJ53" t="str">
        <f t="shared" si="10"/>
        <v>Valid</v>
      </c>
      <c r="AK53" t="str">
        <f t="shared" si="11"/>
        <v xml:space="preserve">Valid </v>
      </c>
      <c r="AL53" t="str">
        <f>IF(AND(Audit_Data[[#This Row],[Recency]]&gt;=0,Audit_Data[[#This Row],[Recency]]&lt;=100),"Valid","Invalid")</f>
        <v>Valid</v>
      </c>
      <c r="AM53" t="str">
        <f t="shared" si="3"/>
        <v>Valid</v>
      </c>
      <c r="AN53" t="str">
        <f t="shared" si="4"/>
        <v>Valid</v>
      </c>
      <c r="AO53" t="str">
        <f t="shared" si="5"/>
        <v>Valid</v>
      </c>
      <c r="AP53" t="str">
        <f t="shared" si="12"/>
        <v>Valid</v>
      </c>
      <c r="AQ53" t="str">
        <f>IF(Audit_Data[[#This Row],[Z_CostContact]]=3,"Valid","Invalid")</f>
        <v>Valid</v>
      </c>
      <c r="AR53" t="str">
        <f t="shared" si="6"/>
        <v>Valid</v>
      </c>
      <c r="AS53" t="str">
        <f t="shared" si="7"/>
        <v>Valid</v>
      </c>
    </row>
    <row r="54" spans="1:45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 t="str">
        <f t="shared" si="8"/>
        <v>Ok</v>
      </c>
      <c r="AE54" t="str">
        <f>IF(AND(Audit_Data[[#This Row],[Year_Birth]]&gt;=1900,Audit_Data[[#This Row],[Year_Birth]]&lt;=2010),"OK","Invalid")</f>
        <v>OK</v>
      </c>
      <c r="AF54" t="str">
        <f t="shared" si="0"/>
        <v>Valid</v>
      </c>
      <c r="AG54" t="str">
        <f t="shared" si="1"/>
        <v>Valid</v>
      </c>
      <c r="AH54" t="str">
        <f t="shared" si="2"/>
        <v>Valid</v>
      </c>
      <c r="AI54" t="str">
        <f t="shared" si="9"/>
        <v>Valid</v>
      </c>
      <c r="AJ54" t="str">
        <f t="shared" si="10"/>
        <v>Valid</v>
      </c>
      <c r="AK54" t="str">
        <f t="shared" si="11"/>
        <v xml:space="preserve">Valid </v>
      </c>
      <c r="AL54" t="str">
        <f>IF(AND(Audit_Data[[#This Row],[Recency]]&gt;=0,Audit_Data[[#This Row],[Recency]]&lt;=100),"Valid","Invalid")</f>
        <v>Valid</v>
      </c>
      <c r="AM54" t="str">
        <f t="shared" si="3"/>
        <v>Valid</v>
      </c>
      <c r="AN54" t="str">
        <f t="shared" si="4"/>
        <v>Valid</v>
      </c>
      <c r="AO54" t="str">
        <f t="shared" si="5"/>
        <v>Valid</v>
      </c>
      <c r="AP54" t="str">
        <f t="shared" si="12"/>
        <v>Valid</v>
      </c>
      <c r="AQ54" t="str">
        <f>IF(Audit_Data[[#This Row],[Z_CostContact]]=3,"Valid","Invalid")</f>
        <v>Valid</v>
      </c>
      <c r="AR54" t="str">
        <f t="shared" si="6"/>
        <v>Valid</v>
      </c>
      <c r="AS54" t="str">
        <f t="shared" si="7"/>
        <v>Valid</v>
      </c>
    </row>
    <row r="55" spans="1:45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 t="str">
        <f t="shared" si="8"/>
        <v>Ok</v>
      </c>
      <c r="AE55" t="str">
        <f>IF(AND(Audit_Data[[#This Row],[Year_Birth]]&gt;=1900,Audit_Data[[#This Row],[Year_Birth]]&lt;=2010),"OK","Invalid")</f>
        <v>OK</v>
      </c>
      <c r="AF55" t="str">
        <f t="shared" si="0"/>
        <v>Valid</v>
      </c>
      <c r="AG55" t="str">
        <f t="shared" si="1"/>
        <v>Valid</v>
      </c>
      <c r="AH55" t="str">
        <f t="shared" si="2"/>
        <v>Valid</v>
      </c>
      <c r="AI55" t="str">
        <f t="shared" si="9"/>
        <v>Valid</v>
      </c>
      <c r="AJ55" t="str">
        <f t="shared" si="10"/>
        <v>Valid</v>
      </c>
      <c r="AK55" t="str">
        <f t="shared" si="11"/>
        <v xml:space="preserve">Valid </v>
      </c>
      <c r="AL55" t="str">
        <f>IF(AND(Audit_Data[[#This Row],[Recency]]&gt;=0,Audit_Data[[#This Row],[Recency]]&lt;=100),"Valid","Invalid")</f>
        <v>Valid</v>
      </c>
      <c r="AM55" t="str">
        <f t="shared" si="3"/>
        <v>Valid</v>
      </c>
      <c r="AN55" t="str">
        <f t="shared" si="4"/>
        <v>Valid</v>
      </c>
      <c r="AO55" t="str">
        <f t="shared" si="5"/>
        <v>Valid</v>
      </c>
      <c r="AP55" t="str">
        <f t="shared" si="12"/>
        <v>Valid</v>
      </c>
      <c r="AQ55" t="str">
        <f>IF(Audit_Data[[#This Row],[Z_CostContact]]=3,"Valid","Invalid")</f>
        <v>Valid</v>
      </c>
      <c r="AR55" t="str">
        <f t="shared" si="6"/>
        <v>Valid</v>
      </c>
      <c r="AS55" t="str">
        <f t="shared" si="7"/>
        <v>Valid</v>
      </c>
    </row>
    <row r="56" spans="1:45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 t="str">
        <f t="shared" si="8"/>
        <v>Ok</v>
      </c>
      <c r="AE56" t="str">
        <f>IF(AND(Audit_Data[[#This Row],[Year_Birth]]&gt;=1900,Audit_Data[[#This Row],[Year_Birth]]&lt;=2010),"OK","Invalid")</f>
        <v>OK</v>
      </c>
      <c r="AF56" t="str">
        <f t="shared" si="0"/>
        <v>Valid</v>
      </c>
      <c r="AG56" t="str">
        <f t="shared" si="1"/>
        <v>Valid</v>
      </c>
      <c r="AH56" t="str">
        <f t="shared" si="2"/>
        <v>Valid</v>
      </c>
      <c r="AI56" t="str">
        <f t="shared" si="9"/>
        <v>Valid</v>
      </c>
      <c r="AJ56" t="str">
        <f t="shared" si="10"/>
        <v>Valid</v>
      </c>
      <c r="AK56" t="str">
        <f t="shared" si="11"/>
        <v xml:space="preserve">Valid </v>
      </c>
      <c r="AL56" t="str">
        <f>IF(AND(Audit_Data[[#This Row],[Recency]]&gt;=0,Audit_Data[[#This Row],[Recency]]&lt;=100),"Valid","Invalid")</f>
        <v>Valid</v>
      </c>
      <c r="AM56" t="str">
        <f t="shared" si="3"/>
        <v>Valid</v>
      </c>
      <c r="AN56" t="str">
        <f t="shared" si="4"/>
        <v>Valid</v>
      </c>
      <c r="AO56" t="str">
        <f t="shared" si="5"/>
        <v>Valid</v>
      </c>
      <c r="AP56" t="str">
        <f t="shared" si="12"/>
        <v>Valid</v>
      </c>
      <c r="AQ56" t="str">
        <f>IF(Audit_Data[[#This Row],[Z_CostContact]]=3,"Valid","Invalid")</f>
        <v>Valid</v>
      </c>
      <c r="AR56" t="str">
        <f t="shared" si="6"/>
        <v>Valid</v>
      </c>
      <c r="AS56" t="str">
        <f t="shared" si="7"/>
        <v>Valid</v>
      </c>
    </row>
    <row r="57" spans="1:45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 t="str">
        <f t="shared" si="8"/>
        <v>Ok</v>
      </c>
      <c r="AE57" t="str">
        <f>IF(AND(Audit_Data[[#This Row],[Year_Birth]]&gt;=1900,Audit_Data[[#This Row],[Year_Birth]]&lt;=2010),"OK","Invalid")</f>
        <v>OK</v>
      </c>
      <c r="AF57" t="str">
        <f t="shared" si="0"/>
        <v>Valid</v>
      </c>
      <c r="AG57" t="str">
        <f t="shared" si="1"/>
        <v>Valid</v>
      </c>
      <c r="AH57" t="str">
        <f t="shared" si="2"/>
        <v>Valid</v>
      </c>
      <c r="AI57" t="str">
        <f t="shared" si="9"/>
        <v>Valid</v>
      </c>
      <c r="AJ57" t="str">
        <f t="shared" si="10"/>
        <v>Valid</v>
      </c>
      <c r="AK57" t="str">
        <f t="shared" si="11"/>
        <v xml:space="preserve">Valid </v>
      </c>
      <c r="AL57" t="str">
        <f>IF(AND(Audit_Data[[#This Row],[Recency]]&gt;=0,Audit_Data[[#This Row],[Recency]]&lt;=100),"Valid","Invalid")</f>
        <v>Valid</v>
      </c>
      <c r="AM57" t="str">
        <f t="shared" si="3"/>
        <v>Valid</v>
      </c>
      <c r="AN57" t="str">
        <f t="shared" si="4"/>
        <v>Valid</v>
      </c>
      <c r="AO57" t="str">
        <f t="shared" si="5"/>
        <v>Valid</v>
      </c>
      <c r="AP57" t="str">
        <f t="shared" si="12"/>
        <v>Valid</v>
      </c>
      <c r="AQ57" t="str">
        <f>IF(Audit_Data[[#This Row],[Z_CostContact]]=3,"Valid","Invalid")</f>
        <v>Valid</v>
      </c>
      <c r="AR57" t="str">
        <f t="shared" si="6"/>
        <v>Valid</v>
      </c>
      <c r="AS57" t="str">
        <f t="shared" si="7"/>
        <v>Valid</v>
      </c>
    </row>
    <row r="58" spans="1:45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 t="str">
        <f t="shared" si="8"/>
        <v>Ok</v>
      </c>
      <c r="AE58" t="str">
        <f>IF(AND(Audit_Data[[#This Row],[Year_Birth]]&gt;=1900,Audit_Data[[#This Row],[Year_Birth]]&lt;=2010),"OK","Invalid")</f>
        <v>OK</v>
      </c>
      <c r="AF58" t="str">
        <f t="shared" si="0"/>
        <v>Valid</v>
      </c>
      <c r="AG58" t="str">
        <f t="shared" si="1"/>
        <v>Valid</v>
      </c>
      <c r="AH58" t="str">
        <f t="shared" si="2"/>
        <v>Valid</v>
      </c>
      <c r="AI58" t="str">
        <f t="shared" si="9"/>
        <v>Valid</v>
      </c>
      <c r="AJ58" t="str">
        <f t="shared" si="10"/>
        <v>Valid</v>
      </c>
      <c r="AK58" t="str">
        <f t="shared" si="11"/>
        <v xml:space="preserve">Valid </v>
      </c>
      <c r="AL58" t="str">
        <f>IF(AND(Audit_Data[[#This Row],[Recency]]&gt;=0,Audit_Data[[#This Row],[Recency]]&lt;=100),"Valid","Invalid")</f>
        <v>Valid</v>
      </c>
      <c r="AM58" t="str">
        <f t="shared" si="3"/>
        <v>Valid</v>
      </c>
      <c r="AN58" t="str">
        <f t="shared" si="4"/>
        <v>Valid</v>
      </c>
      <c r="AO58" t="str">
        <f t="shared" si="5"/>
        <v>Valid</v>
      </c>
      <c r="AP58" t="str">
        <f t="shared" si="12"/>
        <v>Valid</v>
      </c>
      <c r="AQ58" t="str">
        <f>IF(Audit_Data[[#This Row],[Z_CostContact]]=3,"Valid","Invalid")</f>
        <v>Valid</v>
      </c>
      <c r="AR58" t="str">
        <f t="shared" si="6"/>
        <v>Valid</v>
      </c>
      <c r="AS58" t="str">
        <f t="shared" si="7"/>
        <v>Valid</v>
      </c>
    </row>
    <row r="59" spans="1:45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 t="str">
        <f t="shared" si="8"/>
        <v>Ok</v>
      </c>
      <c r="AE59" t="str">
        <f>IF(AND(Audit_Data[[#This Row],[Year_Birth]]&gt;=1900,Audit_Data[[#This Row],[Year_Birth]]&lt;=2010),"OK","Invalid")</f>
        <v>OK</v>
      </c>
      <c r="AF59" t="str">
        <f t="shared" si="0"/>
        <v>Valid</v>
      </c>
      <c r="AG59" t="str">
        <f t="shared" si="1"/>
        <v>Valid</v>
      </c>
      <c r="AH59" t="str">
        <f t="shared" si="2"/>
        <v>Valid</v>
      </c>
      <c r="AI59" t="str">
        <f t="shared" si="9"/>
        <v>Valid</v>
      </c>
      <c r="AJ59" t="str">
        <f t="shared" si="10"/>
        <v>Valid</v>
      </c>
      <c r="AK59" t="str">
        <f t="shared" si="11"/>
        <v xml:space="preserve">Valid </v>
      </c>
      <c r="AL59" t="str">
        <f>IF(AND(Audit_Data[[#This Row],[Recency]]&gt;=0,Audit_Data[[#This Row],[Recency]]&lt;=100),"Valid","Invalid")</f>
        <v>Valid</v>
      </c>
      <c r="AM59" t="str">
        <f t="shared" si="3"/>
        <v>Valid</v>
      </c>
      <c r="AN59" t="str">
        <f t="shared" si="4"/>
        <v>Valid</v>
      </c>
      <c r="AO59" t="str">
        <f t="shared" si="5"/>
        <v>Valid</v>
      </c>
      <c r="AP59" t="str">
        <f t="shared" si="12"/>
        <v>Valid</v>
      </c>
      <c r="AQ59" t="str">
        <f>IF(Audit_Data[[#This Row],[Z_CostContact]]=3,"Valid","Invalid")</f>
        <v>Valid</v>
      </c>
      <c r="AR59" t="str">
        <f t="shared" si="6"/>
        <v>Valid</v>
      </c>
      <c r="AS59" t="str">
        <f t="shared" si="7"/>
        <v>Valid</v>
      </c>
    </row>
    <row r="60" spans="1:45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 t="str">
        <f t="shared" si="8"/>
        <v>Ok</v>
      </c>
      <c r="AE60" t="str">
        <f>IF(AND(Audit_Data[[#This Row],[Year_Birth]]&gt;=1900,Audit_Data[[#This Row],[Year_Birth]]&lt;=2010),"OK","Invalid")</f>
        <v>OK</v>
      </c>
      <c r="AF60" t="str">
        <f t="shared" si="0"/>
        <v>Valid</v>
      </c>
      <c r="AG60" t="str">
        <f t="shared" si="1"/>
        <v>Valid</v>
      </c>
      <c r="AH60" t="str">
        <f t="shared" si="2"/>
        <v>Invalid</v>
      </c>
      <c r="AI60" t="str">
        <f t="shared" si="9"/>
        <v>Valid</v>
      </c>
      <c r="AJ60" t="str">
        <f t="shared" si="10"/>
        <v>Valid</v>
      </c>
      <c r="AK60" t="str">
        <f t="shared" si="11"/>
        <v xml:space="preserve">Valid </v>
      </c>
      <c r="AL60" t="str">
        <f>IF(AND(Audit_Data[[#This Row],[Recency]]&gt;=0,Audit_Data[[#This Row],[Recency]]&lt;=100),"Valid","Invalid")</f>
        <v>Valid</v>
      </c>
      <c r="AM60" t="str">
        <f t="shared" si="3"/>
        <v>Valid</v>
      </c>
      <c r="AN60" t="str">
        <f t="shared" si="4"/>
        <v>Valid</v>
      </c>
      <c r="AO60" t="str">
        <f t="shared" si="5"/>
        <v>Valid</v>
      </c>
      <c r="AP60" t="str">
        <f t="shared" si="12"/>
        <v>Valid</v>
      </c>
      <c r="AQ60" t="str">
        <f>IF(Audit_Data[[#This Row],[Z_CostContact]]=3,"Valid","Invalid")</f>
        <v>Valid</v>
      </c>
      <c r="AR60" t="str">
        <f t="shared" si="6"/>
        <v>Valid</v>
      </c>
      <c r="AS60" t="str">
        <f t="shared" si="7"/>
        <v>Valid</v>
      </c>
    </row>
    <row r="61" spans="1:45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 t="str">
        <f t="shared" si="8"/>
        <v>Ok</v>
      </c>
      <c r="AE61" t="str">
        <f>IF(AND(Audit_Data[[#This Row],[Year_Birth]]&gt;=1900,Audit_Data[[#This Row],[Year_Birth]]&lt;=2010),"OK","Invalid")</f>
        <v>OK</v>
      </c>
      <c r="AF61" t="str">
        <f t="shared" si="0"/>
        <v>Valid</v>
      </c>
      <c r="AG61" t="str">
        <f t="shared" si="1"/>
        <v>Valid</v>
      </c>
      <c r="AH61" t="str">
        <f t="shared" si="2"/>
        <v>Valid</v>
      </c>
      <c r="AI61" t="str">
        <f t="shared" si="9"/>
        <v>Valid</v>
      </c>
      <c r="AJ61" t="str">
        <f t="shared" si="10"/>
        <v>Valid</v>
      </c>
      <c r="AK61" t="str">
        <f t="shared" si="11"/>
        <v xml:space="preserve">Valid </v>
      </c>
      <c r="AL61" t="str">
        <f>IF(AND(Audit_Data[[#This Row],[Recency]]&gt;=0,Audit_Data[[#This Row],[Recency]]&lt;=100),"Valid","Invalid")</f>
        <v>Valid</v>
      </c>
      <c r="AM61" t="str">
        <f t="shared" si="3"/>
        <v>Valid</v>
      </c>
      <c r="AN61" t="str">
        <f t="shared" si="4"/>
        <v>Valid</v>
      </c>
      <c r="AO61" t="str">
        <f t="shared" si="5"/>
        <v>Valid</v>
      </c>
      <c r="AP61" t="str">
        <f t="shared" si="12"/>
        <v>Valid</v>
      </c>
      <c r="AQ61" t="str">
        <f>IF(Audit_Data[[#This Row],[Z_CostContact]]=3,"Valid","Invalid")</f>
        <v>Valid</v>
      </c>
      <c r="AR61" t="str">
        <f t="shared" si="6"/>
        <v>Valid</v>
      </c>
      <c r="AS61" t="str">
        <f t="shared" si="7"/>
        <v>Valid</v>
      </c>
    </row>
    <row r="62" spans="1:45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 t="str">
        <f t="shared" si="8"/>
        <v>Ok</v>
      </c>
      <c r="AE62" t="str">
        <f>IF(AND(Audit_Data[[#This Row],[Year_Birth]]&gt;=1900,Audit_Data[[#This Row],[Year_Birth]]&lt;=2010),"OK","Invalid")</f>
        <v>OK</v>
      </c>
      <c r="AF62" t="str">
        <f t="shared" si="0"/>
        <v>Valid</v>
      </c>
      <c r="AG62" t="str">
        <f t="shared" si="1"/>
        <v>Valid</v>
      </c>
      <c r="AH62" t="str">
        <f t="shared" si="2"/>
        <v>Valid</v>
      </c>
      <c r="AI62" t="str">
        <f t="shared" si="9"/>
        <v>Valid</v>
      </c>
      <c r="AJ62" t="str">
        <f t="shared" si="10"/>
        <v>Valid</v>
      </c>
      <c r="AK62" t="str">
        <f t="shared" si="11"/>
        <v xml:space="preserve">Valid </v>
      </c>
      <c r="AL62" t="str">
        <f>IF(AND(Audit_Data[[#This Row],[Recency]]&gt;=0,Audit_Data[[#This Row],[Recency]]&lt;=100),"Valid","Invalid")</f>
        <v>Valid</v>
      </c>
      <c r="AM62" t="str">
        <f t="shared" si="3"/>
        <v>Valid</v>
      </c>
      <c r="AN62" t="str">
        <f t="shared" si="4"/>
        <v>Valid</v>
      </c>
      <c r="AO62" t="str">
        <f t="shared" si="5"/>
        <v>Valid</v>
      </c>
      <c r="AP62" t="str">
        <f t="shared" si="12"/>
        <v>Valid</v>
      </c>
      <c r="AQ62" t="str">
        <f>IF(Audit_Data[[#This Row],[Z_CostContact]]=3,"Valid","Invalid")</f>
        <v>Valid</v>
      </c>
      <c r="AR62" t="str">
        <f t="shared" si="6"/>
        <v>Valid</v>
      </c>
      <c r="AS62" t="str">
        <f t="shared" si="7"/>
        <v>Valid</v>
      </c>
    </row>
    <row r="63" spans="1:45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 t="str">
        <f t="shared" si="8"/>
        <v>Ok</v>
      </c>
      <c r="AE63" t="str">
        <f>IF(AND(Audit_Data[[#This Row],[Year_Birth]]&gt;=1900,Audit_Data[[#This Row],[Year_Birth]]&lt;=2010),"OK","Invalid")</f>
        <v>OK</v>
      </c>
      <c r="AF63" t="str">
        <f t="shared" si="0"/>
        <v>Valid</v>
      </c>
      <c r="AG63" t="str">
        <f t="shared" si="1"/>
        <v>Valid</v>
      </c>
      <c r="AH63" t="str">
        <f t="shared" si="2"/>
        <v>Valid</v>
      </c>
      <c r="AI63" t="str">
        <f t="shared" si="9"/>
        <v>Valid</v>
      </c>
      <c r="AJ63" t="str">
        <f t="shared" si="10"/>
        <v>Valid</v>
      </c>
      <c r="AK63" t="str">
        <f t="shared" si="11"/>
        <v xml:space="preserve">Valid </v>
      </c>
      <c r="AL63" t="str">
        <f>IF(AND(Audit_Data[[#This Row],[Recency]]&gt;=0,Audit_Data[[#This Row],[Recency]]&lt;=100),"Valid","Invalid")</f>
        <v>Valid</v>
      </c>
      <c r="AM63" t="str">
        <f t="shared" si="3"/>
        <v>Valid</v>
      </c>
      <c r="AN63" t="str">
        <f t="shared" si="4"/>
        <v>Valid</v>
      </c>
      <c r="AO63" t="str">
        <f t="shared" si="5"/>
        <v>Valid</v>
      </c>
      <c r="AP63" t="str">
        <f t="shared" si="12"/>
        <v>Valid</v>
      </c>
      <c r="AQ63" t="str">
        <f>IF(Audit_Data[[#This Row],[Z_CostContact]]=3,"Valid","Invalid")</f>
        <v>Valid</v>
      </c>
      <c r="AR63" t="str">
        <f t="shared" si="6"/>
        <v>Valid</v>
      </c>
      <c r="AS63" t="str">
        <f t="shared" si="7"/>
        <v>Valid</v>
      </c>
    </row>
    <row r="64" spans="1:45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 t="str">
        <f t="shared" si="8"/>
        <v>Ok</v>
      </c>
      <c r="AE64" t="str">
        <f>IF(AND(Audit_Data[[#This Row],[Year_Birth]]&gt;=1900,Audit_Data[[#This Row],[Year_Birth]]&lt;=2010),"OK","Invalid")</f>
        <v>OK</v>
      </c>
      <c r="AF64" t="str">
        <f t="shared" si="0"/>
        <v>Valid</v>
      </c>
      <c r="AG64" t="str">
        <f t="shared" si="1"/>
        <v>Valid</v>
      </c>
      <c r="AH64" t="str">
        <f t="shared" si="2"/>
        <v>Valid</v>
      </c>
      <c r="AI64" t="str">
        <f t="shared" si="9"/>
        <v>Valid</v>
      </c>
      <c r="AJ64" t="str">
        <f t="shared" si="10"/>
        <v>Valid</v>
      </c>
      <c r="AK64" t="str">
        <f t="shared" si="11"/>
        <v xml:space="preserve">Valid </v>
      </c>
      <c r="AL64" t="str">
        <f>IF(AND(Audit_Data[[#This Row],[Recency]]&gt;=0,Audit_Data[[#This Row],[Recency]]&lt;=100),"Valid","Invalid")</f>
        <v>Valid</v>
      </c>
      <c r="AM64" t="str">
        <f t="shared" si="3"/>
        <v>Valid</v>
      </c>
      <c r="AN64" t="str">
        <f t="shared" si="4"/>
        <v>Valid</v>
      </c>
      <c r="AO64" t="str">
        <f t="shared" si="5"/>
        <v>Valid</v>
      </c>
      <c r="AP64" t="str">
        <f t="shared" si="12"/>
        <v>Valid</v>
      </c>
      <c r="AQ64" t="str">
        <f>IF(Audit_Data[[#This Row],[Z_CostContact]]=3,"Valid","Invalid")</f>
        <v>Valid</v>
      </c>
      <c r="AR64" t="str">
        <f t="shared" si="6"/>
        <v>Valid</v>
      </c>
      <c r="AS64" t="str">
        <f t="shared" si="7"/>
        <v>Valid</v>
      </c>
    </row>
    <row r="65" spans="1:45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 t="str">
        <f t="shared" si="8"/>
        <v>Ok</v>
      </c>
      <c r="AE65" t="str">
        <f>IF(AND(Audit_Data[[#This Row],[Year_Birth]]&gt;=1900,Audit_Data[[#This Row],[Year_Birth]]&lt;=2010),"OK","Invalid")</f>
        <v>OK</v>
      </c>
      <c r="AF65" t="str">
        <f t="shared" si="0"/>
        <v>Valid</v>
      </c>
      <c r="AG65" t="str">
        <f t="shared" si="1"/>
        <v>Valid</v>
      </c>
      <c r="AH65" t="str">
        <f t="shared" si="2"/>
        <v>Valid</v>
      </c>
      <c r="AI65" t="str">
        <f t="shared" si="9"/>
        <v>Valid</v>
      </c>
      <c r="AJ65" t="str">
        <f t="shared" si="10"/>
        <v>Valid</v>
      </c>
      <c r="AK65" t="str">
        <f t="shared" si="11"/>
        <v xml:space="preserve">Valid </v>
      </c>
      <c r="AL65" t="str">
        <f>IF(AND(Audit_Data[[#This Row],[Recency]]&gt;=0,Audit_Data[[#This Row],[Recency]]&lt;=100),"Valid","Invalid")</f>
        <v>Valid</v>
      </c>
      <c r="AM65" t="str">
        <f t="shared" si="3"/>
        <v>Valid</v>
      </c>
      <c r="AN65" t="str">
        <f t="shared" si="4"/>
        <v>Valid</v>
      </c>
      <c r="AO65" t="str">
        <f t="shared" si="5"/>
        <v>Valid</v>
      </c>
      <c r="AP65" t="str">
        <f t="shared" si="12"/>
        <v>Valid</v>
      </c>
      <c r="AQ65" t="str">
        <f>IF(Audit_Data[[#This Row],[Z_CostContact]]=3,"Valid","Invalid")</f>
        <v>Valid</v>
      </c>
      <c r="AR65" t="str">
        <f t="shared" si="6"/>
        <v>Valid</v>
      </c>
      <c r="AS65" t="str">
        <f t="shared" si="7"/>
        <v>Valid</v>
      </c>
    </row>
    <row r="66" spans="1:45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 t="str">
        <f t="shared" ref="AD66:AD129" si="13">IF(COUNTIF(A:A,A66)&gt;1,"Duplicate","Ok")</f>
        <v>Ok</v>
      </c>
      <c r="AE66" t="str">
        <f>IF(AND(Audit_Data[[#This Row],[Year_Birth]]&gt;=1900,Audit_Data[[#This Row],[Year_Birth]]&lt;=2010),"OK","Invalid")</f>
        <v>OK</v>
      </c>
      <c r="AF66" t="str">
        <f t="shared" ref="AF66:AF129" si="14">IF(OR(C66="Graduation",C66="phD",C66="Master",C66="Basic",C66="2n Cycle"),"Valid","Invalid")</f>
        <v>Valid</v>
      </c>
      <c r="AG66" t="str">
        <f t="shared" ref="AG66:AG129" si="15">IF(OR(D66="Single",D66="Married",D66="Divorced",D66="Together",D66="Widow",D66="Alone"),"Valid","Invalid")</f>
        <v>Valid</v>
      </c>
      <c r="AH66" t="str">
        <f t="shared" ref="AH66:AH129" si="16">IF(AND(ISNUMBER(E66),E66&lt;&gt;""),"Valid","Invalid")</f>
        <v>Valid</v>
      </c>
      <c r="AI66" t="str">
        <f t="shared" ref="AI66:AI129" si="17">IF(AND(F66&gt;=0,F66&lt;=2),"Valid","Invalid")</f>
        <v>Valid</v>
      </c>
      <c r="AJ66" t="str">
        <f t="shared" ref="AJ66:AJ129" si="18">IF(AND(G66&gt;=0,G66&lt;=2),"Valid","Invalid")</f>
        <v>Valid</v>
      </c>
      <c r="AK66" t="str">
        <f t="shared" si="11"/>
        <v xml:space="preserve">Valid </v>
      </c>
      <c r="AL66" t="str">
        <f>IF(AND(Audit_Data[[#This Row],[Recency]]&gt;=0,Audit_Data[[#This Row],[Recency]]&lt;=100),"Valid","Invalid")</f>
        <v>Valid</v>
      </c>
      <c r="AM66" t="str">
        <f t="shared" ref="AM66:AM129" si="19">IF(AND(ISNUMBER(J66),J66&gt;=0,ISNUMBER(K66),K66&gt;=0,ISNUMBER(L66),L66&gt;=0,ISNUMBER(M66),M66&gt;=0,ISNUMBER(N66),N66&gt;=0,ISNUMBER(O66),O66&gt;=0),"Valid","Invalid")</f>
        <v>Valid</v>
      </c>
      <c r="AN66" t="str">
        <f t="shared" ref="AN66:AN129" si="20">IF(AND(ISNUMBER(P66),P66&gt;=0,ISNUMBER(Q66),Q66&gt;=0,ISNUMBER(R66),R66&gt;=0,ISNUMBER(S66),S66&gt;=0,ISNUMBER(T66),T66&gt;=0),"Valid","Invalid")</f>
        <v>Valid</v>
      </c>
      <c r="AO66" t="str">
        <f t="shared" ref="AO66:AO129" si="21">IF(AND(U66&lt;=1,V66&lt;=1,W66&lt;=1,X66&lt;=1,Y66&lt;=1),"Valid","Invalid")</f>
        <v>Valid</v>
      </c>
      <c r="AP66" t="str">
        <f t="shared" ref="AP66:AP129" si="22">IF(OR(Z66=0,Z66=1),"Valid","Invalid")</f>
        <v>Valid</v>
      </c>
      <c r="AQ66" t="str">
        <f>IF(Audit_Data[[#This Row],[Z_CostContact]]=3,"Valid","Invalid")</f>
        <v>Valid</v>
      </c>
      <c r="AR66" t="str">
        <f t="shared" ref="AR66:AR129" si="23">IF(AB66=11,"Valid","Invalid")</f>
        <v>Valid</v>
      </c>
      <c r="AS66" t="str">
        <f t="shared" ref="AS66:AS129" si="24">IF(OR(AC66=0,AC66=1),"Valid","Invalid")</f>
        <v>Valid</v>
      </c>
    </row>
    <row r="67" spans="1:45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 t="str">
        <f t="shared" si="13"/>
        <v>Ok</v>
      </c>
      <c r="AE67" t="str">
        <f>IF(AND(Audit_Data[[#This Row],[Year_Birth]]&gt;=1900,Audit_Data[[#This Row],[Year_Birth]]&lt;=2010),"OK","Invalid")</f>
        <v>OK</v>
      </c>
      <c r="AF67" t="str">
        <f t="shared" si="14"/>
        <v>Valid</v>
      </c>
      <c r="AG67" t="str">
        <f t="shared" si="15"/>
        <v>Valid</v>
      </c>
      <c r="AH67" t="str">
        <f t="shared" si="16"/>
        <v>Valid</v>
      </c>
      <c r="AI67" t="str">
        <f t="shared" si="17"/>
        <v>Valid</v>
      </c>
      <c r="AJ67" t="str">
        <f t="shared" si="18"/>
        <v>Valid</v>
      </c>
      <c r="AK67" t="str">
        <f t="shared" ref="AK67:AK130" si="25">IF(AND(ISNUMBER(H67),H67&gt;=DATE(2012,1,1),H67&lt;=DATE(2014,12,31)),"Valid ","Invalid")</f>
        <v xml:space="preserve">Valid </v>
      </c>
      <c r="AL67" t="str">
        <f>IF(AND(Audit_Data[[#This Row],[Recency]]&gt;=0,Audit_Data[[#This Row],[Recency]]&lt;=100),"Valid","Invalid")</f>
        <v>Valid</v>
      </c>
      <c r="AM67" t="str">
        <f t="shared" si="19"/>
        <v>Valid</v>
      </c>
      <c r="AN67" t="str">
        <f t="shared" si="20"/>
        <v>Valid</v>
      </c>
      <c r="AO67" t="str">
        <f t="shared" si="21"/>
        <v>Valid</v>
      </c>
      <c r="AP67" t="str">
        <f t="shared" si="22"/>
        <v>Valid</v>
      </c>
      <c r="AQ67" t="str">
        <f>IF(Audit_Data[[#This Row],[Z_CostContact]]=3,"Valid","Invalid")</f>
        <v>Valid</v>
      </c>
      <c r="AR67" t="str">
        <f t="shared" si="23"/>
        <v>Valid</v>
      </c>
      <c r="AS67" t="str">
        <f t="shared" si="24"/>
        <v>Valid</v>
      </c>
    </row>
    <row r="68" spans="1:45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 t="str">
        <f t="shared" si="13"/>
        <v>Ok</v>
      </c>
      <c r="AE68" t="str">
        <f>IF(AND(Audit_Data[[#This Row],[Year_Birth]]&gt;=1900,Audit_Data[[#This Row],[Year_Birth]]&lt;=2010),"OK","Invalid")</f>
        <v>OK</v>
      </c>
      <c r="AF68" t="str">
        <f t="shared" si="14"/>
        <v>Valid</v>
      </c>
      <c r="AG68" t="str">
        <f t="shared" si="15"/>
        <v>Valid</v>
      </c>
      <c r="AH68" t="str">
        <f t="shared" si="16"/>
        <v>Valid</v>
      </c>
      <c r="AI68" t="str">
        <f t="shared" si="17"/>
        <v>Valid</v>
      </c>
      <c r="AJ68" t="str">
        <f t="shared" si="18"/>
        <v>Valid</v>
      </c>
      <c r="AK68" t="str">
        <f t="shared" si="25"/>
        <v xml:space="preserve">Valid </v>
      </c>
      <c r="AL68" t="str">
        <f>IF(AND(Audit_Data[[#This Row],[Recency]]&gt;=0,Audit_Data[[#This Row],[Recency]]&lt;=100),"Valid","Invalid")</f>
        <v>Valid</v>
      </c>
      <c r="AM68" t="str">
        <f t="shared" si="19"/>
        <v>Valid</v>
      </c>
      <c r="AN68" t="str">
        <f t="shared" si="20"/>
        <v>Valid</v>
      </c>
      <c r="AO68" t="str">
        <f t="shared" si="21"/>
        <v>Valid</v>
      </c>
      <c r="AP68" t="str">
        <f t="shared" si="22"/>
        <v>Valid</v>
      </c>
      <c r="AQ68" t="str">
        <f>IF(Audit_Data[[#This Row],[Z_CostContact]]=3,"Valid","Invalid")</f>
        <v>Valid</v>
      </c>
      <c r="AR68" t="str">
        <f t="shared" si="23"/>
        <v>Valid</v>
      </c>
      <c r="AS68" t="str">
        <f t="shared" si="24"/>
        <v>Valid</v>
      </c>
    </row>
    <row r="69" spans="1:45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 t="str">
        <f t="shared" si="13"/>
        <v>Ok</v>
      </c>
      <c r="AE69" t="str">
        <f>IF(AND(Audit_Data[[#This Row],[Year_Birth]]&gt;=1900,Audit_Data[[#This Row],[Year_Birth]]&lt;=2010),"OK","Invalid")</f>
        <v>OK</v>
      </c>
      <c r="AF69" t="str">
        <f t="shared" si="14"/>
        <v>Valid</v>
      </c>
      <c r="AG69" t="str">
        <f t="shared" si="15"/>
        <v>Valid</v>
      </c>
      <c r="AH69" t="str">
        <f t="shared" si="16"/>
        <v>Valid</v>
      </c>
      <c r="AI69" t="str">
        <f t="shared" si="17"/>
        <v>Valid</v>
      </c>
      <c r="AJ69" t="str">
        <f t="shared" si="18"/>
        <v>Valid</v>
      </c>
      <c r="AK69" t="str">
        <f t="shared" si="25"/>
        <v xml:space="preserve">Valid </v>
      </c>
      <c r="AL69" t="str">
        <f>IF(AND(Audit_Data[[#This Row],[Recency]]&gt;=0,Audit_Data[[#This Row],[Recency]]&lt;=100),"Valid","Invalid")</f>
        <v>Valid</v>
      </c>
      <c r="AM69" t="str">
        <f t="shared" si="19"/>
        <v>Valid</v>
      </c>
      <c r="AN69" t="str">
        <f t="shared" si="20"/>
        <v>Valid</v>
      </c>
      <c r="AO69" t="str">
        <f t="shared" si="21"/>
        <v>Valid</v>
      </c>
      <c r="AP69" t="str">
        <f t="shared" si="22"/>
        <v>Valid</v>
      </c>
      <c r="AQ69" t="str">
        <f>IF(Audit_Data[[#This Row],[Z_CostContact]]=3,"Valid","Invalid")</f>
        <v>Valid</v>
      </c>
      <c r="AR69" t="str">
        <f t="shared" si="23"/>
        <v>Valid</v>
      </c>
      <c r="AS69" t="str">
        <f t="shared" si="24"/>
        <v>Valid</v>
      </c>
    </row>
    <row r="70" spans="1:45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 t="str">
        <f t="shared" si="13"/>
        <v>Ok</v>
      </c>
      <c r="AE70" t="str">
        <f>IF(AND(Audit_Data[[#This Row],[Year_Birth]]&gt;=1900,Audit_Data[[#This Row],[Year_Birth]]&lt;=2010),"OK","Invalid")</f>
        <v>OK</v>
      </c>
      <c r="AF70" t="str">
        <f t="shared" si="14"/>
        <v>Valid</v>
      </c>
      <c r="AG70" t="str">
        <f t="shared" si="15"/>
        <v>Valid</v>
      </c>
      <c r="AH70" t="str">
        <f t="shared" si="16"/>
        <v>Valid</v>
      </c>
      <c r="AI70" t="str">
        <f t="shared" si="17"/>
        <v>Valid</v>
      </c>
      <c r="AJ70" t="str">
        <f t="shared" si="18"/>
        <v>Valid</v>
      </c>
      <c r="AK70" t="str">
        <f t="shared" si="25"/>
        <v xml:space="preserve">Valid </v>
      </c>
      <c r="AL70" t="str">
        <f>IF(AND(Audit_Data[[#This Row],[Recency]]&gt;=0,Audit_Data[[#This Row],[Recency]]&lt;=100),"Valid","Invalid")</f>
        <v>Valid</v>
      </c>
      <c r="AM70" t="str">
        <f t="shared" si="19"/>
        <v>Valid</v>
      </c>
      <c r="AN70" t="str">
        <f t="shared" si="20"/>
        <v>Valid</v>
      </c>
      <c r="AO70" t="str">
        <f t="shared" si="21"/>
        <v>Valid</v>
      </c>
      <c r="AP70" t="str">
        <f t="shared" si="22"/>
        <v>Valid</v>
      </c>
      <c r="AQ70" t="str">
        <f>IF(Audit_Data[[#This Row],[Z_CostContact]]=3,"Valid","Invalid")</f>
        <v>Valid</v>
      </c>
      <c r="AR70" t="str">
        <f t="shared" si="23"/>
        <v>Valid</v>
      </c>
      <c r="AS70" t="str">
        <f t="shared" si="24"/>
        <v>Valid</v>
      </c>
    </row>
    <row r="71" spans="1:45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 t="str">
        <f t="shared" si="13"/>
        <v>Ok</v>
      </c>
      <c r="AE71" t="str">
        <f>IF(AND(Audit_Data[[#This Row],[Year_Birth]]&gt;=1900,Audit_Data[[#This Row],[Year_Birth]]&lt;=2010),"OK","Invalid")</f>
        <v>OK</v>
      </c>
      <c r="AF71" t="str">
        <f t="shared" si="14"/>
        <v>Valid</v>
      </c>
      <c r="AG71" t="str">
        <f t="shared" si="15"/>
        <v>Valid</v>
      </c>
      <c r="AH71" t="str">
        <f t="shared" si="16"/>
        <v>Valid</v>
      </c>
      <c r="AI71" t="str">
        <f t="shared" si="17"/>
        <v>Valid</v>
      </c>
      <c r="AJ71" t="str">
        <f t="shared" si="18"/>
        <v>Valid</v>
      </c>
      <c r="AK71" t="str">
        <f t="shared" si="25"/>
        <v xml:space="preserve">Valid </v>
      </c>
      <c r="AL71" t="str">
        <f>IF(AND(Audit_Data[[#This Row],[Recency]]&gt;=0,Audit_Data[[#This Row],[Recency]]&lt;=100),"Valid","Invalid")</f>
        <v>Valid</v>
      </c>
      <c r="AM71" t="str">
        <f t="shared" si="19"/>
        <v>Valid</v>
      </c>
      <c r="AN71" t="str">
        <f t="shared" si="20"/>
        <v>Valid</v>
      </c>
      <c r="AO71" t="str">
        <f t="shared" si="21"/>
        <v>Valid</v>
      </c>
      <c r="AP71" t="str">
        <f t="shared" si="22"/>
        <v>Valid</v>
      </c>
      <c r="AQ71" t="str">
        <f>IF(Audit_Data[[#This Row],[Z_CostContact]]=3,"Valid","Invalid")</f>
        <v>Valid</v>
      </c>
      <c r="AR71" t="str">
        <f t="shared" si="23"/>
        <v>Valid</v>
      </c>
      <c r="AS71" t="str">
        <f t="shared" si="24"/>
        <v>Valid</v>
      </c>
    </row>
    <row r="72" spans="1:45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 t="str">
        <f t="shared" si="13"/>
        <v>Ok</v>
      </c>
      <c r="AE72" t="str">
        <f>IF(AND(Audit_Data[[#This Row],[Year_Birth]]&gt;=1900,Audit_Data[[#This Row],[Year_Birth]]&lt;=2010),"OK","Invalid")</f>
        <v>OK</v>
      </c>
      <c r="AF72" t="str">
        <f t="shared" si="14"/>
        <v>Valid</v>
      </c>
      <c r="AG72" t="str">
        <f t="shared" si="15"/>
        <v>Valid</v>
      </c>
      <c r="AH72" t="str">
        <f t="shared" si="16"/>
        <v>Valid</v>
      </c>
      <c r="AI72" t="str">
        <f t="shared" si="17"/>
        <v>Valid</v>
      </c>
      <c r="AJ72" t="str">
        <f t="shared" si="18"/>
        <v>Valid</v>
      </c>
      <c r="AK72" t="str">
        <f t="shared" si="25"/>
        <v xml:space="preserve">Valid </v>
      </c>
      <c r="AL72" t="str">
        <f>IF(AND(Audit_Data[[#This Row],[Recency]]&gt;=0,Audit_Data[[#This Row],[Recency]]&lt;=100),"Valid","Invalid")</f>
        <v>Valid</v>
      </c>
      <c r="AM72" t="str">
        <f t="shared" si="19"/>
        <v>Valid</v>
      </c>
      <c r="AN72" t="str">
        <f t="shared" si="20"/>
        <v>Valid</v>
      </c>
      <c r="AO72" t="str">
        <f t="shared" si="21"/>
        <v>Valid</v>
      </c>
      <c r="AP72" t="str">
        <f t="shared" si="22"/>
        <v>Valid</v>
      </c>
      <c r="AQ72" t="str">
        <f>IF(Audit_Data[[#This Row],[Z_CostContact]]=3,"Valid","Invalid")</f>
        <v>Valid</v>
      </c>
      <c r="AR72" t="str">
        <f t="shared" si="23"/>
        <v>Valid</v>
      </c>
      <c r="AS72" t="str">
        <f t="shared" si="24"/>
        <v>Valid</v>
      </c>
    </row>
    <row r="73" spans="1:45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 t="str">
        <f t="shared" si="13"/>
        <v>Ok</v>
      </c>
      <c r="AE73" t="str">
        <f>IF(AND(Audit_Data[[#This Row],[Year_Birth]]&gt;=1900,Audit_Data[[#This Row],[Year_Birth]]&lt;=2010),"OK","Invalid")</f>
        <v>OK</v>
      </c>
      <c r="AF73" t="str">
        <f t="shared" si="14"/>
        <v>Valid</v>
      </c>
      <c r="AG73" t="str">
        <f t="shared" si="15"/>
        <v>Valid</v>
      </c>
      <c r="AH73" t="str">
        <f t="shared" si="16"/>
        <v>Invalid</v>
      </c>
      <c r="AI73" t="str">
        <f t="shared" si="17"/>
        <v>Valid</v>
      </c>
      <c r="AJ73" t="str">
        <f t="shared" si="18"/>
        <v>Valid</v>
      </c>
      <c r="AK73" t="str">
        <f t="shared" si="25"/>
        <v xml:space="preserve">Valid </v>
      </c>
      <c r="AL73" t="str">
        <f>IF(AND(Audit_Data[[#This Row],[Recency]]&gt;=0,Audit_Data[[#This Row],[Recency]]&lt;=100),"Valid","Invalid")</f>
        <v>Valid</v>
      </c>
      <c r="AM73" t="str">
        <f t="shared" si="19"/>
        <v>Valid</v>
      </c>
      <c r="AN73" t="str">
        <f t="shared" si="20"/>
        <v>Valid</v>
      </c>
      <c r="AO73" t="str">
        <f t="shared" si="21"/>
        <v>Valid</v>
      </c>
      <c r="AP73" t="str">
        <f t="shared" si="22"/>
        <v>Valid</v>
      </c>
      <c r="AQ73" t="str">
        <f>IF(Audit_Data[[#This Row],[Z_CostContact]]=3,"Valid","Invalid")</f>
        <v>Valid</v>
      </c>
      <c r="AR73" t="str">
        <f t="shared" si="23"/>
        <v>Valid</v>
      </c>
      <c r="AS73" t="str">
        <f t="shared" si="24"/>
        <v>Valid</v>
      </c>
    </row>
    <row r="74" spans="1:45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 t="str">
        <f t="shared" si="13"/>
        <v>Ok</v>
      </c>
      <c r="AE74" t="str">
        <f>IF(AND(Audit_Data[[#This Row],[Year_Birth]]&gt;=1900,Audit_Data[[#This Row],[Year_Birth]]&lt;=2010),"OK","Invalid")</f>
        <v>OK</v>
      </c>
      <c r="AF74" t="str">
        <f t="shared" si="14"/>
        <v>Valid</v>
      </c>
      <c r="AG74" t="str">
        <f t="shared" si="15"/>
        <v>Valid</v>
      </c>
      <c r="AH74" t="str">
        <f t="shared" si="16"/>
        <v>Valid</v>
      </c>
      <c r="AI74" t="str">
        <f t="shared" si="17"/>
        <v>Valid</v>
      </c>
      <c r="AJ74" t="str">
        <f t="shared" si="18"/>
        <v>Valid</v>
      </c>
      <c r="AK74" t="str">
        <f t="shared" si="25"/>
        <v xml:space="preserve">Valid </v>
      </c>
      <c r="AL74" t="str">
        <f>IF(AND(Audit_Data[[#This Row],[Recency]]&gt;=0,Audit_Data[[#This Row],[Recency]]&lt;=100),"Valid","Invalid")</f>
        <v>Valid</v>
      </c>
      <c r="AM74" t="str">
        <f t="shared" si="19"/>
        <v>Valid</v>
      </c>
      <c r="AN74" t="str">
        <f t="shared" si="20"/>
        <v>Valid</v>
      </c>
      <c r="AO74" t="str">
        <f t="shared" si="21"/>
        <v>Valid</v>
      </c>
      <c r="AP74" t="str">
        <f t="shared" si="22"/>
        <v>Valid</v>
      </c>
      <c r="AQ74" t="str">
        <f>IF(Audit_Data[[#This Row],[Z_CostContact]]=3,"Valid","Invalid")</f>
        <v>Valid</v>
      </c>
      <c r="AR74" t="str">
        <f t="shared" si="23"/>
        <v>Valid</v>
      </c>
      <c r="AS74" t="str">
        <f t="shared" si="24"/>
        <v>Valid</v>
      </c>
    </row>
    <row r="75" spans="1:45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 t="str">
        <f t="shared" si="13"/>
        <v>Ok</v>
      </c>
      <c r="AE75" t="str">
        <f>IF(AND(Audit_Data[[#This Row],[Year_Birth]]&gt;=1900,Audit_Data[[#This Row],[Year_Birth]]&lt;=2010),"OK","Invalid")</f>
        <v>OK</v>
      </c>
      <c r="AF75" t="str">
        <f t="shared" si="14"/>
        <v>Valid</v>
      </c>
      <c r="AG75" t="str">
        <f t="shared" si="15"/>
        <v>Valid</v>
      </c>
      <c r="AH75" t="str">
        <f t="shared" si="16"/>
        <v>Valid</v>
      </c>
      <c r="AI75" t="str">
        <f t="shared" si="17"/>
        <v>Valid</v>
      </c>
      <c r="AJ75" t="str">
        <f t="shared" si="18"/>
        <v>Valid</v>
      </c>
      <c r="AK75" t="str">
        <f t="shared" si="25"/>
        <v xml:space="preserve">Valid </v>
      </c>
      <c r="AL75" t="str">
        <f>IF(AND(Audit_Data[[#This Row],[Recency]]&gt;=0,Audit_Data[[#This Row],[Recency]]&lt;=100),"Valid","Invalid")</f>
        <v>Valid</v>
      </c>
      <c r="AM75" t="str">
        <f t="shared" si="19"/>
        <v>Valid</v>
      </c>
      <c r="AN75" t="str">
        <f t="shared" si="20"/>
        <v>Valid</v>
      </c>
      <c r="AO75" t="str">
        <f t="shared" si="21"/>
        <v>Valid</v>
      </c>
      <c r="AP75" t="str">
        <f t="shared" si="22"/>
        <v>Valid</v>
      </c>
      <c r="AQ75" t="str">
        <f>IF(Audit_Data[[#This Row],[Z_CostContact]]=3,"Valid","Invalid")</f>
        <v>Valid</v>
      </c>
      <c r="AR75" t="str">
        <f t="shared" si="23"/>
        <v>Valid</v>
      </c>
      <c r="AS75" t="str">
        <f t="shared" si="24"/>
        <v>Valid</v>
      </c>
    </row>
    <row r="76" spans="1:45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 t="str">
        <f t="shared" si="13"/>
        <v>Ok</v>
      </c>
      <c r="AE76" t="str">
        <f>IF(AND(Audit_Data[[#This Row],[Year_Birth]]&gt;=1900,Audit_Data[[#This Row],[Year_Birth]]&lt;=2010),"OK","Invalid")</f>
        <v>OK</v>
      </c>
      <c r="AF76" t="str">
        <f t="shared" si="14"/>
        <v>Valid</v>
      </c>
      <c r="AG76" t="str">
        <f t="shared" si="15"/>
        <v>Valid</v>
      </c>
      <c r="AH76" t="str">
        <f t="shared" si="16"/>
        <v>Valid</v>
      </c>
      <c r="AI76" t="str">
        <f t="shared" si="17"/>
        <v>Valid</v>
      </c>
      <c r="AJ76" t="str">
        <f t="shared" si="18"/>
        <v>Valid</v>
      </c>
      <c r="AK76" t="str">
        <f t="shared" si="25"/>
        <v xml:space="preserve">Valid </v>
      </c>
      <c r="AL76" t="str">
        <f>IF(AND(Audit_Data[[#This Row],[Recency]]&gt;=0,Audit_Data[[#This Row],[Recency]]&lt;=100),"Valid","Invalid")</f>
        <v>Valid</v>
      </c>
      <c r="AM76" t="str">
        <f t="shared" si="19"/>
        <v>Valid</v>
      </c>
      <c r="AN76" t="str">
        <f t="shared" si="20"/>
        <v>Valid</v>
      </c>
      <c r="AO76" t="str">
        <f t="shared" si="21"/>
        <v>Valid</v>
      </c>
      <c r="AP76" t="str">
        <f t="shared" si="22"/>
        <v>Valid</v>
      </c>
      <c r="AQ76" t="str">
        <f>IF(Audit_Data[[#This Row],[Z_CostContact]]=3,"Valid","Invalid")</f>
        <v>Valid</v>
      </c>
      <c r="AR76" t="str">
        <f t="shared" si="23"/>
        <v>Valid</v>
      </c>
      <c r="AS76" t="str">
        <f t="shared" si="24"/>
        <v>Valid</v>
      </c>
    </row>
    <row r="77" spans="1:45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 t="str">
        <f t="shared" si="13"/>
        <v>Ok</v>
      </c>
      <c r="AE77" t="str">
        <f>IF(AND(Audit_Data[[#This Row],[Year_Birth]]&gt;=1900,Audit_Data[[#This Row],[Year_Birth]]&lt;=2010),"OK","Invalid")</f>
        <v>OK</v>
      </c>
      <c r="AF77" t="str">
        <f t="shared" si="14"/>
        <v>Valid</v>
      </c>
      <c r="AG77" t="str">
        <f t="shared" si="15"/>
        <v>Valid</v>
      </c>
      <c r="AH77" t="str">
        <f t="shared" si="16"/>
        <v>Valid</v>
      </c>
      <c r="AI77" t="str">
        <f t="shared" si="17"/>
        <v>Valid</v>
      </c>
      <c r="AJ77" t="str">
        <f t="shared" si="18"/>
        <v>Valid</v>
      </c>
      <c r="AK77" t="str">
        <f t="shared" si="25"/>
        <v xml:space="preserve">Valid </v>
      </c>
      <c r="AL77" t="str">
        <f>IF(AND(Audit_Data[[#This Row],[Recency]]&gt;=0,Audit_Data[[#This Row],[Recency]]&lt;=100),"Valid","Invalid")</f>
        <v>Valid</v>
      </c>
      <c r="AM77" t="str">
        <f t="shared" si="19"/>
        <v>Valid</v>
      </c>
      <c r="AN77" t="str">
        <f t="shared" si="20"/>
        <v>Valid</v>
      </c>
      <c r="AO77" t="str">
        <f t="shared" si="21"/>
        <v>Valid</v>
      </c>
      <c r="AP77" t="str">
        <f t="shared" si="22"/>
        <v>Valid</v>
      </c>
      <c r="AQ77" t="str">
        <f>IF(Audit_Data[[#This Row],[Z_CostContact]]=3,"Valid","Invalid")</f>
        <v>Valid</v>
      </c>
      <c r="AR77" t="str">
        <f t="shared" si="23"/>
        <v>Valid</v>
      </c>
      <c r="AS77" t="str">
        <f t="shared" si="24"/>
        <v>Valid</v>
      </c>
    </row>
    <row r="78" spans="1:45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 t="str">
        <f t="shared" si="13"/>
        <v>Ok</v>
      </c>
      <c r="AE78" t="str">
        <f>IF(AND(Audit_Data[[#This Row],[Year_Birth]]&gt;=1900,Audit_Data[[#This Row],[Year_Birth]]&lt;=2010),"OK","Invalid")</f>
        <v>OK</v>
      </c>
      <c r="AF78" t="str">
        <f t="shared" si="14"/>
        <v>Valid</v>
      </c>
      <c r="AG78" t="str">
        <f t="shared" si="15"/>
        <v>Valid</v>
      </c>
      <c r="AH78" t="str">
        <f t="shared" si="16"/>
        <v>Valid</v>
      </c>
      <c r="AI78" t="str">
        <f t="shared" si="17"/>
        <v>Valid</v>
      </c>
      <c r="AJ78" t="str">
        <f t="shared" si="18"/>
        <v>Valid</v>
      </c>
      <c r="AK78" t="str">
        <f t="shared" si="25"/>
        <v xml:space="preserve">Valid </v>
      </c>
      <c r="AL78" t="str">
        <f>IF(AND(Audit_Data[[#This Row],[Recency]]&gt;=0,Audit_Data[[#This Row],[Recency]]&lt;=100),"Valid","Invalid")</f>
        <v>Valid</v>
      </c>
      <c r="AM78" t="str">
        <f t="shared" si="19"/>
        <v>Valid</v>
      </c>
      <c r="AN78" t="str">
        <f t="shared" si="20"/>
        <v>Valid</v>
      </c>
      <c r="AO78" t="str">
        <f t="shared" si="21"/>
        <v>Valid</v>
      </c>
      <c r="AP78" t="str">
        <f t="shared" si="22"/>
        <v>Valid</v>
      </c>
      <c r="AQ78" t="str">
        <f>IF(Audit_Data[[#This Row],[Z_CostContact]]=3,"Valid","Invalid")</f>
        <v>Valid</v>
      </c>
      <c r="AR78" t="str">
        <f t="shared" si="23"/>
        <v>Valid</v>
      </c>
      <c r="AS78" t="str">
        <f t="shared" si="24"/>
        <v>Valid</v>
      </c>
    </row>
    <row r="79" spans="1:45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 t="str">
        <f t="shared" si="13"/>
        <v>Ok</v>
      </c>
      <c r="AE79" t="str">
        <f>IF(AND(Audit_Data[[#This Row],[Year_Birth]]&gt;=1900,Audit_Data[[#This Row],[Year_Birth]]&lt;=2010),"OK","Invalid")</f>
        <v>OK</v>
      </c>
      <c r="AF79" t="str">
        <f t="shared" si="14"/>
        <v>Valid</v>
      </c>
      <c r="AG79" t="str">
        <f t="shared" si="15"/>
        <v>Valid</v>
      </c>
      <c r="AH79" t="str">
        <f t="shared" si="16"/>
        <v>Valid</v>
      </c>
      <c r="AI79" t="str">
        <f t="shared" si="17"/>
        <v>Valid</v>
      </c>
      <c r="AJ79" t="str">
        <f t="shared" si="18"/>
        <v>Valid</v>
      </c>
      <c r="AK79" t="str">
        <f t="shared" si="25"/>
        <v xml:space="preserve">Valid </v>
      </c>
      <c r="AL79" t="str">
        <f>IF(AND(Audit_Data[[#This Row],[Recency]]&gt;=0,Audit_Data[[#This Row],[Recency]]&lt;=100),"Valid","Invalid")</f>
        <v>Valid</v>
      </c>
      <c r="AM79" t="str">
        <f t="shared" si="19"/>
        <v>Valid</v>
      </c>
      <c r="AN79" t="str">
        <f t="shared" si="20"/>
        <v>Valid</v>
      </c>
      <c r="AO79" t="str">
        <f t="shared" si="21"/>
        <v>Valid</v>
      </c>
      <c r="AP79" t="str">
        <f t="shared" si="22"/>
        <v>Valid</v>
      </c>
      <c r="AQ79" t="str">
        <f>IF(Audit_Data[[#This Row],[Z_CostContact]]=3,"Valid","Invalid")</f>
        <v>Valid</v>
      </c>
      <c r="AR79" t="str">
        <f t="shared" si="23"/>
        <v>Valid</v>
      </c>
      <c r="AS79" t="str">
        <f t="shared" si="24"/>
        <v>Valid</v>
      </c>
    </row>
    <row r="80" spans="1:45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 t="str">
        <f t="shared" si="13"/>
        <v>Ok</v>
      </c>
      <c r="AE80" t="str">
        <f>IF(AND(Audit_Data[[#This Row],[Year_Birth]]&gt;=1900,Audit_Data[[#This Row],[Year_Birth]]&lt;=2010),"OK","Invalid")</f>
        <v>OK</v>
      </c>
      <c r="AF80" t="str">
        <f t="shared" si="14"/>
        <v>Valid</v>
      </c>
      <c r="AG80" t="str">
        <f t="shared" si="15"/>
        <v>Valid</v>
      </c>
      <c r="AH80" t="str">
        <f t="shared" si="16"/>
        <v>Valid</v>
      </c>
      <c r="AI80" t="str">
        <f t="shared" si="17"/>
        <v>Valid</v>
      </c>
      <c r="AJ80" t="str">
        <f t="shared" si="18"/>
        <v>Valid</v>
      </c>
      <c r="AK80" t="str">
        <f t="shared" si="25"/>
        <v xml:space="preserve">Valid </v>
      </c>
      <c r="AL80" t="str">
        <f>IF(AND(Audit_Data[[#This Row],[Recency]]&gt;=0,Audit_Data[[#This Row],[Recency]]&lt;=100),"Valid","Invalid")</f>
        <v>Valid</v>
      </c>
      <c r="AM80" t="str">
        <f t="shared" si="19"/>
        <v>Valid</v>
      </c>
      <c r="AN80" t="str">
        <f t="shared" si="20"/>
        <v>Valid</v>
      </c>
      <c r="AO80" t="str">
        <f t="shared" si="21"/>
        <v>Valid</v>
      </c>
      <c r="AP80" t="str">
        <f t="shared" si="22"/>
        <v>Valid</v>
      </c>
      <c r="AQ80" t="str">
        <f>IF(Audit_Data[[#This Row],[Z_CostContact]]=3,"Valid","Invalid")</f>
        <v>Valid</v>
      </c>
      <c r="AR80" t="str">
        <f t="shared" si="23"/>
        <v>Valid</v>
      </c>
      <c r="AS80" t="str">
        <f t="shared" si="24"/>
        <v>Valid</v>
      </c>
    </row>
    <row r="81" spans="1:45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 t="str">
        <f t="shared" si="13"/>
        <v>Ok</v>
      </c>
      <c r="AE81" t="str">
        <f>IF(AND(Audit_Data[[#This Row],[Year_Birth]]&gt;=1900,Audit_Data[[#This Row],[Year_Birth]]&lt;=2010),"OK","Invalid")</f>
        <v>OK</v>
      </c>
      <c r="AF81" t="str">
        <f t="shared" si="14"/>
        <v>Valid</v>
      </c>
      <c r="AG81" t="str">
        <f t="shared" si="15"/>
        <v>Valid</v>
      </c>
      <c r="AH81" t="str">
        <f t="shared" si="16"/>
        <v>Valid</v>
      </c>
      <c r="AI81" t="str">
        <f t="shared" si="17"/>
        <v>Valid</v>
      </c>
      <c r="AJ81" t="str">
        <f t="shared" si="18"/>
        <v>Valid</v>
      </c>
      <c r="AK81" t="str">
        <f t="shared" si="25"/>
        <v xml:space="preserve">Valid </v>
      </c>
      <c r="AL81" t="str">
        <f>IF(AND(Audit_Data[[#This Row],[Recency]]&gt;=0,Audit_Data[[#This Row],[Recency]]&lt;=100),"Valid","Invalid")</f>
        <v>Valid</v>
      </c>
      <c r="AM81" t="str">
        <f t="shared" si="19"/>
        <v>Valid</v>
      </c>
      <c r="AN81" t="str">
        <f t="shared" si="20"/>
        <v>Valid</v>
      </c>
      <c r="AO81" t="str">
        <f t="shared" si="21"/>
        <v>Valid</v>
      </c>
      <c r="AP81" t="str">
        <f t="shared" si="22"/>
        <v>Valid</v>
      </c>
      <c r="AQ81" t="str">
        <f>IF(Audit_Data[[#This Row],[Z_CostContact]]=3,"Valid","Invalid")</f>
        <v>Valid</v>
      </c>
      <c r="AR81" t="str">
        <f t="shared" si="23"/>
        <v>Valid</v>
      </c>
      <c r="AS81" t="str">
        <f t="shared" si="24"/>
        <v>Valid</v>
      </c>
    </row>
    <row r="82" spans="1:45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 t="str">
        <f t="shared" si="13"/>
        <v>Ok</v>
      </c>
      <c r="AE82" t="str">
        <f>IF(AND(Audit_Data[[#This Row],[Year_Birth]]&gt;=1900,Audit_Data[[#This Row],[Year_Birth]]&lt;=2010),"OK","Invalid")</f>
        <v>OK</v>
      </c>
      <c r="AF82" t="str">
        <f t="shared" si="14"/>
        <v>Valid</v>
      </c>
      <c r="AG82" t="str">
        <f t="shared" si="15"/>
        <v>Valid</v>
      </c>
      <c r="AH82" t="str">
        <f t="shared" si="16"/>
        <v>Valid</v>
      </c>
      <c r="AI82" t="str">
        <f t="shared" si="17"/>
        <v>Valid</v>
      </c>
      <c r="AJ82" t="str">
        <f t="shared" si="18"/>
        <v>Valid</v>
      </c>
      <c r="AK82" t="str">
        <f t="shared" si="25"/>
        <v xml:space="preserve">Valid </v>
      </c>
      <c r="AL82" t="str">
        <f>IF(AND(Audit_Data[[#This Row],[Recency]]&gt;=0,Audit_Data[[#This Row],[Recency]]&lt;=100),"Valid","Invalid")</f>
        <v>Valid</v>
      </c>
      <c r="AM82" t="str">
        <f t="shared" si="19"/>
        <v>Valid</v>
      </c>
      <c r="AN82" t="str">
        <f t="shared" si="20"/>
        <v>Valid</v>
      </c>
      <c r="AO82" t="str">
        <f t="shared" si="21"/>
        <v>Valid</v>
      </c>
      <c r="AP82" t="str">
        <f t="shared" si="22"/>
        <v>Valid</v>
      </c>
      <c r="AQ82" t="str">
        <f>IF(Audit_Data[[#This Row],[Z_CostContact]]=3,"Valid","Invalid")</f>
        <v>Valid</v>
      </c>
      <c r="AR82" t="str">
        <f t="shared" si="23"/>
        <v>Valid</v>
      </c>
      <c r="AS82" t="str">
        <f t="shared" si="24"/>
        <v>Valid</v>
      </c>
    </row>
    <row r="83" spans="1:45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 t="str">
        <f t="shared" si="13"/>
        <v>Ok</v>
      </c>
      <c r="AE83" t="str">
        <f>IF(AND(Audit_Data[[#This Row],[Year_Birth]]&gt;=1900,Audit_Data[[#This Row],[Year_Birth]]&lt;=2010),"OK","Invalid")</f>
        <v>OK</v>
      </c>
      <c r="AF83" t="str">
        <f t="shared" si="14"/>
        <v>Valid</v>
      </c>
      <c r="AG83" t="str">
        <f t="shared" si="15"/>
        <v>Valid</v>
      </c>
      <c r="AH83" t="str">
        <f t="shared" si="16"/>
        <v>Valid</v>
      </c>
      <c r="AI83" t="str">
        <f t="shared" si="17"/>
        <v>Valid</v>
      </c>
      <c r="AJ83" t="str">
        <f t="shared" si="18"/>
        <v>Valid</v>
      </c>
      <c r="AK83" t="str">
        <f t="shared" si="25"/>
        <v xml:space="preserve">Valid </v>
      </c>
      <c r="AL83" t="str">
        <f>IF(AND(Audit_Data[[#This Row],[Recency]]&gt;=0,Audit_Data[[#This Row],[Recency]]&lt;=100),"Valid","Invalid")</f>
        <v>Valid</v>
      </c>
      <c r="AM83" t="str">
        <f t="shared" si="19"/>
        <v>Valid</v>
      </c>
      <c r="AN83" t="str">
        <f t="shared" si="20"/>
        <v>Valid</v>
      </c>
      <c r="AO83" t="str">
        <f t="shared" si="21"/>
        <v>Valid</v>
      </c>
      <c r="AP83" t="str">
        <f t="shared" si="22"/>
        <v>Valid</v>
      </c>
      <c r="AQ83" t="str">
        <f>IF(Audit_Data[[#This Row],[Z_CostContact]]=3,"Valid","Invalid")</f>
        <v>Valid</v>
      </c>
      <c r="AR83" t="str">
        <f t="shared" si="23"/>
        <v>Valid</v>
      </c>
      <c r="AS83" t="str">
        <f t="shared" si="24"/>
        <v>Valid</v>
      </c>
    </row>
    <row r="84" spans="1:45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 t="str">
        <f t="shared" si="13"/>
        <v>Ok</v>
      </c>
      <c r="AE84" t="str">
        <f>IF(AND(Audit_Data[[#This Row],[Year_Birth]]&gt;=1900,Audit_Data[[#This Row],[Year_Birth]]&lt;=2010),"OK","Invalid")</f>
        <v>OK</v>
      </c>
      <c r="AF84" t="str">
        <f t="shared" si="14"/>
        <v>Valid</v>
      </c>
      <c r="AG84" t="str">
        <f t="shared" si="15"/>
        <v>Valid</v>
      </c>
      <c r="AH84" t="str">
        <f t="shared" si="16"/>
        <v>Valid</v>
      </c>
      <c r="AI84" t="str">
        <f t="shared" si="17"/>
        <v>Valid</v>
      </c>
      <c r="AJ84" t="str">
        <f t="shared" si="18"/>
        <v>Valid</v>
      </c>
      <c r="AK84" t="str">
        <f t="shared" si="25"/>
        <v xml:space="preserve">Valid </v>
      </c>
      <c r="AL84" t="str">
        <f>IF(AND(Audit_Data[[#This Row],[Recency]]&gt;=0,Audit_Data[[#This Row],[Recency]]&lt;=100),"Valid","Invalid")</f>
        <v>Valid</v>
      </c>
      <c r="AM84" t="str">
        <f t="shared" si="19"/>
        <v>Valid</v>
      </c>
      <c r="AN84" t="str">
        <f t="shared" si="20"/>
        <v>Valid</v>
      </c>
      <c r="AO84" t="str">
        <f t="shared" si="21"/>
        <v>Valid</v>
      </c>
      <c r="AP84" t="str">
        <f t="shared" si="22"/>
        <v>Valid</v>
      </c>
      <c r="AQ84" t="str">
        <f>IF(Audit_Data[[#This Row],[Z_CostContact]]=3,"Valid","Invalid")</f>
        <v>Valid</v>
      </c>
      <c r="AR84" t="str">
        <f t="shared" si="23"/>
        <v>Valid</v>
      </c>
      <c r="AS84" t="str">
        <f t="shared" si="24"/>
        <v>Valid</v>
      </c>
    </row>
    <row r="85" spans="1:45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 t="str">
        <f t="shared" si="13"/>
        <v>Ok</v>
      </c>
      <c r="AE85" t="str">
        <f>IF(AND(Audit_Data[[#This Row],[Year_Birth]]&gt;=1900,Audit_Data[[#This Row],[Year_Birth]]&lt;=2010),"OK","Invalid")</f>
        <v>OK</v>
      </c>
      <c r="AF85" t="str">
        <f t="shared" si="14"/>
        <v>Valid</v>
      </c>
      <c r="AG85" t="str">
        <f t="shared" si="15"/>
        <v>Valid</v>
      </c>
      <c r="AH85" t="str">
        <f t="shared" si="16"/>
        <v>Valid</v>
      </c>
      <c r="AI85" t="str">
        <f t="shared" si="17"/>
        <v>Valid</v>
      </c>
      <c r="AJ85" t="str">
        <f t="shared" si="18"/>
        <v>Valid</v>
      </c>
      <c r="AK85" t="str">
        <f t="shared" si="25"/>
        <v xml:space="preserve">Valid </v>
      </c>
      <c r="AL85" t="str">
        <f>IF(AND(Audit_Data[[#This Row],[Recency]]&gt;=0,Audit_Data[[#This Row],[Recency]]&lt;=100),"Valid","Invalid")</f>
        <v>Valid</v>
      </c>
      <c r="AM85" t="str">
        <f t="shared" si="19"/>
        <v>Valid</v>
      </c>
      <c r="AN85" t="str">
        <f t="shared" si="20"/>
        <v>Valid</v>
      </c>
      <c r="AO85" t="str">
        <f t="shared" si="21"/>
        <v>Valid</v>
      </c>
      <c r="AP85" t="str">
        <f t="shared" si="22"/>
        <v>Valid</v>
      </c>
      <c r="AQ85" t="str">
        <f>IF(Audit_Data[[#This Row],[Z_CostContact]]=3,"Valid","Invalid")</f>
        <v>Valid</v>
      </c>
      <c r="AR85" t="str">
        <f t="shared" si="23"/>
        <v>Valid</v>
      </c>
      <c r="AS85" t="str">
        <f t="shared" si="24"/>
        <v>Valid</v>
      </c>
    </row>
    <row r="86" spans="1:45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 t="str">
        <f t="shared" si="13"/>
        <v>Ok</v>
      </c>
      <c r="AE86" t="str">
        <f>IF(AND(Audit_Data[[#This Row],[Year_Birth]]&gt;=1900,Audit_Data[[#This Row],[Year_Birth]]&lt;=2010),"OK","Invalid")</f>
        <v>OK</v>
      </c>
      <c r="AF86" t="str">
        <f t="shared" si="14"/>
        <v>Valid</v>
      </c>
      <c r="AG86" t="str">
        <f t="shared" si="15"/>
        <v>Valid</v>
      </c>
      <c r="AH86" t="str">
        <f t="shared" si="16"/>
        <v>Valid</v>
      </c>
      <c r="AI86" t="str">
        <f t="shared" si="17"/>
        <v>Valid</v>
      </c>
      <c r="AJ86" t="str">
        <f t="shared" si="18"/>
        <v>Valid</v>
      </c>
      <c r="AK86" t="str">
        <f t="shared" si="25"/>
        <v xml:space="preserve">Valid </v>
      </c>
      <c r="AL86" t="str">
        <f>IF(AND(Audit_Data[[#This Row],[Recency]]&gt;=0,Audit_Data[[#This Row],[Recency]]&lt;=100),"Valid","Invalid")</f>
        <v>Valid</v>
      </c>
      <c r="AM86" t="str">
        <f t="shared" si="19"/>
        <v>Valid</v>
      </c>
      <c r="AN86" t="str">
        <f t="shared" si="20"/>
        <v>Valid</v>
      </c>
      <c r="AO86" t="str">
        <f t="shared" si="21"/>
        <v>Valid</v>
      </c>
      <c r="AP86" t="str">
        <f t="shared" si="22"/>
        <v>Valid</v>
      </c>
      <c r="AQ86" t="str">
        <f>IF(Audit_Data[[#This Row],[Z_CostContact]]=3,"Valid","Invalid")</f>
        <v>Valid</v>
      </c>
      <c r="AR86" t="str">
        <f t="shared" si="23"/>
        <v>Valid</v>
      </c>
      <c r="AS86" t="str">
        <f t="shared" si="24"/>
        <v>Valid</v>
      </c>
    </row>
    <row r="87" spans="1:45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 t="str">
        <f t="shared" si="13"/>
        <v>Ok</v>
      </c>
      <c r="AE87" t="str">
        <f>IF(AND(Audit_Data[[#This Row],[Year_Birth]]&gt;=1900,Audit_Data[[#This Row],[Year_Birth]]&lt;=2010),"OK","Invalid")</f>
        <v>OK</v>
      </c>
      <c r="AF87" t="str">
        <f t="shared" si="14"/>
        <v>Valid</v>
      </c>
      <c r="AG87" t="str">
        <f t="shared" si="15"/>
        <v>Valid</v>
      </c>
      <c r="AH87" t="str">
        <f t="shared" si="16"/>
        <v>Valid</v>
      </c>
      <c r="AI87" t="str">
        <f t="shared" si="17"/>
        <v>Valid</v>
      </c>
      <c r="AJ87" t="str">
        <f t="shared" si="18"/>
        <v>Valid</v>
      </c>
      <c r="AK87" t="str">
        <f t="shared" si="25"/>
        <v xml:space="preserve">Valid </v>
      </c>
      <c r="AL87" t="str">
        <f>IF(AND(Audit_Data[[#This Row],[Recency]]&gt;=0,Audit_Data[[#This Row],[Recency]]&lt;=100),"Valid","Invalid")</f>
        <v>Valid</v>
      </c>
      <c r="AM87" t="str">
        <f t="shared" si="19"/>
        <v>Valid</v>
      </c>
      <c r="AN87" t="str">
        <f t="shared" si="20"/>
        <v>Valid</v>
      </c>
      <c r="AO87" t="str">
        <f t="shared" si="21"/>
        <v>Valid</v>
      </c>
      <c r="AP87" t="str">
        <f t="shared" si="22"/>
        <v>Valid</v>
      </c>
      <c r="AQ87" t="str">
        <f>IF(Audit_Data[[#This Row],[Z_CostContact]]=3,"Valid","Invalid")</f>
        <v>Valid</v>
      </c>
      <c r="AR87" t="str">
        <f t="shared" si="23"/>
        <v>Valid</v>
      </c>
      <c r="AS87" t="str">
        <f t="shared" si="24"/>
        <v>Valid</v>
      </c>
    </row>
    <row r="88" spans="1:45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 t="str">
        <f t="shared" si="13"/>
        <v>Ok</v>
      </c>
      <c r="AE88" t="str">
        <f>IF(AND(Audit_Data[[#This Row],[Year_Birth]]&gt;=1900,Audit_Data[[#This Row],[Year_Birth]]&lt;=2010),"OK","Invalid")</f>
        <v>OK</v>
      </c>
      <c r="AF88" t="str">
        <f t="shared" si="14"/>
        <v>Valid</v>
      </c>
      <c r="AG88" t="str">
        <f t="shared" si="15"/>
        <v>Valid</v>
      </c>
      <c r="AH88" t="str">
        <f t="shared" si="16"/>
        <v>Valid</v>
      </c>
      <c r="AI88" t="str">
        <f t="shared" si="17"/>
        <v>Valid</v>
      </c>
      <c r="AJ88" t="str">
        <f t="shared" si="18"/>
        <v>Valid</v>
      </c>
      <c r="AK88" t="str">
        <f t="shared" si="25"/>
        <v xml:space="preserve">Valid </v>
      </c>
      <c r="AL88" t="str">
        <f>IF(AND(Audit_Data[[#This Row],[Recency]]&gt;=0,Audit_Data[[#This Row],[Recency]]&lt;=100),"Valid","Invalid")</f>
        <v>Valid</v>
      </c>
      <c r="AM88" t="str">
        <f t="shared" si="19"/>
        <v>Valid</v>
      </c>
      <c r="AN88" t="str">
        <f t="shared" si="20"/>
        <v>Valid</v>
      </c>
      <c r="AO88" t="str">
        <f t="shared" si="21"/>
        <v>Valid</v>
      </c>
      <c r="AP88" t="str">
        <f t="shared" si="22"/>
        <v>Valid</v>
      </c>
      <c r="AQ88" t="str">
        <f>IF(Audit_Data[[#This Row],[Z_CostContact]]=3,"Valid","Invalid")</f>
        <v>Valid</v>
      </c>
      <c r="AR88" t="str">
        <f t="shared" si="23"/>
        <v>Valid</v>
      </c>
      <c r="AS88" t="str">
        <f t="shared" si="24"/>
        <v>Valid</v>
      </c>
    </row>
    <row r="89" spans="1:45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 t="str">
        <f t="shared" si="13"/>
        <v>Ok</v>
      </c>
      <c r="AE89" t="str">
        <f>IF(AND(Audit_Data[[#This Row],[Year_Birth]]&gt;=1900,Audit_Data[[#This Row],[Year_Birth]]&lt;=2010),"OK","Invalid")</f>
        <v>OK</v>
      </c>
      <c r="AF89" t="str">
        <f t="shared" si="14"/>
        <v>Valid</v>
      </c>
      <c r="AG89" t="str">
        <f t="shared" si="15"/>
        <v>Valid</v>
      </c>
      <c r="AH89" t="str">
        <f t="shared" si="16"/>
        <v>Valid</v>
      </c>
      <c r="AI89" t="str">
        <f t="shared" si="17"/>
        <v>Valid</v>
      </c>
      <c r="AJ89" t="str">
        <f t="shared" si="18"/>
        <v>Valid</v>
      </c>
      <c r="AK89" t="str">
        <f t="shared" si="25"/>
        <v xml:space="preserve">Valid </v>
      </c>
      <c r="AL89" t="str">
        <f>IF(AND(Audit_Data[[#This Row],[Recency]]&gt;=0,Audit_Data[[#This Row],[Recency]]&lt;=100),"Valid","Invalid")</f>
        <v>Valid</v>
      </c>
      <c r="AM89" t="str">
        <f t="shared" si="19"/>
        <v>Valid</v>
      </c>
      <c r="AN89" t="str">
        <f t="shared" si="20"/>
        <v>Valid</v>
      </c>
      <c r="AO89" t="str">
        <f t="shared" si="21"/>
        <v>Valid</v>
      </c>
      <c r="AP89" t="str">
        <f t="shared" si="22"/>
        <v>Valid</v>
      </c>
      <c r="AQ89" t="str">
        <f>IF(Audit_Data[[#This Row],[Z_CostContact]]=3,"Valid","Invalid")</f>
        <v>Valid</v>
      </c>
      <c r="AR89" t="str">
        <f t="shared" si="23"/>
        <v>Valid</v>
      </c>
      <c r="AS89" t="str">
        <f t="shared" si="24"/>
        <v>Valid</v>
      </c>
    </row>
    <row r="90" spans="1:45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 t="str">
        <f t="shared" si="13"/>
        <v>Ok</v>
      </c>
      <c r="AE90" t="str">
        <f>IF(AND(Audit_Data[[#This Row],[Year_Birth]]&gt;=1900,Audit_Data[[#This Row],[Year_Birth]]&lt;=2010),"OK","Invalid")</f>
        <v>OK</v>
      </c>
      <c r="AF90" t="str">
        <f t="shared" si="14"/>
        <v>Valid</v>
      </c>
      <c r="AG90" t="str">
        <f t="shared" si="15"/>
        <v>Valid</v>
      </c>
      <c r="AH90" t="str">
        <f t="shared" si="16"/>
        <v>Valid</v>
      </c>
      <c r="AI90" t="str">
        <f t="shared" si="17"/>
        <v>Valid</v>
      </c>
      <c r="AJ90" t="str">
        <f t="shared" si="18"/>
        <v>Valid</v>
      </c>
      <c r="AK90" t="str">
        <f t="shared" si="25"/>
        <v xml:space="preserve">Valid </v>
      </c>
      <c r="AL90" t="str">
        <f>IF(AND(Audit_Data[[#This Row],[Recency]]&gt;=0,Audit_Data[[#This Row],[Recency]]&lt;=100),"Valid","Invalid")</f>
        <v>Valid</v>
      </c>
      <c r="AM90" t="str">
        <f t="shared" si="19"/>
        <v>Valid</v>
      </c>
      <c r="AN90" t="str">
        <f t="shared" si="20"/>
        <v>Valid</v>
      </c>
      <c r="AO90" t="str">
        <f t="shared" si="21"/>
        <v>Valid</v>
      </c>
      <c r="AP90" t="str">
        <f t="shared" si="22"/>
        <v>Valid</v>
      </c>
      <c r="AQ90" t="str">
        <f>IF(Audit_Data[[#This Row],[Z_CostContact]]=3,"Valid","Invalid")</f>
        <v>Valid</v>
      </c>
      <c r="AR90" t="str">
        <f t="shared" si="23"/>
        <v>Valid</v>
      </c>
      <c r="AS90" t="str">
        <f t="shared" si="24"/>
        <v>Valid</v>
      </c>
    </row>
    <row r="91" spans="1:45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 t="str">
        <f t="shared" si="13"/>
        <v>Ok</v>
      </c>
      <c r="AE91" t="str">
        <f>IF(AND(Audit_Data[[#This Row],[Year_Birth]]&gt;=1900,Audit_Data[[#This Row],[Year_Birth]]&lt;=2010),"OK","Invalid")</f>
        <v>OK</v>
      </c>
      <c r="AF91" t="str">
        <f t="shared" si="14"/>
        <v>Valid</v>
      </c>
      <c r="AG91" t="str">
        <f t="shared" si="15"/>
        <v>Valid</v>
      </c>
      <c r="AH91" t="str">
        <f t="shared" si="16"/>
        <v>Valid</v>
      </c>
      <c r="AI91" t="str">
        <f t="shared" si="17"/>
        <v>Valid</v>
      </c>
      <c r="AJ91" t="str">
        <f t="shared" si="18"/>
        <v>Valid</v>
      </c>
      <c r="AK91" t="str">
        <f t="shared" si="25"/>
        <v xml:space="preserve">Valid </v>
      </c>
      <c r="AL91" t="str">
        <f>IF(AND(Audit_Data[[#This Row],[Recency]]&gt;=0,Audit_Data[[#This Row],[Recency]]&lt;=100),"Valid","Invalid")</f>
        <v>Valid</v>
      </c>
      <c r="AM91" t="str">
        <f t="shared" si="19"/>
        <v>Valid</v>
      </c>
      <c r="AN91" t="str">
        <f t="shared" si="20"/>
        <v>Valid</v>
      </c>
      <c r="AO91" t="str">
        <f t="shared" si="21"/>
        <v>Valid</v>
      </c>
      <c r="AP91" t="str">
        <f t="shared" si="22"/>
        <v>Valid</v>
      </c>
      <c r="AQ91" t="str">
        <f>IF(Audit_Data[[#This Row],[Z_CostContact]]=3,"Valid","Invalid")</f>
        <v>Valid</v>
      </c>
      <c r="AR91" t="str">
        <f t="shared" si="23"/>
        <v>Valid</v>
      </c>
      <c r="AS91" t="str">
        <f t="shared" si="24"/>
        <v>Valid</v>
      </c>
    </row>
    <row r="92" spans="1:45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 t="str">
        <f t="shared" si="13"/>
        <v>Ok</v>
      </c>
      <c r="AE92" t="str">
        <f>IF(AND(Audit_Data[[#This Row],[Year_Birth]]&gt;=1900,Audit_Data[[#This Row],[Year_Birth]]&lt;=2010),"OK","Invalid")</f>
        <v>OK</v>
      </c>
      <c r="AF92" t="str">
        <f t="shared" si="14"/>
        <v>Valid</v>
      </c>
      <c r="AG92" t="str">
        <f t="shared" si="15"/>
        <v>Valid</v>
      </c>
      <c r="AH92" t="str">
        <f t="shared" si="16"/>
        <v>Invalid</v>
      </c>
      <c r="AI92" t="str">
        <f t="shared" si="17"/>
        <v>Valid</v>
      </c>
      <c r="AJ92" t="str">
        <f t="shared" si="18"/>
        <v>Valid</v>
      </c>
      <c r="AK92" t="str">
        <f t="shared" si="25"/>
        <v xml:space="preserve">Valid </v>
      </c>
      <c r="AL92" t="str">
        <f>IF(AND(Audit_Data[[#This Row],[Recency]]&gt;=0,Audit_Data[[#This Row],[Recency]]&lt;=100),"Valid","Invalid")</f>
        <v>Valid</v>
      </c>
      <c r="AM92" t="str">
        <f t="shared" si="19"/>
        <v>Valid</v>
      </c>
      <c r="AN92" t="str">
        <f t="shared" si="20"/>
        <v>Valid</v>
      </c>
      <c r="AO92" t="str">
        <f t="shared" si="21"/>
        <v>Valid</v>
      </c>
      <c r="AP92" t="str">
        <f t="shared" si="22"/>
        <v>Valid</v>
      </c>
      <c r="AQ92" t="str">
        <f>IF(Audit_Data[[#This Row],[Z_CostContact]]=3,"Valid","Invalid")</f>
        <v>Valid</v>
      </c>
      <c r="AR92" t="str">
        <f t="shared" si="23"/>
        <v>Valid</v>
      </c>
      <c r="AS92" t="str">
        <f t="shared" si="24"/>
        <v>Valid</v>
      </c>
    </row>
    <row r="93" spans="1:45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 t="str">
        <f t="shared" si="13"/>
        <v>Ok</v>
      </c>
      <c r="AE93" t="str">
        <f>IF(AND(Audit_Data[[#This Row],[Year_Birth]]&gt;=1900,Audit_Data[[#This Row],[Year_Birth]]&lt;=2010),"OK","Invalid")</f>
        <v>OK</v>
      </c>
      <c r="AF93" t="str">
        <f t="shared" si="14"/>
        <v>Valid</v>
      </c>
      <c r="AG93" t="str">
        <f t="shared" si="15"/>
        <v>Valid</v>
      </c>
      <c r="AH93" t="str">
        <f t="shared" si="16"/>
        <v>Invalid</v>
      </c>
      <c r="AI93" t="str">
        <f t="shared" si="17"/>
        <v>Valid</v>
      </c>
      <c r="AJ93" t="str">
        <f t="shared" si="18"/>
        <v>Valid</v>
      </c>
      <c r="AK93" t="str">
        <f t="shared" si="25"/>
        <v xml:space="preserve">Valid </v>
      </c>
      <c r="AL93" t="str">
        <f>IF(AND(Audit_Data[[#This Row],[Recency]]&gt;=0,Audit_Data[[#This Row],[Recency]]&lt;=100),"Valid","Invalid")</f>
        <v>Valid</v>
      </c>
      <c r="AM93" t="str">
        <f t="shared" si="19"/>
        <v>Valid</v>
      </c>
      <c r="AN93" t="str">
        <f t="shared" si="20"/>
        <v>Valid</v>
      </c>
      <c r="AO93" t="str">
        <f t="shared" si="21"/>
        <v>Valid</v>
      </c>
      <c r="AP93" t="str">
        <f t="shared" si="22"/>
        <v>Valid</v>
      </c>
      <c r="AQ93" t="str">
        <f>IF(Audit_Data[[#This Row],[Z_CostContact]]=3,"Valid","Invalid")</f>
        <v>Valid</v>
      </c>
      <c r="AR93" t="str">
        <f t="shared" si="23"/>
        <v>Valid</v>
      </c>
      <c r="AS93" t="str">
        <f t="shared" si="24"/>
        <v>Valid</v>
      </c>
    </row>
    <row r="94" spans="1:45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 t="str">
        <f t="shared" si="13"/>
        <v>Ok</v>
      </c>
      <c r="AE94" t="str">
        <f>IF(AND(Audit_Data[[#This Row],[Year_Birth]]&gt;=1900,Audit_Data[[#This Row],[Year_Birth]]&lt;=2010),"OK","Invalid")</f>
        <v>OK</v>
      </c>
      <c r="AF94" t="str">
        <f t="shared" si="14"/>
        <v>Valid</v>
      </c>
      <c r="AG94" t="str">
        <f t="shared" si="15"/>
        <v>Valid</v>
      </c>
      <c r="AH94" t="str">
        <f t="shared" si="16"/>
        <v>Invalid</v>
      </c>
      <c r="AI94" t="str">
        <f t="shared" si="17"/>
        <v>Valid</v>
      </c>
      <c r="AJ94" t="str">
        <f t="shared" si="18"/>
        <v>Valid</v>
      </c>
      <c r="AK94" t="str">
        <f t="shared" si="25"/>
        <v xml:space="preserve">Valid </v>
      </c>
      <c r="AL94" t="str">
        <f>IF(AND(Audit_Data[[#This Row],[Recency]]&gt;=0,Audit_Data[[#This Row],[Recency]]&lt;=100),"Valid","Invalid")</f>
        <v>Valid</v>
      </c>
      <c r="AM94" t="str">
        <f t="shared" si="19"/>
        <v>Valid</v>
      </c>
      <c r="AN94" t="str">
        <f t="shared" si="20"/>
        <v>Valid</v>
      </c>
      <c r="AO94" t="str">
        <f t="shared" si="21"/>
        <v>Valid</v>
      </c>
      <c r="AP94" t="str">
        <f t="shared" si="22"/>
        <v>Valid</v>
      </c>
      <c r="AQ94" t="str">
        <f>IF(Audit_Data[[#This Row],[Z_CostContact]]=3,"Valid","Invalid")</f>
        <v>Valid</v>
      </c>
      <c r="AR94" t="str">
        <f t="shared" si="23"/>
        <v>Valid</v>
      </c>
      <c r="AS94" t="str">
        <f t="shared" si="24"/>
        <v>Valid</v>
      </c>
    </row>
    <row r="95" spans="1:45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 t="str">
        <f t="shared" si="13"/>
        <v>Ok</v>
      </c>
      <c r="AE95" t="str">
        <f>IF(AND(Audit_Data[[#This Row],[Year_Birth]]&gt;=1900,Audit_Data[[#This Row],[Year_Birth]]&lt;=2010),"OK","Invalid")</f>
        <v>OK</v>
      </c>
      <c r="AF95" t="str">
        <f t="shared" si="14"/>
        <v>Valid</v>
      </c>
      <c r="AG95" t="str">
        <f t="shared" si="15"/>
        <v>Valid</v>
      </c>
      <c r="AH95" t="str">
        <f t="shared" si="16"/>
        <v>Valid</v>
      </c>
      <c r="AI95" t="str">
        <f t="shared" si="17"/>
        <v>Valid</v>
      </c>
      <c r="AJ95" t="str">
        <f t="shared" si="18"/>
        <v>Valid</v>
      </c>
      <c r="AK95" t="str">
        <f t="shared" si="25"/>
        <v xml:space="preserve">Valid </v>
      </c>
      <c r="AL95" t="str">
        <f>IF(AND(Audit_Data[[#This Row],[Recency]]&gt;=0,Audit_Data[[#This Row],[Recency]]&lt;=100),"Valid","Invalid")</f>
        <v>Valid</v>
      </c>
      <c r="AM95" t="str">
        <f t="shared" si="19"/>
        <v>Valid</v>
      </c>
      <c r="AN95" t="str">
        <f t="shared" si="20"/>
        <v>Valid</v>
      </c>
      <c r="AO95" t="str">
        <f t="shared" si="21"/>
        <v>Valid</v>
      </c>
      <c r="AP95" t="str">
        <f t="shared" si="22"/>
        <v>Valid</v>
      </c>
      <c r="AQ95" t="str">
        <f>IF(Audit_Data[[#This Row],[Z_CostContact]]=3,"Valid","Invalid")</f>
        <v>Valid</v>
      </c>
      <c r="AR95" t="str">
        <f t="shared" si="23"/>
        <v>Valid</v>
      </c>
      <c r="AS95" t="str">
        <f t="shared" si="24"/>
        <v>Valid</v>
      </c>
    </row>
    <row r="96" spans="1:45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 t="str">
        <f t="shared" si="13"/>
        <v>Ok</v>
      </c>
      <c r="AE96" t="str">
        <f>IF(AND(Audit_Data[[#This Row],[Year_Birth]]&gt;=1900,Audit_Data[[#This Row],[Year_Birth]]&lt;=2010),"OK","Invalid")</f>
        <v>OK</v>
      </c>
      <c r="AF96" t="str">
        <f t="shared" si="14"/>
        <v>Valid</v>
      </c>
      <c r="AG96" t="str">
        <f t="shared" si="15"/>
        <v>Valid</v>
      </c>
      <c r="AH96" t="str">
        <f t="shared" si="16"/>
        <v>Valid</v>
      </c>
      <c r="AI96" t="str">
        <f t="shared" si="17"/>
        <v>Valid</v>
      </c>
      <c r="AJ96" t="str">
        <f t="shared" si="18"/>
        <v>Valid</v>
      </c>
      <c r="AK96" t="str">
        <f t="shared" si="25"/>
        <v xml:space="preserve">Valid </v>
      </c>
      <c r="AL96" t="str">
        <f>IF(AND(Audit_Data[[#This Row],[Recency]]&gt;=0,Audit_Data[[#This Row],[Recency]]&lt;=100),"Valid","Invalid")</f>
        <v>Valid</v>
      </c>
      <c r="AM96" t="str">
        <f t="shared" si="19"/>
        <v>Valid</v>
      </c>
      <c r="AN96" t="str">
        <f t="shared" si="20"/>
        <v>Valid</v>
      </c>
      <c r="AO96" t="str">
        <f t="shared" si="21"/>
        <v>Valid</v>
      </c>
      <c r="AP96" t="str">
        <f t="shared" si="22"/>
        <v>Valid</v>
      </c>
      <c r="AQ96" t="str">
        <f>IF(Audit_Data[[#This Row],[Z_CostContact]]=3,"Valid","Invalid")</f>
        <v>Valid</v>
      </c>
      <c r="AR96" t="str">
        <f t="shared" si="23"/>
        <v>Valid</v>
      </c>
      <c r="AS96" t="str">
        <f t="shared" si="24"/>
        <v>Valid</v>
      </c>
    </row>
    <row r="97" spans="1:45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 t="str">
        <f t="shared" si="13"/>
        <v>Ok</v>
      </c>
      <c r="AE97" t="str">
        <f>IF(AND(Audit_Data[[#This Row],[Year_Birth]]&gt;=1900,Audit_Data[[#This Row],[Year_Birth]]&lt;=2010),"OK","Invalid")</f>
        <v>OK</v>
      </c>
      <c r="AF97" t="str">
        <f t="shared" si="14"/>
        <v>Valid</v>
      </c>
      <c r="AG97" t="str">
        <f t="shared" si="15"/>
        <v>Valid</v>
      </c>
      <c r="AH97" t="str">
        <f t="shared" si="16"/>
        <v>Valid</v>
      </c>
      <c r="AI97" t="str">
        <f t="shared" si="17"/>
        <v>Valid</v>
      </c>
      <c r="AJ97" t="str">
        <f t="shared" si="18"/>
        <v>Valid</v>
      </c>
      <c r="AK97" t="str">
        <f t="shared" si="25"/>
        <v xml:space="preserve">Valid </v>
      </c>
      <c r="AL97" t="str">
        <f>IF(AND(Audit_Data[[#This Row],[Recency]]&gt;=0,Audit_Data[[#This Row],[Recency]]&lt;=100),"Valid","Invalid")</f>
        <v>Valid</v>
      </c>
      <c r="AM97" t="str">
        <f t="shared" si="19"/>
        <v>Valid</v>
      </c>
      <c r="AN97" t="str">
        <f t="shared" si="20"/>
        <v>Valid</v>
      </c>
      <c r="AO97" t="str">
        <f t="shared" si="21"/>
        <v>Valid</v>
      </c>
      <c r="AP97" t="str">
        <f t="shared" si="22"/>
        <v>Valid</v>
      </c>
      <c r="AQ97" t="str">
        <f>IF(Audit_Data[[#This Row],[Z_CostContact]]=3,"Valid","Invalid")</f>
        <v>Valid</v>
      </c>
      <c r="AR97" t="str">
        <f t="shared" si="23"/>
        <v>Valid</v>
      </c>
      <c r="AS97" t="str">
        <f t="shared" si="24"/>
        <v>Valid</v>
      </c>
    </row>
    <row r="98" spans="1:45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 t="str">
        <f t="shared" si="13"/>
        <v>Ok</v>
      </c>
      <c r="AE98" t="str">
        <f>IF(AND(Audit_Data[[#This Row],[Year_Birth]]&gt;=1900,Audit_Data[[#This Row],[Year_Birth]]&lt;=2010),"OK","Invalid")</f>
        <v>OK</v>
      </c>
      <c r="AF98" t="str">
        <f t="shared" si="14"/>
        <v>Valid</v>
      </c>
      <c r="AG98" t="str">
        <f t="shared" si="15"/>
        <v>Valid</v>
      </c>
      <c r="AH98" t="str">
        <f t="shared" si="16"/>
        <v>Valid</v>
      </c>
      <c r="AI98" t="str">
        <f t="shared" si="17"/>
        <v>Valid</v>
      </c>
      <c r="AJ98" t="str">
        <f t="shared" si="18"/>
        <v>Valid</v>
      </c>
      <c r="AK98" t="str">
        <f t="shared" si="25"/>
        <v xml:space="preserve">Valid </v>
      </c>
      <c r="AL98" t="str">
        <f>IF(AND(Audit_Data[[#This Row],[Recency]]&gt;=0,Audit_Data[[#This Row],[Recency]]&lt;=100),"Valid","Invalid")</f>
        <v>Valid</v>
      </c>
      <c r="AM98" t="str">
        <f t="shared" si="19"/>
        <v>Valid</v>
      </c>
      <c r="AN98" t="str">
        <f t="shared" si="20"/>
        <v>Valid</v>
      </c>
      <c r="AO98" t="str">
        <f t="shared" si="21"/>
        <v>Valid</v>
      </c>
      <c r="AP98" t="str">
        <f t="shared" si="22"/>
        <v>Valid</v>
      </c>
      <c r="AQ98" t="str">
        <f>IF(Audit_Data[[#This Row],[Z_CostContact]]=3,"Valid","Invalid")</f>
        <v>Valid</v>
      </c>
      <c r="AR98" t="str">
        <f t="shared" si="23"/>
        <v>Valid</v>
      </c>
      <c r="AS98" t="str">
        <f t="shared" si="24"/>
        <v>Valid</v>
      </c>
    </row>
    <row r="99" spans="1:45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 t="str">
        <f t="shared" si="13"/>
        <v>Ok</v>
      </c>
      <c r="AE99" t="str">
        <f>IF(AND(Audit_Data[[#This Row],[Year_Birth]]&gt;=1900,Audit_Data[[#This Row],[Year_Birth]]&lt;=2010),"OK","Invalid")</f>
        <v>OK</v>
      </c>
      <c r="AF99" t="str">
        <f t="shared" si="14"/>
        <v>Valid</v>
      </c>
      <c r="AG99" t="str">
        <f t="shared" si="15"/>
        <v>Valid</v>
      </c>
      <c r="AH99" t="str">
        <f t="shared" si="16"/>
        <v>Valid</v>
      </c>
      <c r="AI99" t="str">
        <f t="shared" si="17"/>
        <v>Valid</v>
      </c>
      <c r="AJ99" t="str">
        <f t="shared" si="18"/>
        <v>Valid</v>
      </c>
      <c r="AK99" t="str">
        <f t="shared" si="25"/>
        <v xml:space="preserve">Valid </v>
      </c>
      <c r="AL99" t="str">
        <f>IF(AND(Audit_Data[[#This Row],[Recency]]&gt;=0,Audit_Data[[#This Row],[Recency]]&lt;=100),"Valid","Invalid")</f>
        <v>Valid</v>
      </c>
      <c r="AM99" t="str">
        <f t="shared" si="19"/>
        <v>Valid</v>
      </c>
      <c r="AN99" t="str">
        <f t="shared" si="20"/>
        <v>Valid</v>
      </c>
      <c r="AO99" t="str">
        <f t="shared" si="21"/>
        <v>Valid</v>
      </c>
      <c r="AP99" t="str">
        <f t="shared" si="22"/>
        <v>Valid</v>
      </c>
      <c r="AQ99" t="str">
        <f>IF(Audit_Data[[#This Row],[Z_CostContact]]=3,"Valid","Invalid")</f>
        <v>Valid</v>
      </c>
      <c r="AR99" t="str">
        <f t="shared" si="23"/>
        <v>Valid</v>
      </c>
      <c r="AS99" t="str">
        <f t="shared" si="24"/>
        <v>Valid</v>
      </c>
    </row>
    <row r="100" spans="1:45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 t="str">
        <f t="shared" si="13"/>
        <v>Ok</v>
      </c>
      <c r="AE100" t="str">
        <f>IF(AND(Audit_Data[[#This Row],[Year_Birth]]&gt;=1900,Audit_Data[[#This Row],[Year_Birth]]&lt;=2010),"OK","Invalid")</f>
        <v>OK</v>
      </c>
      <c r="AF100" t="str">
        <f t="shared" si="14"/>
        <v>Valid</v>
      </c>
      <c r="AG100" t="str">
        <f t="shared" si="15"/>
        <v>Valid</v>
      </c>
      <c r="AH100" t="str">
        <f t="shared" si="16"/>
        <v>Valid</v>
      </c>
      <c r="AI100" t="str">
        <f t="shared" si="17"/>
        <v>Valid</v>
      </c>
      <c r="AJ100" t="str">
        <f t="shared" si="18"/>
        <v>Valid</v>
      </c>
      <c r="AK100" t="str">
        <f t="shared" si="25"/>
        <v xml:space="preserve">Valid </v>
      </c>
      <c r="AL100" t="str">
        <f>IF(AND(Audit_Data[[#This Row],[Recency]]&gt;=0,Audit_Data[[#This Row],[Recency]]&lt;=100),"Valid","Invalid")</f>
        <v>Valid</v>
      </c>
      <c r="AM100" t="str">
        <f t="shared" si="19"/>
        <v>Valid</v>
      </c>
      <c r="AN100" t="str">
        <f t="shared" si="20"/>
        <v>Valid</v>
      </c>
      <c r="AO100" t="str">
        <f t="shared" si="21"/>
        <v>Valid</v>
      </c>
      <c r="AP100" t="str">
        <f t="shared" si="22"/>
        <v>Valid</v>
      </c>
      <c r="AQ100" t="str">
        <f>IF(Audit_Data[[#This Row],[Z_CostContact]]=3,"Valid","Invalid")</f>
        <v>Valid</v>
      </c>
      <c r="AR100" t="str">
        <f t="shared" si="23"/>
        <v>Valid</v>
      </c>
      <c r="AS100" t="str">
        <f t="shared" si="24"/>
        <v>Valid</v>
      </c>
    </row>
    <row r="101" spans="1:45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 t="str">
        <f t="shared" si="13"/>
        <v>Ok</v>
      </c>
      <c r="AE101" t="str">
        <f>IF(AND(Audit_Data[[#This Row],[Year_Birth]]&gt;=1900,Audit_Data[[#This Row],[Year_Birth]]&lt;=2010),"OK","Invalid")</f>
        <v>OK</v>
      </c>
      <c r="AF101" t="str">
        <f t="shared" si="14"/>
        <v>Valid</v>
      </c>
      <c r="AG101" t="str">
        <f t="shared" si="15"/>
        <v>Valid</v>
      </c>
      <c r="AH101" t="str">
        <f t="shared" si="16"/>
        <v>Valid</v>
      </c>
      <c r="AI101" t="str">
        <f t="shared" si="17"/>
        <v>Valid</v>
      </c>
      <c r="AJ101" t="str">
        <f t="shared" si="18"/>
        <v>Valid</v>
      </c>
      <c r="AK101" t="str">
        <f t="shared" si="25"/>
        <v xml:space="preserve">Valid </v>
      </c>
      <c r="AL101" t="str">
        <f>IF(AND(Audit_Data[[#This Row],[Recency]]&gt;=0,Audit_Data[[#This Row],[Recency]]&lt;=100),"Valid","Invalid")</f>
        <v>Valid</v>
      </c>
      <c r="AM101" t="str">
        <f t="shared" si="19"/>
        <v>Valid</v>
      </c>
      <c r="AN101" t="str">
        <f t="shared" si="20"/>
        <v>Valid</v>
      </c>
      <c r="AO101" t="str">
        <f t="shared" si="21"/>
        <v>Valid</v>
      </c>
      <c r="AP101" t="str">
        <f t="shared" si="22"/>
        <v>Valid</v>
      </c>
      <c r="AQ101" t="str">
        <f>IF(Audit_Data[[#This Row],[Z_CostContact]]=3,"Valid","Invalid")</f>
        <v>Valid</v>
      </c>
      <c r="AR101" t="str">
        <f t="shared" si="23"/>
        <v>Valid</v>
      </c>
      <c r="AS101" t="str">
        <f t="shared" si="24"/>
        <v>Valid</v>
      </c>
    </row>
    <row r="102" spans="1:45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 t="str">
        <f t="shared" si="13"/>
        <v>Ok</v>
      </c>
      <c r="AE102" t="str">
        <f>IF(AND(Audit_Data[[#This Row],[Year_Birth]]&gt;=1900,Audit_Data[[#This Row],[Year_Birth]]&lt;=2010),"OK","Invalid")</f>
        <v>OK</v>
      </c>
      <c r="AF102" t="str">
        <f t="shared" si="14"/>
        <v>Valid</v>
      </c>
      <c r="AG102" t="str">
        <f t="shared" si="15"/>
        <v>Valid</v>
      </c>
      <c r="AH102" t="str">
        <f t="shared" si="16"/>
        <v>Valid</v>
      </c>
      <c r="AI102" t="str">
        <f t="shared" si="17"/>
        <v>Valid</v>
      </c>
      <c r="AJ102" t="str">
        <f t="shared" si="18"/>
        <v>Valid</v>
      </c>
      <c r="AK102" t="str">
        <f t="shared" si="25"/>
        <v xml:space="preserve">Valid </v>
      </c>
      <c r="AL102" t="str">
        <f>IF(AND(Audit_Data[[#This Row],[Recency]]&gt;=0,Audit_Data[[#This Row],[Recency]]&lt;=100),"Valid","Invalid")</f>
        <v>Valid</v>
      </c>
      <c r="AM102" t="str">
        <f t="shared" si="19"/>
        <v>Valid</v>
      </c>
      <c r="AN102" t="str">
        <f t="shared" si="20"/>
        <v>Valid</v>
      </c>
      <c r="AO102" t="str">
        <f t="shared" si="21"/>
        <v>Valid</v>
      </c>
      <c r="AP102" t="str">
        <f t="shared" si="22"/>
        <v>Valid</v>
      </c>
      <c r="AQ102" t="str">
        <f>IF(Audit_Data[[#This Row],[Z_CostContact]]=3,"Valid","Invalid")</f>
        <v>Valid</v>
      </c>
      <c r="AR102" t="str">
        <f t="shared" si="23"/>
        <v>Valid</v>
      </c>
      <c r="AS102" t="str">
        <f t="shared" si="24"/>
        <v>Valid</v>
      </c>
    </row>
    <row r="103" spans="1:45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 t="str">
        <f t="shared" si="13"/>
        <v>Ok</v>
      </c>
      <c r="AE103" t="str">
        <f>IF(AND(Audit_Data[[#This Row],[Year_Birth]]&gt;=1900,Audit_Data[[#This Row],[Year_Birth]]&lt;=2010),"OK","Invalid")</f>
        <v>OK</v>
      </c>
      <c r="AF103" t="str">
        <f t="shared" si="14"/>
        <v>Valid</v>
      </c>
      <c r="AG103" t="str">
        <f t="shared" si="15"/>
        <v>Valid</v>
      </c>
      <c r="AH103" t="str">
        <f t="shared" si="16"/>
        <v>Valid</v>
      </c>
      <c r="AI103" t="str">
        <f t="shared" si="17"/>
        <v>Valid</v>
      </c>
      <c r="AJ103" t="str">
        <f t="shared" si="18"/>
        <v>Valid</v>
      </c>
      <c r="AK103" t="str">
        <f t="shared" si="25"/>
        <v xml:space="preserve">Valid </v>
      </c>
      <c r="AL103" t="str">
        <f>IF(AND(Audit_Data[[#This Row],[Recency]]&gt;=0,Audit_Data[[#This Row],[Recency]]&lt;=100),"Valid","Invalid")</f>
        <v>Valid</v>
      </c>
      <c r="AM103" t="str">
        <f t="shared" si="19"/>
        <v>Valid</v>
      </c>
      <c r="AN103" t="str">
        <f t="shared" si="20"/>
        <v>Valid</v>
      </c>
      <c r="AO103" t="str">
        <f t="shared" si="21"/>
        <v>Valid</v>
      </c>
      <c r="AP103" t="str">
        <f t="shared" si="22"/>
        <v>Valid</v>
      </c>
      <c r="AQ103" t="str">
        <f>IF(Audit_Data[[#This Row],[Z_CostContact]]=3,"Valid","Invalid")</f>
        <v>Valid</v>
      </c>
      <c r="AR103" t="str">
        <f t="shared" si="23"/>
        <v>Valid</v>
      </c>
      <c r="AS103" t="str">
        <f t="shared" si="24"/>
        <v>Valid</v>
      </c>
    </row>
    <row r="104" spans="1:45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 t="str">
        <f t="shared" si="13"/>
        <v>Ok</v>
      </c>
      <c r="AE104" t="str">
        <f>IF(AND(Audit_Data[[#This Row],[Year_Birth]]&gt;=1900,Audit_Data[[#This Row],[Year_Birth]]&lt;=2010),"OK","Invalid")</f>
        <v>OK</v>
      </c>
      <c r="AF104" t="str">
        <f t="shared" si="14"/>
        <v>Valid</v>
      </c>
      <c r="AG104" t="str">
        <f t="shared" si="15"/>
        <v>Valid</v>
      </c>
      <c r="AH104" t="str">
        <f t="shared" si="16"/>
        <v>Valid</v>
      </c>
      <c r="AI104" t="str">
        <f t="shared" si="17"/>
        <v>Valid</v>
      </c>
      <c r="AJ104" t="str">
        <f t="shared" si="18"/>
        <v>Valid</v>
      </c>
      <c r="AK104" t="str">
        <f t="shared" si="25"/>
        <v xml:space="preserve">Valid </v>
      </c>
      <c r="AL104" t="str">
        <f>IF(AND(Audit_Data[[#This Row],[Recency]]&gt;=0,Audit_Data[[#This Row],[Recency]]&lt;=100),"Valid","Invalid")</f>
        <v>Valid</v>
      </c>
      <c r="AM104" t="str">
        <f t="shared" si="19"/>
        <v>Valid</v>
      </c>
      <c r="AN104" t="str">
        <f t="shared" si="20"/>
        <v>Valid</v>
      </c>
      <c r="AO104" t="str">
        <f t="shared" si="21"/>
        <v>Valid</v>
      </c>
      <c r="AP104" t="str">
        <f t="shared" si="22"/>
        <v>Valid</v>
      </c>
      <c r="AQ104" t="str">
        <f>IF(Audit_Data[[#This Row],[Z_CostContact]]=3,"Valid","Invalid")</f>
        <v>Valid</v>
      </c>
      <c r="AR104" t="str">
        <f t="shared" si="23"/>
        <v>Valid</v>
      </c>
      <c r="AS104" t="str">
        <f t="shared" si="24"/>
        <v>Valid</v>
      </c>
    </row>
    <row r="105" spans="1:45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 t="str">
        <f t="shared" si="13"/>
        <v>Ok</v>
      </c>
      <c r="AE105" t="str">
        <f>IF(AND(Audit_Data[[#This Row],[Year_Birth]]&gt;=1900,Audit_Data[[#This Row],[Year_Birth]]&lt;=2010),"OK","Invalid")</f>
        <v>OK</v>
      </c>
      <c r="AF105" t="str">
        <f t="shared" si="14"/>
        <v>Valid</v>
      </c>
      <c r="AG105" t="str">
        <f t="shared" si="15"/>
        <v>Valid</v>
      </c>
      <c r="AH105" t="str">
        <f t="shared" si="16"/>
        <v>Valid</v>
      </c>
      <c r="AI105" t="str">
        <f t="shared" si="17"/>
        <v>Valid</v>
      </c>
      <c r="AJ105" t="str">
        <f t="shared" si="18"/>
        <v>Valid</v>
      </c>
      <c r="AK105" t="str">
        <f t="shared" si="25"/>
        <v xml:space="preserve">Valid </v>
      </c>
      <c r="AL105" t="str">
        <f>IF(AND(Audit_Data[[#This Row],[Recency]]&gt;=0,Audit_Data[[#This Row],[Recency]]&lt;=100),"Valid","Invalid")</f>
        <v>Valid</v>
      </c>
      <c r="AM105" t="str">
        <f t="shared" si="19"/>
        <v>Valid</v>
      </c>
      <c r="AN105" t="str">
        <f t="shared" si="20"/>
        <v>Valid</v>
      </c>
      <c r="AO105" t="str">
        <f t="shared" si="21"/>
        <v>Valid</v>
      </c>
      <c r="AP105" t="str">
        <f t="shared" si="22"/>
        <v>Valid</v>
      </c>
      <c r="AQ105" t="str">
        <f>IF(Audit_Data[[#This Row],[Z_CostContact]]=3,"Valid","Invalid")</f>
        <v>Valid</v>
      </c>
      <c r="AR105" t="str">
        <f t="shared" si="23"/>
        <v>Valid</v>
      </c>
      <c r="AS105" t="str">
        <f t="shared" si="24"/>
        <v>Valid</v>
      </c>
    </row>
    <row r="106" spans="1:45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 t="str">
        <f t="shared" si="13"/>
        <v>Ok</v>
      </c>
      <c r="AE106" t="str">
        <f>IF(AND(Audit_Data[[#This Row],[Year_Birth]]&gt;=1900,Audit_Data[[#This Row],[Year_Birth]]&lt;=2010),"OK","Invalid")</f>
        <v>OK</v>
      </c>
      <c r="AF106" t="str">
        <f t="shared" si="14"/>
        <v>Valid</v>
      </c>
      <c r="AG106" t="str">
        <f t="shared" si="15"/>
        <v>Valid</v>
      </c>
      <c r="AH106" t="str">
        <f t="shared" si="16"/>
        <v>Valid</v>
      </c>
      <c r="AI106" t="str">
        <f t="shared" si="17"/>
        <v>Valid</v>
      </c>
      <c r="AJ106" t="str">
        <f t="shared" si="18"/>
        <v>Valid</v>
      </c>
      <c r="AK106" t="str">
        <f t="shared" si="25"/>
        <v xml:space="preserve">Valid </v>
      </c>
      <c r="AL106" t="str">
        <f>IF(AND(Audit_Data[[#This Row],[Recency]]&gt;=0,Audit_Data[[#This Row],[Recency]]&lt;=100),"Valid","Invalid")</f>
        <v>Valid</v>
      </c>
      <c r="AM106" t="str">
        <f t="shared" si="19"/>
        <v>Valid</v>
      </c>
      <c r="AN106" t="str">
        <f t="shared" si="20"/>
        <v>Valid</v>
      </c>
      <c r="AO106" t="str">
        <f t="shared" si="21"/>
        <v>Valid</v>
      </c>
      <c r="AP106" t="str">
        <f t="shared" si="22"/>
        <v>Valid</v>
      </c>
      <c r="AQ106" t="str">
        <f>IF(Audit_Data[[#This Row],[Z_CostContact]]=3,"Valid","Invalid")</f>
        <v>Valid</v>
      </c>
      <c r="AR106" t="str">
        <f t="shared" si="23"/>
        <v>Valid</v>
      </c>
      <c r="AS106" t="str">
        <f t="shared" si="24"/>
        <v>Valid</v>
      </c>
    </row>
    <row r="107" spans="1:45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 t="str">
        <f t="shared" si="13"/>
        <v>Ok</v>
      </c>
      <c r="AE107" t="str">
        <f>IF(AND(Audit_Data[[#This Row],[Year_Birth]]&gt;=1900,Audit_Data[[#This Row],[Year_Birth]]&lt;=2010),"OK","Invalid")</f>
        <v>OK</v>
      </c>
      <c r="AF107" t="str">
        <f t="shared" si="14"/>
        <v>Valid</v>
      </c>
      <c r="AG107" t="str">
        <f t="shared" si="15"/>
        <v>Valid</v>
      </c>
      <c r="AH107" t="str">
        <f t="shared" si="16"/>
        <v>Valid</v>
      </c>
      <c r="AI107" t="str">
        <f t="shared" si="17"/>
        <v>Valid</v>
      </c>
      <c r="AJ107" t="str">
        <f t="shared" si="18"/>
        <v>Valid</v>
      </c>
      <c r="AK107" t="str">
        <f t="shared" si="25"/>
        <v xml:space="preserve">Valid </v>
      </c>
      <c r="AL107" t="str">
        <f>IF(AND(Audit_Data[[#This Row],[Recency]]&gt;=0,Audit_Data[[#This Row],[Recency]]&lt;=100),"Valid","Invalid")</f>
        <v>Valid</v>
      </c>
      <c r="AM107" t="str">
        <f t="shared" si="19"/>
        <v>Valid</v>
      </c>
      <c r="AN107" t="str">
        <f t="shared" si="20"/>
        <v>Valid</v>
      </c>
      <c r="AO107" t="str">
        <f t="shared" si="21"/>
        <v>Valid</v>
      </c>
      <c r="AP107" t="str">
        <f t="shared" si="22"/>
        <v>Valid</v>
      </c>
      <c r="AQ107" t="str">
        <f>IF(Audit_Data[[#This Row],[Z_CostContact]]=3,"Valid","Invalid")</f>
        <v>Valid</v>
      </c>
      <c r="AR107" t="str">
        <f t="shared" si="23"/>
        <v>Valid</v>
      </c>
      <c r="AS107" t="str">
        <f t="shared" si="24"/>
        <v>Valid</v>
      </c>
    </row>
    <row r="108" spans="1:45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 t="str">
        <f t="shared" si="13"/>
        <v>Ok</v>
      </c>
      <c r="AE108" t="str">
        <f>IF(AND(Audit_Data[[#This Row],[Year_Birth]]&gt;=1900,Audit_Data[[#This Row],[Year_Birth]]&lt;=2010),"OK","Invalid")</f>
        <v>OK</v>
      </c>
      <c r="AF108" t="str">
        <f t="shared" si="14"/>
        <v>Valid</v>
      </c>
      <c r="AG108" t="str">
        <f t="shared" si="15"/>
        <v>Valid</v>
      </c>
      <c r="AH108" t="str">
        <f t="shared" si="16"/>
        <v>Valid</v>
      </c>
      <c r="AI108" t="str">
        <f t="shared" si="17"/>
        <v>Valid</v>
      </c>
      <c r="AJ108" t="str">
        <f t="shared" si="18"/>
        <v>Valid</v>
      </c>
      <c r="AK108" t="str">
        <f t="shared" si="25"/>
        <v xml:space="preserve">Valid </v>
      </c>
      <c r="AL108" t="str">
        <f>IF(AND(Audit_Data[[#This Row],[Recency]]&gt;=0,Audit_Data[[#This Row],[Recency]]&lt;=100),"Valid","Invalid")</f>
        <v>Valid</v>
      </c>
      <c r="AM108" t="str">
        <f t="shared" si="19"/>
        <v>Valid</v>
      </c>
      <c r="AN108" t="str">
        <f t="shared" si="20"/>
        <v>Valid</v>
      </c>
      <c r="AO108" t="str">
        <f t="shared" si="21"/>
        <v>Valid</v>
      </c>
      <c r="AP108" t="str">
        <f t="shared" si="22"/>
        <v>Valid</v>
      </c>
      <c r="AQ108" t="str">
        <f>IF(Audit_Data[[#This Row],[Z_CostContact]]=3,"Valid","Invalid")</f>
        <v>Valid</v>
      </c>
      <c r="AR108" t="str">
        <f t="shared" si="23"/>
        <v>Valid</v>
      </c>
      <c r="AS108" t="str">
        <f t="shared" si="24"/>
        <v>Valid</v>
      </c>
    </row>
    <row r="109" spans="1:45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 t="str">
        <f t="shared" si="13"/>
        <v>Ok</v>
      </c>
      <c r="AE109" t="str">
        <f>IF(AND(Audit_Data[[#This Row],[Year_Birth]]&gt;=1900,Audit_Data[[#This Row],[Year_Birth]]&lt;=2010),"OK","Invalid")</f>
        <v>OK</v>
      </c>
      <c r="AF109" t="str">
        <f t="shared" si="14"/>
        <v>Valid</v>
      </c>
      <c r="AG109" t="str">
        <f t="shared" si="15"/>
        <v>Valid</v>
      </c>
      <c r="AH109" t="str">
        <f t="shared" si="16"/>
        <v>Valid</v>
      </c>
      <c r="AI109" t="str">
        <f t="shared" si="17"/>
        <v>Valid</v>
      </c>
      <c r="AJ109" t="str">
        <f t="shared" si="18"/>
        <v>Valid</v>
      </c>
      <c r="AK109" t="str">
        <f t="shared" si="25"/>
        <v xml:space="preserve">Valid </v>
      </c>
      <c r="AL109" t="str">
        <f>IF(AND(Audit_Data[[#This Row],[Recency]]&gt;=0,Audit_Data[[#This Row],[Recency]]&lt;=100),"Valid","Invalid")</f>
        <v>Valid</v>
      </c>
      <c r="AM109" t="str">
        <f t="shared" si="19"/>
        <v>Valid</v>
      </c>
      <c r="AN109" t="str">
        <f t="shared" si="20"/>
        <v>Valid</v>
      </c>
      <c r="AO109" t="str">
        <f t="shared" si="21"/>
        <v>Valid</v>
      </c>
      <c r="AP109" t="str">
        <f t="shared" si="22"/>
        <v>Valid</v>
      </c>
      <c r="AQ109" t="str">
        <f>IF(Audit_Data[[#This Row],[Z_CostContact]]=3,"Valid","Invalid")</f>
        <v>Valid</v>
      </c>
      <c r="AR109" t="str">
        <f t="shared" si="23"/>
        <v>Valid</v>
      </c>
      <c r="AS109" t="str">
        <f t="shared" si="24"/>
        <v>Valid</v>
      </c>
    </row>
    <row r="110" spans="1:45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 t="str">
        <f t="shared" si="13"/>
        <v>Ok</v>
      </c>
      <c r="AE110" t="str">
        <f>IF(AND(Audit_Data[[#This Row],[Year_Birth]]&gt;=1900,Audit_Data[[#This Row],[Year_Birth]]&lt;=2010),"OK","Invalid")</f>
        <v>OK</v>
      </c>
      <c r="AF110" t="str">
        <f t="shared" si="14"/>
        <v>Valid</v>
      </c>
      <c r="AG110" t="str">
        <f t="shared" si="15"/>
        <v>Valid</v>
      </c>
      <c r="AH110" t="str">
        <f t="shared" si="16"/>
        <v>Valid</v>
      </c>
      <c r="AI110" t="str">
        <f t="shared" si="17"/>
        <v>Valid</v>
      </c>
      <c r="AJ110" t="str">
        <f t="shared" si="18"/>
        <v>Valid</v>
      </c>
      <c r="AK110" t="str">
        <f t="shared" si="25"/>
        <v xml:space="preserve">Valid </v>
      </c>
      <c r="AL110" t="str">
        <f>IF(AND(Audit_Data[[#This Row],[Recency]]&gt;=0,Audit_Data[[#This Row],[Recency]]&lt;=100),"Valid","Invalid")</f>
        <v>Valid</v>
      </c>
      <c r="AM110" t="str">
        <f t="shared" si="19"/>
        <v>Valid</v>
      </c>
      <c r="AN110" t="str">
        <f t="shared" si="20"/>
        <v>Valid</v>
      </c>
      <c r="AO110" t="str">
        <f t="shared" si="21"/>
        <v>Valid</v>
      </c>
      <c r="AP110" t="str">
        <f t="shared" si="22"/>
        <v>Valid</v>
      </c>
      <c r="AQ110" t="str">
        <f>IF(Audit_Data[[#This Row],[Z_CostContact]]=3,"Valid","Invalid")</f>
        <v>Valid</v>
      </c>
      <c r="AR110" t="str">
        <f t="shared" si="23"/>
        <v>Valid</v>
      </c>
      <c r="AS110" t="str">
        <f t="shared" si="24"/>
        <v>Valid</v>
      </c>
    </row>
    <row r="111" spans="1:45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 t="str">
        <f t="shared" si="13"/>
        <v>Ok</v>
      </c>
      <c r="AE111" t="str">
        <f>IF(AND(Audit_Data[[#This Row],[Year_Birth]]&gt;=1900,Audit_Data[[#This Row],[Year_Birth]]&lt;=2010),"OK","Invalid")</f>
        <v>OK</v>
      </c>
      <c r="AF111" t="str">
        <f t="shared" si="14"/>
        <v>Valid</v>
      </c>
      <c r="AG111" t="str">
        <f t="shared" si="15"/>
        <v>Valid</v>
      </c>
      <c r="AH111" t="str">
        <f t="shared" si="16"/>
        <v>Valid</v>
      </c>
      <c r="AI111" t="str">
        <f t="shared" si="17"/>
        <v>Valid</v>
      </c>
      <c r="AJ111" t="str">
        <f t="shared" si="18"/>
        <v>Valid</v>
      </c>
      <c r="AK111" t="str">
        <f t="shared" si="25"/>
        <v xml:space="preserve">Valid </v>
      </c>
      <c r="AL111" t="str">
        <f>IF(AND(Audit_Data[[#This Row],[Recency]]&gt;=0,Audit_Data[[#This Row],[Recency]]&lt;=100),"Valid","Invalid")</f>
        <v>Valid</v>
      </c>
      <c r="AM111" t="str">
        <f t="shared" si="19"/>
        <v>Valid</v>
      </c>
      <c r="AN111" t="str">
        <f t="shared" si="20"/>
        <v>Valid</v>
      </c>
      <c r="AO111" t="str">
        <f t="shared" si="21"/>
        <v>Valid</v>
      </c>
      <c r="AP111" t="str">
        <f t="shared" si="22"/>
        <v>Valid</v>
      </c>
      <c r="AQ111" t="str">
        <f>IF(Audit_Data[[#This Row],[Z_CostContact]]=3,"Valid","Invalid")</f>
        <v>Valid</v>
      </c>
      <c r="AR111" t="str">
        <f t="shared" si="23"/>
        <v>Valid</v>
      </c>
      <c r="AS111" t="str">
        <f t="shared" si="24"/>
        <v>Valid</v>
      </c>
    </row>
    <row r="112" spans="1:45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 t="str">
        <f t="shared" si="13"/>
        <v>Ok</v>
      </c>
      <c r="AE112" t="str">
        <f>IF(AND(Audit_Data[[#This Row],[Year_Birth]]&gt;=1900,Audit_Data[[#This Row],[Year_Birth]]&lt;=2010),"OK","Invalid")</f>
        <v>OK</v>
      </c>
      <c r="AF112" t="str">
        <f t="shared" si="14"/>
        <v>Valid</v>
      </c>
      <c r="AG112" t="str">
        <f t="shared" si="15"/>
        <v>Valid</v>
      </c>
      <c r="AH112" t="str">
        <f t="shared" si="16"/>
        <v>Valid</v>
      </c>
      <c r="AI112" t="str">
        <f t="shared" si="17"/>
        <v>Valid</v>
      </c>
      <c r="AJ112" t="str">
        <f t="shared" si="18"/>
        <v>Valid</v>
      </c>
      <c r="AK112" t="str">
        <f t="shared" si="25"/>
        <v xml:space="preserve">Valid </v>
      </c>
      <c r="AL112" t="str">
        <f>IF(AND(Audit_Data[[#This Row],[Recency]]&gt;=0,Audit_Data[[#This Row],[Recency]]&lt;=100),"Valid","Invalid")</f>
        <v>Valid</v>
      </c>
      <c r="AM112" t="str">
        <f t="shared" si="19"/>
        <v>Valid</v>
      </c>
      <c r="AN112" t="str">
        <f t="shared" si="20"/>
        <v>Valid</v>
      </c>
      <c r="AO112" t="str">
        <f t="shared" si="21"/>
        <v>Valid</v>
      </c>
      <c r="AP112" t="str">
        <f t="shared" si="22"/>
        <v>Valid</v>
      </c>
      <c r="AQ112" t="str">
        <f>IF(Audit_Data[[#This Row],[Z_CostContact]]=3,"Valid","Invalid")</f>
        <v>Valid</v>
      </c>
      <c r="AR112" t="str">
        <f t="shared" si="23"/>
        <v>Valid</v>
      </c>
      <c r="AS112" t="str">
        <f t="shared" si="24"/>
        <v>Valid</v>
      </c>
    </row>
    <row r="113" spans="1:45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 t="str">
        <f t="shared" si="13"/>
        <v>Ok</v>
      </c>
      <c r="AE113" t="str">
        <f>IF(AND(Audit_Data[[#This Row],[Year_Birth]]&gt;=1900,Audit_Data[[#This Row],[Year_Birth]]&lt;=2010),"OK","Invalid")</f>
        <v>OK</v>
      </c>
      <c r="AF113" t="str">
        <f t="shared" si="14"/>
        <v>Valid</v>
      </c>
      <c r="AG113" t="str">
        <f t="shared" si="15"/>
        <v>Valid</v>
      </c>
      <c r="AH113" t="str">
        <f t="shared" si="16"/>
        <v>Valid</v>
      </c>
      <c r="AI113" t="str">
        <f t="shared" si="17"/>
        <v>Valid</v>
      </c>
      <c r="AJ113" t="str">
        <f t="shared" si="18"/>
        <v>Valid</v>
      </c>
      <c r="AK113" t="str">
        <f t="shared" si="25"/>
        <v xml:space="preserve">Valid </v>
      </c>
      <c r="AL113" t="str">
        <f>IF(AND(Audit_Data[[#This Row],[Recency]]&gt;=0,Audit_Data[[#This Row],[Recency]]&lt;=100),"Valid","Invalid")</f>
        <v>Valid</v>
      </c>
      <c r="AM113" t="str">
        <f t="shared" si="19"/>
        <v>Valid</v>
      </c>
      <c r="AN113" t="str">
        <f t="shared" si="20"/>
        <v>Valid</v>
      </c>
      <c r="AO113" t="str">
        <f t="shared" si="21"/>
        <v>Valid</v>
      </c>
      <c r="AP113" t="str">
        <f t="shared" si="22"/>
        <v>Valid</v>
      </c>
      <c r="AQ113" t="str">
        <f>IF(Audit_Data[[#This Row],[Z_CostContact]]=3,"Valid","Invalid")</f>
        <v>Valid</v>
      </c>
      <c r="AR113" t="str">
        <f t="shared" si="23"/>
        <v>Valid</v>
      </c>
      <c r="AS113" t="str">
        <f t="shared" si="24"/>
        <v>Valid</v>
      </c>
    </row>
    <row r="114" spans="1:45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 t="str">
        <f t="shared" si="13"/>
        <v>Ok</v>
      </c>
      <c r="AE114" t="str">
        <f>IF(AND(Audit_Data[[#This Row],[Year_Birth]]&gt;=1900,Audit_Data[[#This Row],[Year_Birth]]&lt;=2010),"OK","Invalid")</f>
        <v>OK</v>
      </c>
      <c r="AF114" t="str">
        <f t="shared" si="14"/>
        <v>Valid</v>
      </c>
      <c r="AG114" t="str">
        <f t="shared" si="15"/>
        <v>Valid</v>
      </c>
      <c r="AH114" t="str">
        <f t="shared" si="16"/>
        <v>Valid</v>
      </c>
      <c r="AI114" t="str">
        <f t="shared" si="17"/>
        <v>Valid</v>
      </c>
      <c r="AJ114" t="str">
        <f t="shared" si="18"/>
        <v>Valid</v>
      </c>
      <c r="AK114" t="str">
        <f t="shared" si="25"/>
        <v xml:space="preserve">Valid </v>
      </c>
      <c r="AL114" t="str">
        <f>IF(AND(Audit_Data[[#This Row],[Recency]]&gt;=0,Audit_Data[[#This Row],[Recency]]&lt;=100),"Valid","Invalid")</f>
        <v>Valid</v>
      </c>
      <c r="AM114" t="str">
        <f t="shared" si="19"/>
        <v>Valid</v>
      </c>
      <c r="AN114" t="str">
        <f t="shared" si="20"/>
        <v>Valid</v>
      </c>
      <c r="AO114" t="str">
        <f t="shared" si="21"/>
        <v>Valid</v>
      </c>
      <c r="AP114" t="str">
        <f t="shared" si="22"/>
        <v>Valid</v>
      </c>
      <c r="AQ114" t="str">
        <f>IF(Audit_Data[[#This Row],[Z_CostContact]]=3,"Valid","Invalid")</f>
        <v>Valid</v>
      </c>
      <c r="AR114" t="str">
        <f t="shared" si="23"/>
        <v>Valid</v>
      </c>
      <c r="AS114" t="str">
        <f t="shared" si="24"/>
        <v>Valid</v>
      </c>
    </row>
    <row r="115" spans="1:45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 t="str">
        <f t="shared" si="13"/>
        <v>Ok</v>
      </c>
      <c r="AE115" t="str">
        <f>IF(AND(Audit_Data[[#This Row],[Year_Birth]]&gt;=1900,Audit_Data[[#This Row],[Year_Birth]]&lt;=2010),"OK","Invalid")</f>
        <v>OK</v>
      </c>
      <c r="AF115" t="str">
        <f t="shared" si="14"/>
        <v>Valid</v>
      </c>
      <c r="AG115" t="str">
        <f t="shared" si="15"/>
        <v>Valid</v>
      </c>
      <c r="AH115" t="str">
        <f t="shared" si="16"/>
        <v>Valid</v>
      </c>
      <c r="AI115" t="str">
        <f t="shared" si="17"/>
        <v>Valid</v>
      </c>
      <c r="AJ115" t="str">
        <f t="shared" si="18"/>
        <v>Valid</v>
      </c>
      <c r="AK115" t="str">
        <f t="shared" si="25"/>
        <v xml:space="preserve">Valid </v>
      </c>
      <c r="AL115" t="str">
        <f>IF(AND(Audit_Data[[#This Row],[Recency]]&gt;=0,Audit_Data[[#This Row],[Recency]]&lt;=100),"Valid","Invalid")</f>
        <v>Valid</v>
      </c>
      <c r="AM115" t="str">
        <f t="shared" si="19"/>
        <v>Valid</v>
      </c>
      <c r="AN115" t="str">
        <f t="shared" si="20"/>
        <v>Valid</v>
      </c>
      <c r="AO115" t="str">
        <f t="shared" si="21"/>
        <v>Valid</v>
      </c>
      <c r="AP115" t="str">
        <f t="shared" si="22"/>
        <v>Valid</v>
      </c>
      <c r="AQ115" t="str">
        <f>IF(Audit_Data[[#This Row],[Z_CostContact]]=3,"Valid","Invalid")</f>
        <v>Valid</v>
      </c>
      <c r="AR115" t="str">
        <f t="shared" si="23"/>
        <v>Valid</v>
      </c>
      <c r="AS115" t="str">
        <f t="shared" si="24"/>
        <v>Valid</v>
      </c>
    </row>
    <row r="116" spans="1:45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 t="str">
        <f t="shared" si="13"/>
        <v>Ok</v>
      </c>
      <c r="AE116" t="str">
        <f>IF(AND(Audit_Data[[#This Row],[Year_Birth]]&gt;=1900,Audit_Data[[#This Row],[Year_Birth]]&lt;=2010),"OK","Invalid")</f>
        <v>OK</v>
      </c>
      <c r="AF116" t="str">
        <f t="shared" si="14"/>
        <v>Valid</v>
      </c>
      <c r="AG116" t="str">
        <f t="shared" si="15"/>
        <v>Valid</v>
      </c>
      <c r="AH116" t="str">
        <f t="shared" si="16"/>
        <v>Valid</v>
      </c>
      <c r="AI116" t="str">
        <f t="shared" si="17"/>
        <v>Valid</v>
      </c>
      <c r="AJ116" t="str">
        <f t="shared" si="18"/>
        <v>Valid</v>
      </c>
      <c r="AK116" t="str">
        <f t="shared" si="25"/>
        <v xml:space="preserve">Valid </v>
      </c>
      <c r="AL116" t="str">
        <f>IF(AND(Audit_Data[[#This Row],[Recency]]&gt;=0,Audit_Data[[#This Row],[Recency]]&lt;=100),"Valid","Invalid")</f>
        <v>Valid</v>
      </c>
      <c r="AM116" t="str">
        <f t="shared" si="19"/>
        <v>Valid</v>
      </c>
      <c r="AN116" t="str">
        <f t="shared" si="20"/>
        <v>Valid</v>
      </c>
      <c r="AO116" t="str">
        <f t="shared" si="21"/>
        <v>Valid</v>
      </c>
      <c r="AP116" t="str">
        <f t="shared" si="22"/>
        <v>Valid</v>
      </c>
      <c r="AQ116" t="str">
        <f>IF(Audit_Data[[#This Row],[Z_CostContact]]=3,"Valid","Invalid")</f>
        <v>Valid</v>
      </c>
      <c r="AR116" t="str">
        <f t="shared" si="23"/>
        <v>Valid</v>
      </c>
      <c r="AS116" t="str">
        <f t="shared" si="24"/>
        <v>Valid</v>
      </c>
    </row>
    <row r="117" spans="1:45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 t="str">
        <f t="shared" si="13"/>
        <v>Ok</v>
      </c>
      <c r="AE117" t="str">
        <f>IF(AND(Audit_Data[[#This Row],[Year_Birth]]&gt;=1900,Audit_Data[[#This Row],[Year_Birth]]&lt;=2010),"OK","Invalid")</f>
        <v>OK</v>
      </c>
      <c r="AF117" t="str">
        <f t="shared" si="14"/>
        <v>Valid</v>
      </c>
      <c r="AG117" t="str">
        <f t="shared" si="15"/>
        <v>Valid</v>
      </c>
      <c r="AH117" t="str">
        <f t="shared" si="16"/>
        <v>Valid</v>
      </c>
      <c r="AI117" t="str">
        <f t="shared" si="17"/>
        <v>Valid</v>
      </c>
      <c r="AJ117" t="str">
        <f t="shared" si="18"/>
        <v>Valid</v>
      </c>
      <c r="AK117" t="str">
        <f t="shared" si="25"/>
        <v xml:space="preserve">Valid </v>
      </c>
      <c r="AL117" t="str">
        <f>IF(AND(Audit_Data[[#This Row],[Recency]]&gt;=0,Audit_Data[[#This Row],[Recency]]&lt;=100),"Valid","Invalid")</f>
        <v>Valid</v>
      </c>
      <c r="AM117" t="str">
        <f t="shared" si="19"/>
        <v>Valid</v>
      </c>
      <c r="AN117" t="str">
        <f t="shared" si="20"/>
        <v>Valid</v>
      </c>
      <c r="AO117" t="str">
        <f t="shared" si="21"/>
        <v>Valid</v>
      </c>
      <c r="AP117" t="str">
        <f t="shared" si="22"/>
        <v>Valid</v>
      </c>
      <c r="AQ117" t="str">
        <f>IF(Audit_Data[[#This Row],[Z_CostContact]]=3,"Valid","Invalid")</f>
        <v>Valid</v>
      </c>
      <c r="AR117" t="str">
        <f t="shared" si="23"/>
        <v>Valid</v>
      </c>
      <c r="AS117" t="str">
        <f t="shared" si="24"/>
        <v>Valid</v>
      </c>
    </row>
    <row r="118" spans="1:45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 t="str">
        <f t="shared" si="13"/>
        <v>Ok</v>
      </c>
      <c r="AE118" t="str">
        <f>IF(AND(Audit_Data[[#This Row],[Year_Birth]]&gt;=1900,Audit_Data[[#This Row],[Year_Birth]]&lt;=2010),"OK","Invalid")</f>
        <v>OK</v>
      </c>
      <c r="AF118" t="str">
        <f t="shared" si="14"/>
        <v>Valid</v>
      </c>
      <c r="AG118" t="str">
        <f t="shared" si="15"/>
        <v>Valid</v>
      </c>
      <c r="AH118" t="str">
        <f t="shared" si="16"/>
        <v>Valid</v>
      </c>
      <c r="AI118" t="str">
        <f t="shared" si="17"/>
        <v>Valid</v>
      </c>
      <c r="AJ118" t="str">
        <f t="shared" si="18"/>
        <v>Valid</v>
      </c>
      <c r="AK118" t="str">
        <f t="shared" si="25"/>
        <v xml:space="preserve">Valid </v>
      </c>
      <c r="AL118" t="str">
        <f>IF(AND(Audit_Data[[#This Row],[Recency]]&gt;=0,Audit_Data[[#This Row],[Recency]]&lt;=100),"Valid","Invalid")</f>
        <v>Valid</v>
      </c>
      <c r="AM118" t="str">
        <f t="shared" si="19"/>
        <v>Valid</v>
      </c>
      <c r="AN118" t="str">
        <f t="shared" si="20"/>
        <v>Valid</v>
      </c>
      <c r="AO118" t="str">
        <f t="shared" si="21"/>
        <v>Valid</v>
      </c>
      <c r="AP118" t="str">
        <f t="shared" si="22"/>
        <v>Valid</v>
      </c>
      <c r="AQ118" t="str">
        <f>IF(Audit_Data[[#This Row],[Z_CostContact]]=3,"Valid","Invalid")</f>
        <v>Valid</v>
      </c>
      <c r="AR118" t="str">
        <f t="shared" si="23"/>
        <v>Valid</v>
      </c>
      <c r="AS118" t="str">
        <f t="shared" si="24"/>
        <v>Valid</v>
      </c>
    </row>
    <row r="119" spans="1:45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 t="str">
        <f t="shared" si="13"/>
        <v>Ok</v>
      </c>
      <c r="AE119" t="str">
        <f>IF(AND(Audit_Data[[#This Row],[Year_Birth]]&gt;=1900,Audit_Data[[#This Row],[Year_Birth]]&lt;=2010),"OK","Invalid")</f>
        <v>OK</v>
      </c>
      <c r="AF119" t="str">
        <f t="shared" si="14"/>
        <v>Valid</v>
      </c>
      <c r="AG119" t="str">
        <f t="shared" si="15"/>
        <v>Valid</v>
      </c>
      <c r="AH119" t="str">
        <f t="shared" si="16"/>
        <v>Valid</v>
      </c>
      <c r="AI119" t="str">
        <f t="shared" si="17"/>
        <v>Valid</v>
      </c>
      <c r="AJ119" t="str">
        <f t="shared" si="18"/>
        <v>Valid</v>
      </c>
      <c r="AK119" t="str">
        <f t="shared" si="25"/>
        <v xml:space="preserve">Valid </v>
      </c>
      <c r="AL119" t="str">
        <f>IF(AND(Audit_Data[[#This Row],[Recency]]&gt;=0,Audit_Data[[#This Row],[Recency]]&lt;=100),"Valid","Invalid")</f>
        <v>Valid</v>
      </c>
      <c r="AM119" t="str">
        <f t="shared" si="19"/>
        <v>Valid</v>
      </c>
      <c r="AN119" t="str">
        <f t="shared" si="20"/>
        <v>Valid</v>
      </c>
      <c r="AO119" t="str">
        <f t="shared" si="21"/>
        <v>Valid</v>
      </c>
      <c r="AP119" t="str">
        <f t="shared" si="22"/>
        <v>Valid</v>
      </c>
      <c r="AQ119" t="str">
        <f>IF(Audit_Data[[#This Row],[Z_CostContact]]=3,"Valid","Invalid")</f>
        <v>Valid</v>
      </c>
      <c r="AR119" t="str">
        <f t="shared" si="23"/>
        <v>Valid</v>
      </c>
      <c r="AS119" t="str">
        <f t="shared" si="24"/>
        <v>Valid</v>
      </c>
    </row>
    <row r="120" spans="1:45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 t="str">
        <f t="shared" si="13"/>
        <v>Ok</v>
      </c>
      <c r="AE120" t="str">
        <f>IF(AND(Audit_Data[[#This Row],[Year_Birth]]&gt;=1900,Audit_Data[[#This Row],[Year_Birth]]&lt;=2010),"OK","Invalid")</f>
        <v>OK</v>
      </c>
      <c r="AF120" t="str">
        <f t="shared" si="14"/>
        <v>Valid</v>
      </c>
      <c r="AG120" t="str">
        <f t="shared" si="15"/>
        <v>Valid</v>
      </c>
      <c r="AH120" t="str">
        <f t="shared" si="16"/>
        <v>Valid</v>
      </c>
      <c r="AI120" t="str">
        <f t="shared" si="17"/>
        <v>Valid</v>
      </c>
      <c r="AJ120" t="str">
        <f t="shared" si="18"/>
        <v>Valid</v>
      </c>
      <c r="AK120" t="str">
        <f t="shared" si="25"/>
        <v xml:space="preserve">Valid </v>
      </c>
      <c r="AL120" t="str">
        <f>IF(AND(Audit_Data[[#This Row],[Recency]]&gt;=0,Audit_Data[[#This Row],[Recency]]&lt;=100),"Valid","Invalid")</f>
        <v>Valid</v>
      </c>
      <c r="AM120" t="str">
        <f t="shared" si="19"/>
        <v>Valid</v>
      </c>
      <c r="AN120" t="str">
        <f t="shared" si="20"/>
        <v>Valid</v>
      </c>
      <c r="AO120" t="str">
        <f t="shared" si="21"/>
        <v>Valid</v>
      </c>
      <c r="AP120" t="str">
        <f t="shared" si="22"/>
        <v>Valid</v>
      </c>
      <c r="AQ120" t="str">
        <f>IF(Audit_Data[[#This Row],[Z_CostContact]]=3,"Valid","Invalid")</f>
        <v>Valid</v>
      </c>
      <c r="AR120" t="str">
        <f t="shared" si="23"/>
        <v>Valid</v>
      </c>
      <c r="AS120" t="str">
        <f t="shared" si="24"/>
        <v>Valid</v>
      </c>
    </row>
    <row r="121" spans="1:45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 t="str">
        <f t="shared" si="13"/>
        <v>Ok</v>
      </c>
      <c r="AE121" t="str">
        <f>IF(AND(Audit_Data[[#This Row],[Year_Birth]]&gt;=1900,Audit_Data[[#This Row],[Year_Birth]]&lt;=2010),"OK","Invalid")</f>
        <v>OK</v>
      </c>
      <c r="AF121" t="str">
        <f t="shared" si="14"/>
        <v>Valid</v>
      </c>
      <c r="AG121" t="str">
        <f t="shared" si="15"/>
        <v>Valid</v>
      </c>
      <c r="AH121" t="str">
        <f t="shared" si="16"/>
        <v>Valid</v>
      </c>
      <c r="AI121" t="str">
        <f t="shared" si="17"/>
        <v>Valid</v>
      </c>
      <c r="AJ121" t="str">
        <f t="shared" si="18"/>
        <v>Valid</v>
      </c>
      <c r="AK121" t="str">
        <f t="shared" si="25"/>
        <v xml:space="preserve">Valid </v>
      </c>
      <c r="AL121" t="str">
        <f>IF(AND(Audit_Data[[#This Row],[Recency]]&gt;=0,Audit_Data[[#This Row],[Recency]]&lt;=100),"Valid","Invalid")</f>
        <v>Valid</v>
      </c>
      <c r="AM121" t="str">
        <f t="shared" si="19"/>
        <v>Valid</v>
      </c>
      <c r="AN121" t="str">
        <f t="shared" si="20"/>
        <v>Valid</v>
      </c>
      <c r="AO121" t="str">
        <f t="shared" si="21"/>
        <v>Valid</v>
      </c>
      <c r="AP121" t="str">
        <f t="shared" si="22"/>
        <v>Valid</v>
      </c>
      <c r="AQ121" t="str">
        <f>IF(Audit_Data[[#This Row],[Z_CostContact]]=3,"Valid","Invalid")</f>
        <v>Valid</v>
      </c>
      <c r="AR121" t="str">
        <f t="shared" si="23"/>
        <v>Valid</v>
      </c>
      <c r="AS121" t="str">
        <f t="shared" si="24"/>
        <v>Valid</v>
      </c>
    </row>
    <row r="122" spans="1:45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 t="str">
        <f t="shared" si="13"/>
        <v>Ok</v>
      </c>
      <c r="AE122" t="str">
        <f>IF(AND(Audit_Data[[#This Row],[Year_Birth]]&gt;=1900,Audit_Data[[#This Row],[Year_Birth]]&lt;=2010),"OK","Invalid")</f>
        <v>OK</v>
      </c>
      <c r="AF122" t="str">
        <f t="shared" si="14"/>
        <v>Valid</v>
      </c>
      <c r="AG122" t="str">
        <f t="shared" si="15"/>
        <v>Valid</v>
      </c>
      <c r="AH122" t="str">
        <f t="shared" si="16"/>
        <v>Valid</v>
      </c>
      <c r="AI122" t="str">
        <f t="shared" si="17"/>
        <v>Valid</v>
      </c>
      <c r="AJ122" t="str">
        <f t="shared" si="18"/>
        <v>Valid</v>
      </c>
      <c r="AK122" t="str">
        <f t="shared" si="25"/>
        <v xml:space="preserve">Valid </v>
      </c>
      <c r="AL122" t="str">
        <f>IF(AND(Audit_Data[[#This Row],[Recency]]&gt;=0,Audit_Data[[#This Row],[Recency]]&lt;=100),"Valid","Invalid")</f>
        <v>Valid</v>
      </c>
      <c r="AM122" t="str">
        <f t="shared" si="19"/>
        <v>Valid</v>
      </c>
      <c r="AN122" t="str">
        <f t="shared" si="20"/>
        <v>Valid</v>
      </c>
      <c r="AO122" t="str">
        <f t="shared" si="21"/>
        <v>Valid</v>
      </c>
      <c r="AP122" t="str">
        <f t="shared" si="22"/>
        <v>Valid</v>
      </c>
      <c r="AQ122" t="str">
        <f>IF(Audit_Data[[#This Row],[Z_CostContact]]=3,"Valid","Invalid")</f>
        <v>Valid</v>
      </c>
      <c r="AR122" t="str">
        <f t="shared" si="23"/>
        <v>Valid</v>
      </c>
      <c r="AS122" t="str">
        <f t="shared" si="24"/>
        <v>Valid</v>
      </c>
    </row>
    <row r="123" spans="1:45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 t="str">
        <f t="shared" si="13"/>
        <v>Ok</v>
      </c>
      <c r="AE123" t="str">
        <f>IF(AND(Audit_Data[[#This Row],[Year_Birth]]&gt;=1900,Audit_Data[[#This Row],[Year_Birth]]&lt;=2010),"OK","Invalid")</f>
        <v>OK</v>
      </c>
      <c r="AF123" t="str">
        <f t="shared" si="14"/>
        <v>Valid</v>
      </c>
      <c r="AG123" t="str">
        <f t="shared" si="15"/>
        <v>Valid</v>
      </c>
      <c r="AH123" t="str">
        <f t="shared" si="16"/>
        <v>Valid</v>
      </c>
      <c r="AI123" t="str">
        <f t="shared" si="17"/>
        <v>Valid</v>
      </c>
      <c r="AJ123" t="str">
        <f t="shared" si="18"/>
        <v>Valid</v>
      </c>
      <c r="AK123" t="str">
        <f t="shared" si="25"/>
        <v xml:space="preserve">Valid </v>
      </c>
      <c r="AL123" t="str">
        <f>IF(AND(Audit_Data[[#This Row],[Recency]]&gt;=0,Audit_Data[[#This Row],[Recency]]&lt;=100),"Valid","Invalid")</f>
        <v>Valid</v>
      </c>
      <c r="AM123" t="str">
        <f t="shared" si="19"/>
        <v>Valid</v>
      </c>
      <c r="AN123" t="str">
        <f t="shared" si="20"/>
        <v>Valid</v>
      </c>
      <c r="AO123" t="str">
        <f t="shared" si="21"/>
        <v>Valid</v>
      </c>
      <c r="AP123" t="str">
        <f t="shared" si="22"/>
        <v>Valid</v>
      </c>
      <c r="AQ123" t="str">
        <f>IF(Audit_Data[[#This Row],[Z_CostContact]]=3,"Valid","Invalid")</f>
        <v>Valid</v>
      </c>
      <c r="AR123" t="str">
        <f t="shared" si="23"/>
        <v>Valid</v>
      </c>
      <c r="AS123" t="str">
        <f t="shared" si="24"/>
        <v>Valid</v>
      </c>
    </row>
    <row r="124" spans="1:45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 t="str">
        <f t="shared" si="13"/>
        <v>Ok</v>
      </c>
      <c r="AE124" t="str">
        <f>IF(AND(Audit_Data[[#This Row],[Year_Birth]]&gt;=1900,Audit_Data[[#This Row],[Year_Birth]]&lt;=2010),"OK","Invalid")</f>
        <v>OK</v>
      </c>
      <c r="AF124" t="str">
        <f t="shared" si="14"/>
        <v>Valid</v>
      </c>
      <c r="AG124" t="str">
        <f t="shared" si="15"/>
        <v>Valid</v>
      </c>
      <c r="AH124" t="str">
        <f t="shared" si="16"/>
        <v>Valid</v>
      </c>
      <c r="AI124" t="str">
        <f t="shared" si="17"/>
        <v>Valid</v>
      </c>
      <c r="AJ124" t="str">
        <f t="shared" si="18"/>
        <v>Valid</v>
      </c>
      <c r="AK124" t="str">
        <f t="shared" si="25"/>
        <v xml:space="preserve">Valid </v>
      </c>
      <c r="AL124" t="str">
        <f>IF(AND(Audit_Data[[#This Row],[Recency]]&gt;=0,Audit_Data[[#This Row],[Recency]]&lt;=100),"Valid","Invalid")</f>
        <v>Valid</v>
      </c>
      <c r="AM124" t="str">
        <f t="shared" si="19"/>
        <v>Valid</v>
      </c>
      <c r="AN124" t="str">
        <f t="shared" si="20"/>
        <v>Valid</v>
      </c>
      <c r="AO124" t="str">
        <f t="shared" si="21"/>
        <v>Valid</v>
      </c>
      <c r="AP124" t="str">
        <f t="shared" si="22"/>
        <v>Valid</v>
      </c>
      <c r="AQ124" t="str">
        <f>IF(Audit_Data[[#This Row],[Z_CostContact]]=3,"Valid","Invalid")</f>
        <v>Valid</v>
      </c>
      <c r="AR124" t="str">
        <f t="shared" si="23"/>
        <v>Valid</v>
      </c>
      <c r="AS124" t="str">
        <f t="shared" si="24"/>
        <v>Valid</v>
      </c>
    </row>
    <row r="125" spans="1:45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 t="str">
        <f t="shared" si="13"/>
        <v>Ok</v>
      </c>
      <c r="AE125" t="str">
        <f>IF(AND(Audit_Data[[#This Row],[Year_Birth]]&gt;=1900,Audit_Data[[#This Row],[Year_Birth]]&lt;=2010),"OK","Invalid")</f>
        <v>OK</v>
      </c>
      <c r="AF125" t="str">
        <f t="shared" si="14"/>
        <v>Valid</v>
      </c>
      <c r="AG125" t="str">
        <f t="shared" si="15"/>
        <v>Valid</v>
      </c>
      <c r="AH125" t="str">
        <f t="shared" si="16"/>
        <v>Valid</v>
      </c>
      <c r="AI125" t="str">
        <f t="shared" si="17"/>
        <v>Valid</v>
      </c>
      <c r="AJ125" t="str">
        <f t="shared" si="18"/>
        <v>Valid</v>
      </c>
      <c r="AK125" t="str">
        <f t="shared" si="25"/>
        <v xml:space="preserve">Valid </v>
      </c>
      <c r="AL125" t="str">
        <f>IF(AND(Audit_Data[[#This Row],[Recency]]&gt;=0,Audit_Data[[#This Row],[Recency]]&lt;=100),"Valid","Invalid")</f>
        <v>Valid</v>
      </c>
      <c r="AM125" t="str">
        <f t="shared" si="19"/>
        <v>Valid</v>
      </c>
      <c r="AN125" t="str">
        <f t="shared" si="20"/>
        <v>Valid</v>
      </c>
      <c r="AO125" t="str">
        <f t="shared" si="21"/>
        <v>Valid</v>
      </c>
      <c r="AP125" t="str">
        <f t="shared" si="22"/>
        <v>Valid</v>
      </c>
      <c r="AQ125" t="str">
        <f>IF(Audit_Data[[#This Row],[Z_CostContact]]=3,"Valid","Invalid")</f>
        <v>Valid</v>
      </c>
      <c r="AR125" t="str">
        <f t="shared" si="23"/>
        <v>Valid</v>
      </c>
      <c r="AS125" t="str">
        <f t="shared" si="24"/>
        <v>Valid</v>
      </c>
    </row>
    <row r="126" spans="1:45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 t="str">
        <f t="shared" si="13"/>
        <v>Ok</v>
      </c>
      <c r="AE126" t="str">
        <f>IF(AND(Audit_Data[[#This Row],[Year_Birth]]&gt;=1900,Audit_Data[[#This Row],[Year_Birth]]&lt;=2010),"OK","Invalid")</f>
        <v>OK</v>
      </c>
      <c r="AF126" t="str">
        <f t="shared" si="14"/>
        <v>Valid</v>
      </c>
      <c r="AG126" t="str">
        <f t="shared" si="15"/>
        <v>Valid</v>
      </c>
      <c r="AH126" t="str">
        <f t="shared" si="16"/>
        <v>Valid</v>
      </c>
      <c r="AI126" t="str">
        <f t="shared" si="17"/>
        <v>Valid</v>
      </c>
      <c r="AJ126" t="str">
        <f t="shared" si="18"/>
        <v>Valid</v>
      </c>
      <c r="AK126" t="str">
        <f t="shared" si="25"/>
        <v xml:space="preserve">Valid </v>
      </c>
      <c r="AL126" t="str">
        <f>IF(AND(Audit_Data[[#This Row],[Recency]]&gt;=0,Audit_Data[[#This Row],[Recency]]&lt;=100),"Valid","Invalid")</f>
        <v>Valid</v>
      </c>
      <c r="AM126" t="str">
        <f t="shared" si="19"/>
        <v>Valid</v>
      </c>
      <c r="AN126" t="str">
        <f t="shared" si="20"/>
        <v>Valid</v>
      </c>
      <c r="AO126" t="str">
        <f t="shared" si="21"/>
        <v>Valid</v>
      </c>
      <c r="AP126" t="str">
        <f t="shared" si="22"/>
        <v>Valid</v>
      </c>
      <c r="AQ126" t="str">
        <f>IF(Audit_Data[[#This Row],[Z_CostContact]]=3,"Valid","Invalid")</f>
        <v>Valid</v>
      </c>
      <c r="AR126" t="str">
        <f t="shared" si="23"/>
        <v>Valid</v>
      </c>
      <c r="AS126" t="str">
        <f t="shared" si="24"/>
        <v>Valid</v>
      </c>
    </row>
    <row r="127" spans="1:45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 t="str">
        <f t="shared" si="13"/>
        <v>Ok</v>
      </c>
      <c r="AE127" t="str">
        <f>IF(AND(Audit_Data[[#This Row],[Year_Birth]]&gt;=1900,Audit_Data[[#This Row],[Year_Birth]]&lt;=2010),"OK","Invalid")</f>
        <v>OK</v>
      </c>
      <c r="AF127" t="str">
        <f t="shared" si="14"/>
        <v>Valid</v>
      </c>
      <c r="AG127" t="str">
        <f t="shared" si="15"/>
        <v>Valid</v>
      </c>
      <c r="AH127" t="str">
        <f t="shared" si="16"/>
        <v>Valid</v>
      </c>
      <c r="AI127" t="str">
        <f t="shared" si="17"/>
        <v>Valid</v>
      </c>
      <c r="AJ127" t="str">
        <f t="shared" si="18"/>
        <v>Valid</v>
      </c>
      <c r="AK127" t="str">
        <f t="shared" si="25"/>
        <v xml:space="preserve">Valid </v>
      </c>
      <c r="AL127" t="str">
        <f>IF(AND(Audit_Data[[#This Row],[Recency]]&gt;=0,Audit_Data[[#This Row],[Recency]]&lt;=100),"Valid","Invalid")</f>
        <v>Valid</v>
      </c>
      <c r="AM127" t="str">
        <f t="shared" si="19"/>
        <v>Valid</v>
      </c>
      <c r="AN127" t="str">
        <f t="shared" si="20"/>
        <v>Valid</v>
      </c>
      <c r="AO127" t="str">
        <f t="shared" si="21"/>
        <v>Valid</v>
      </c>
      <c r="AP127" t="str">
        <f t="shared" si="22"/>
        <v>Valid</v>
      </c>
      <c r="AQ127" t="str">
        <f>IF(Audit_Data[[#This Row],[Z_CostContact]]=3,"Valid","Invalid")</f>
        <v>Valid</v>
      </c>
      <c r="AR127" t="str">
        <f t="shared" si="23"/>
        <v>Valid</v>
      </c>
      <c r="AS127" t="str">
        <f t="shared" si="24"/>
        <v>Valid</v>
      </c>
    </row>
    <row r="128" spans="1:45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 t="str">
        <f t="shared" si="13"/>
        <v>Ok</v>
      </c>
      <c r="AE128" t="str">
        <f>IF(AND(Audit_Data[[#This Row],[Year_Birth]]&gt;=1900,Audit_Data[[#This Row],[Year_Birth]]&lt;=2010),"OK","Invalid")</f>
        <v>OK</v>
      </c>
      <c r="AF128" t="str">
        <f t="shared" si="14"/>
        <v>Valid</v>
      </c>
      <c r="AG128" t="str">
        <f t="shared" si="15"/>
        <v>Valid</v>
      </c>
      <c r="AH128" t="str">
        <f t="shared" si="16"/>
        <v>Valid</v>
      </c>
      <c r="AI128" t="str">
        <f t="shared" si="17"/>
        <v>Valid</v>
      </c>
      <c r="AJ128" t="str">
        <f t="shared" si="18"/>
        <v>Valid</v>
      </c>
      <c r="AK128" t="str">
        <f t="shared" si="25"/>
        <v xml:space="preserve">Valid </v>
      </c>
      <c r="AL128" t="str">
        <f>IF(AND(Audit_Data[[#This Row],[Recency]]&gt;=0,Audit_Data[[#This Row],[Recency]]&lt;=100),"Valid","Invalid")</f>
        <v>Valid</v>
      </c>
      <c r="AM128" t="str">
        <f t="shared" si="19"/>
        <v>Valid</v>
      </c>
      <c r="AN128" t="str">
        <f t="shared" si="20"/>
        <v>Valid</v>
      </c>
      <c r="AO128" t="str">
        <f t="shared" si="21"/>
        <v>Valid</v>
      </c>
      <c r="AP128" t="str">
        <f t="shared" si="22"/>
        <v>Valid</v>
      </c>
      <c r="AQ128" t="str">
        <f>IF(Audit_Data[[#This Row],[Z_CostContact]]=3,"Valid","Invalid")</f>
        <v>Valid</v>
      </c>
      <c r="AR128" t="str">
        <f t="shared" si="23"/>
        <v>Valid</v>
      </c>
      <c r="AS128" t="str">
        <f t="shared" si="24"/>
        <v>Valid</v>
      </c>
    </row>
    <row r="129" spans="1:45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 t="str">
        <f t="shared" si="13"/>
        <v>Ok</v>
      </c>
      <c r="AE129" t="str">
        <f>IF(AND(Audit_Data[[#This Row],[Year_Birth]]&gt;=1900,Audit_Data[[#This Row],[Year_Birth]]&lt;=2010),"OK","Invalid")</f>
        <v>OK</v>
      </c>
      <c r="AF129" t="str">
        <f t="shared" si="14"/>
        <v>Valid</v>
      </c>
      <c r="AG129" t="str">
        <f t="shared" si="15"/>
        <v>Valid</v>
      </c>
      <c r="AH129" t="str">
        <f t="shared" si="16"/>
        <v>Valid</v>
      </c>
      <c r="AI129" t="str">
        <f t="shared" si="17"/>
        <v>Valid</v>
      </c>
      <c r="AJ129" t="str">
        <f t="shared" si="18"/>
        <v>Valid</v>
      </c>
      <c r="AK129" t="str">
        <f t="shared" si="25"/>
        <v xml:space="preserve">Valid </v>
      </c>
      <c r="AL129" t="str">
        <f>IF(AND(Audit_Data[[#This Row],[Recency]]&gt;=0,Audit_Data[[#This Row],[Recency]]&lt;=100),"Valid","Invalid")</f>
        <v>Valid</v>
      </c>
      <c r="AM129" t="str">
        <f t="shared" si="19"/>
        <v>Valid</v>
      </c>
      <c r="AN129" t="str">
        <f t="shared" si="20"/>
        <v>Valid</v>
      </c>
      <c r="AO129" t="str">
        <f t="shared" si="21"/>
        <v>Valid</v>
      </c>
      <c r="AP129" t="str">
        <f t="shared" si="22"/>
        <v>Valid</v>
      </c>
      <c r="AQ129" t="str">
        <f>IF(Audit_Data[[#This Row],[Z_CostContact]]=3,"Valid","Invalid")</f>
        <v>Valid</v>
      </c>
      <c r="AR129" t="str">
        <f t="shared" si="23"/>
        <v>Valid</v>
      </c>
      <c r="AS129" t="str">
        <f t="shared" si="24"/>
        <v>Valid</v>
      </c>
    </row>
    <row r="130" spans="1:45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 t="str">
        <f t="shared" ref="AD130:AD193" si="26">IF(COUNTIF(A:A,A130)&gt;1,"Duplicate","Ok")</f>
        <v>Ok</v>
      </c>
      <c r="AE130" t="str">
        <f>IF(AND(Audit_Data[[#This Row],[Year_Birth]]&gt;=1900,Audit_Data[[#This Row],[Year_Birth]]&lt;=2010),"OK","Invalid")</f>
        <v>OK</v>
      </c>
      <c r="AF130" t="str">
        <f t="shared" ref="AF130:AF193" si="27">IF(OR(C130="Graduation",C130="phD",C130="Master",C130="Basic",C130="2n Cycle"),"Valid","Invalid")</f>
        <v>Valid</v>
      </c>
      <c r="AG130" t="str">
        <f t="shared" ref="AG130:AG193" si="28">IF(OR(D130="Single",D130="Married",D130="Divorced",D130="Together",D130="Widow",D130="Alone"),"Valid","Invalid")</f>
        <v>Valid</v>
      </c>
      <c r="AH130" t="str">
        <f t="shared" ref="AH130:AH193" si="29">IF(AND(ISNUMBER(E130),E130&lt;&gt;""),"Valid","Invalid")</f>
        <v>Invalid</v>
      </c>
      <c r="AI130" t="str">
        <f t="shared" ref="AI130:AI193" si="30">IF(AND(F130&gt;=0,F130&lt;=2),"Valid","Invalid")</f>
        <v>Valid</v>
      </c>
      <c r="AJ130" t="str">
        <f t="shared" ref="AJ130:AJ193" si="31">IF(AND(G130&gt;=0,G130&lt;=2),"Valid","Invalid")</f>
        <v>Valid</v>
      </c>
      <c r="AK130" t="str">
        <f t="shared" si="25"/>
        <v xml:space="preserve">Valid </v>
      </c>
      <c r="AL130" t="str">
        <f>IF(AND(Audit_Data[[#This Row],[Recency]]&gt;=0,Audit_Data[[#This Row],[Recency]]&lt;=100),"Valid","Invalid")</f>
        <v>Valid</v>
      </c>
      <c r="AM130" t="str">
        <f t="shared" ref="AM130:AM193" si="32">IF(AND(ISNUMBER(J130),J130&gt;=0,ISNUMBER(K130),K130&gt;=0,ISNUMBER(L130),L130&gt;=0,ISNUMBER(M130),M130&gt;=0,ISNUMBER(N130),N130&gt;=0,ISNUMBER(O130),O130&gt;=0),"Valid","Invalid")</f>
        <v>Valid</v>
      </c>
      <c r="AN130" t="str">
        <f t="shared" ref="AN130:AN193" si="33">IF(AND(ISNUMBER(P130),P130&gt;=0,ISNUMBER(Q130),Q130&gt;=0,ISNUMBER(R130),R130&gt;=0,ISNUMBER(S130),S130&gt;=0,ISNUMBER(T130),T130&gt;=0),"Valid","Invalid")</f>
        <v>Valid</v>
      </c>
      <c r="AO130" t="str">
        <f t="shared" ref="AO130:AO193" si="34">IF(AND(U130&lt;=1,V130&lt;=1,W130&lt;=1,X130&lt;=1,Y130&lt;=1),"Valid","Invalid")</f>
        <v>Valid</v>
      </c>
      <c r="AP130" t="str">
        <f t="shared" ref="AP130:AP193" si="35">IF(OR(Z130=0,Z130=1),"Valid","Invalid")</f>
        <v>Valid</v>
      </c>
      <c r="AQ130" t="str">
        <f>IF(Audit_Data[[#This Row],[Z_CostContact]]=3,"Valid","Invalid")</f>
        <v>Valid</v>
      </c>
      <c r="AR130" t="str">
        <f t="shared" ref="AR130:AR193" si="36">IF(AB130=11,"Valid","Invalid")</f>
        <v>Valid</v>
      </c>
      <c r="AS130" t="str">
        <f t="shared" ref="AS130:AS193" si="37">IF(OR(AC130=0,AC130=1),"Valid","Invalid")</f>
        <v>Valid</v>
      </c>
    </row>
    <row r="131" spans="1:45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 t="str">
        <f t="shared" si="26"/>
        <v>Ok</v>
      </c>
      <c r="AE131" t="str">
        <f>IF(AND(Audit_Data[[#This Row],[Year_Birth]]&gt;=1900,Audit_Data[[#This Row],[Year_Birth]]&lt;=2010),"OK","Invalid")</f>
        <v>OK</v>
      </c>
      <c r="AF131" t="str">
        <f t="shared" si="27"/>
        <v>Valid</v>
      </c>
      <c r="AG131" t="str">
        <f t="shared" si="28"/>
        <v>Valid</v>
      </c>
      <c r="AH131" t="str">
        <f t="shared" si="29"/>
        <v>Valid</v>
      </c>
      <c r="AI131" t="str">
        <f t="shared" si="30"/>
        <v>Valid</v>
      </c>
      <c r="AJ131" t="str">
        <f t="shared" si="31"/>
        <v>Valid</v>
      </c>
      <c r="AK131" t="str">
        <f t="shared" ref="AK131:AK194" si="38">IF(AND(ISNUMBER(H131),H131&gt;=DATE(2012,1,1),H131&lt;=DATE(2014,12,31)),"Valid ","Invalid")</f>
        <v xml:space="preserve">Valid </v>
      </c>
      <c r="AL131" t="str">
        <f>IF(AND(Audit_Data[[#This Row],[Recency]]&gt;=0,Audit_Data[[#This Row],[Recency]]&lt;=100),"Valid","Invalid")</f>
        <v>Valid</v>
      </c>
      <c r="AM131" t="str">
        <f t="shared" si="32"/>
        <v>Valid</v>
      </c>
      <c r="AN131" t="str">
        <f t="shared" si="33"/>
        <v>Valid</v>
      </c>
      <c r="AO131" t="str">
        <f t="shared" si="34"/>
        <v>Valid</v>
      </c>
      <c r="AP131" t="str">
        <f t="shared" si="35"/>
        <v>Valid</v>
      </c>
      <c r="AQ131" t="str">
        <f>IF(Audit_Data[[#This Row],[Z_CostContact]]=3,"Valid","Invalid")</f>
        <v>Valid</v>
      </c>
      <c r="AR131" t="str">
        <f t="shared" si="36"/>
        <v>Valid</v>
      </c>
      <c r="AS131" t="str">
        <f t="shared" si="37"/>
        <v>Valid</v>
      </c>
    </row>
    <row r="132" spans="1:45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 t="str">
        <f t="shared" si="26"/>
        <v>Ok</v>
      </c>
      <c r="AE132" t="str">
        <f>IF(AND(Audit_Data[[#This Row],[Year_Birth]]&gt;=1900,Audit_Data[[#This Row],[Year_Birth]]&lt;=2010),"OK","Invalid")</f>
        <v>OK</v>
      </c>
      <c r="AF132" t="str">
        <f t="shared" si="27"/>
        <v>Valid</v>
      </c>
      <c r="AG132" t="str">
        <f t="shared" si="28"/>
        <v>Valid</v>
      </c>
      <c r="AH132" t="str">
        <f t="shared" si="29"/>
        <v>Valid</v>
      </c>
      <c r="AI132" t="str">
        <f t="shared" si="30"/>
        <v>Valid</v>
      </c>
      <c r="AJ132" t="str">
        <f t="shared" si="31"/>
        <v>Valid</v>
      </c>
      <c r="AK132" t="str">
        <f t="shared" si="38"/>
        <v xml:space="preserve">Valid </v>
      </c>
      <c r="AL132" t="str">
        <f>IF(AND(Audit_Data[[#This Row],[Recency]]&gt;=0,Audit_Data[[#This Row],[Recency]]&lt;=100),"Valid","Invalid")</f>
        <v>Valid</v>
      </c>
      <c r="AM132" t="str">
        <f t="shared" si="32"/>
        <v>Valid</v>
      </c>
      <c r="AN132" t="str">
        <f t="shared" si="33"/>
        <v>Valid</v>
      </c>
      <c r="AO132" t="str">
        <f t="shared" si="34"/>
        <v>Valid</v>
      </c>
      <c r="AP132" t="str">
        <f t="shared" si="35"/>
        <v>Valid</v>
      </c>
      <c r="AQ132" t="str">
        <f>IF(Audit_Data[[#This Row],[Z_CostContact]]=3,"Valid","Invalid")</f>
        <v>Valid</v>
      </c>
      <c r="AR132" t="str">
        <f t="shared" si="36"/>
        <v>Valid</v>
      </c>
      <c r="AS132" t="str">
        <f t="shared" si="37"/>
        <v>Valid</v>
      </c>
    </row>
    <row r="133" spans="1:45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 t="str">
        <f t="shared" si="26"/>
        <v>Ok</v>
      </c>
      <c r="AE133" t="str">
        <f>IF(AND(Audit_Data[[#This Row],[Year_Birth]]&gt;=1900,Audit_Data[[#This Row],[Year_Birth]]&lt;=2010),"OK","Invalid")</f>
        <v>OK</v>
      </c>
      <c r="AF133" t="str">
        <f t="shared" si="27"/>
        <v>Valid</v>
      </c>
      <c r="AG133" t="str">
        <f t="shared" si="28"/>
        <v>Valid</v>
      </c>
      <c r="AH133" t="str">
        <f t="shared" si="29"/>
        <v>Valid</v>
      </c>
      <c r="AI133" t="str">
        <f t="shared" si="30"/>
        <v>Valid</v>
      </c>
      <c r="AJ133" t="str">
        <f t="shared" si="31"/>
        <v>Valid</v>
      </c>
      <c r="AK133" t="str">
        <f t="shared" si="38"/>
        <v xml:space="preserve">Valid </v>
      </c>
      <c r="AL133" t="str">
        <f>IF(AND(Audit_Data[[#This Row],[Recency]]&gt;=0,Audit_Data[[#This Row],[Recency]]&lt;=100),"Valid","Invalid")</f>
        <v>Valid</v>
      </c>
      <c r="AM133" t="str">
        <f t="shared" si="32"/>
        <v>Valid</v>
      </c>
      <c r="AN133" t="str">
        <f t="shared" si="33"/>
        <v>Valid</v>
      </c>
      <c r="AO133" t="str">
        <f t="shared" si="34"/>
        <v>Valid</v>
      </c>
      <c r="AP133" t="str">
        <f t="shared" si="35"/>
        <v>Valid</v>
      </c>
      <c r="AQ133" t="str">
        <f>IF(Audit_Data[[#This Row],[Z_CostContact]]=3,"Valid","Invalid")</f>
        <v>Valid</v>
      </c>
      <c r="AR133" t="str">
        <f t="shared" si="36"/>
        <v>Valid</v>
      </c>
      <c r="AS133" t="str">
        <f t="shared" si="37"/>
        <v>Valid</v>
      </c>
    </row>
    <row r="134" spans="1:45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 t="str">
        <f t="shared" si="26"/>
        <v>Ok</v>
      </c>
      <c r="AE134" t="str">
        <f>IF(AND(Audit_Data[[#This Row],[Year_Birth]]&gt;=1900,Audit_Data[[#This Row],[Year_Birth]]&lt;=2010),"OK","Invalid")</f>
        <v>OK</v>
      </c>
      <c r="AF134" t="str">
        <f t="shared" si="27"/>
        <v>Valid</v>
      </c>
      <c r="AG134" t="str">
        <f t="shared" si="28"/>
        <v>Valid</v>
      </c>
      <c r="AH134" t="str">
        <f t="shared" si="29"/>
        <v>Valid</v>
      </c>
      <c r="AI134" t="str">
        <f t="shared" si="30"/>
        <v>Valid</v>
      </c>
      <c r="AJ134" t="str">
        <f t="shared" si="31"/>
        <v>Valid</v>
      </c>
      <c r="AK134" t="str">
        <f t="shared" si="38"/>
        <v xml:space="preserve">Valid </v>
      </c>
      <c r="AL134" t="str">
        <f>IF(AND(Audit_Data[[#This Row],[Recency]]&gt;=0,Audit_Data[[#This Row],[Recency]]&lt;=100),"Valid","Invalid")</f>
        <v>Valid</v>
      </c>
      <c r="AM134" t="str">
        <f t="shared" si="32"/>
        <v>Valid</v>
      </c>
      <c r="AN134" t="str">
        <f t="shared" si="33"/>
        <v>Valid</v>
      </c>
      <c r="AO134" t="str">
        <f t="shared" si="34"/>
        <v>Valid</v>
      </c>
      <c r="AP134" t="str">
        <f t="shared" si="35"/>
        <v>Valid</v>
      </c>
      <c r="AQ134" t="str">
        <f>IF(Audit_Data[[#This Row],[Z_CostContact]]=3,"Valid","Invalid")</f>
        <v>Valid</v>
      </c>
      <c r="AR134" t="str">
        <f t="shared" si="36"/>
        <v>Valid</v>
      </c>
      <c r="AS134" t="str">
        <f t="shared" si="37"/>
        <v>Valid</v>
      </c>
    </row>
    <row r="135" spans="1:45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 t="str">
        <f t="shared" si="26"/>
        <v>Ok</v>
      </c>
      <c r="AE135" t="str">
        <f>IF(AND(Audit_Data[[#This Row],[Year_Birth]]&gt;=1900,Audit_Data[[#This Row],[Year_Birth]]&lt;=2010),"OK","Invalid")</f>
        <v>OK</v>
      </c>
      <c r="AF135" t="str">
        <f t="shared" si="27"/>
        <v>Valid</v>
      </c>
      <c r="AG135" t="str">
        <f t="shared" si="28"/>
        <v>Valid</v>
      </c>
      <c r="AH135" t="str">
        <f t="shared" si="29"/>
        <v>Invalid</v>
      </c>
      <c r="AI135" t="str">
        <f t="shared" si="30"/>
        <v>Valid</v>
      </c>
      <c r="AJ135" t="str">
        <f t="shared" si="31"/>
        <v>Valid</v>
      </c>
      <c r="AK135" t="str">
        <f t="shared" si="38"/>
        <v xml:space="preserve">Valid </v>
      </c>
      <c r="AL135" t="str">
        <f>IF(AND(Audit_Data[[#This Row],[Recency]]&gt;=0,Audit_Data[[#This Row],[Recency]]&lt;=100),"Valid","Invalid")</f>
        <v>Valid</v>
      </c>
      <c r="AM135" t="str">
        <f t="shared" si="32"/>
        <v>Valid</v>
      </c>
      <c r="AN135" t="str">
        <f t="shared" si="33"/>
        <v>Valid</v>
      </c>
      <c r="AO135" t="str">
        <f t="shared" si="34"/>
        <v>Valid</v>
      </c>
      <c r="AP135" t="str">
        <f t="shared" si="35"/>
        <v>Valid</v>
      </c>
      <c r="AQ135" t="str">
        <f>IF(Audit_Data[[#This Row],[Z_CostContact]]=3,"Valid","Invalid")</f>
        <v>Valid</v>
      </c>
      <c r="AR135" t="str">
        <f t="shared" si="36"/>
        <v>Valid</v>
      </c>
      <c r="AS135" t="str">
        <f t="shared" si="37"/>
        <v>Valid</v>
      </c>
    </row>
    <row r="136" spans="1:45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 t="str">
        <f t="shared" si="26"/>
        <v>Ok</v>
      </c>
      <c r="AE136" t="str">
        <f>IF(AND(Audit_Data[[#This Row],[Year_Birth]]&gt;=1900,Audit_Data[[#This Row],[Year_Birth]]&lt;=2010),"OK","Invalid")</f>
        <v>OK</v>
      </c>
      <c r="AF136" t="str">
        <f t="shared" si="27"/>
        <v>Valid</v>
      </c>
      <c r="AG136" t="str">
        <f t="shared" si="28"/>
        <v>Valid</v>
      </c>
      <c r="AH136" t="str">
        <f t="shared" si="29"/>
        <v>Valid</v>
      </c>
      <c r="AI136" t="str">
        <f t="shared" si="30"/>
        <v>Valid</v>
      </c>
      <c r="AJ136" t="str">
        <f t="shared" si="31"/>
        <v>Valid</v>
      </c>
      <c r="AK136" t="str">
        <f t="shared" si="38"/>
        <v xml:space="preserve">Valid </v>
      </c>
      <c r="AL136" t="str">
        <f>IF(AND(Audit_Data[[#This Row],[Recency]]&gt;=0,Audit_Data[[#This Row],[Recency]]&lt;=100),"Valid","Invalid")</f>
        <v>Valid</v>
      </c>
      <c r="AM136" t="str">
        <f t="shared" si="32"/>
        <v>Valid</v>
      </c>
      <c r="AN136" t="str">
        <f t="shared" si="33"/>
        <v>Valid</v>
      </c>
      <c r="AO136" t="str">
        <f t="shared" si="34"/>
        <v>Valid</v>
      </c>
      <c r="AP136" t="str">
        <f t="shared" si="35"/>
        <v>Valid</v>
      </c>
      <c r="AQ136" t="str">
        <f>IF(Audit_Data[[#This Row],[Z_CostContact]]=3,"Valid","Invalid")</f>
        <v>Valid</v>
      </c>
      <c r="AR136" t="str">
        <f t="shared" si="36"/>
        <v>Valid</v>
      </c>
      <c r="AS136" t="str">
        <f t="shared" si="37"/>
        <v>Valid</v>
      </c>
    </row>
    <row r="137" spans="1:45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 t="str">
        <f t="shared" si="26"/>
        <v>Ok</v>
      </c>
      <c r="AE137" t="str">
        <f>IF(AND(Audit_Data[[#This Row],[Year_Birth]]&gt;=1900,Audit_Data[[#This Row],[Year_Birth]]&lt;=2010),"OK","Invalid")</f>
        <v>OK</v>
      </c>
      <c r="AF137" t="str">
        <f t="shared" si="27"/>
        <v>Valid</v>
      </c>
      <c r="AG137" t="str">
        <f t="shared" si="28"/>
        <v>Valid</v>
      </c>
      <c r="AH137" t="str">
        <f t="shared" si="29"/>
        <v>Valid</v>
      </c>
      <c r="AI137" t="str">
        <f t="shared" si="30"/>
        <v>Valid</v>
      </c>
      <c r="AJ137" t="str">
        <f t="shared" si="31"/>
        <v>Valid</v>
      </c>
      <c r="AK137" t="str">
        <f t="shared" si="38"/>
        <v xml:space="preserve">Valid </v>
      </c>
      <c r="AL137" t="str">
        <f>IF(AND(Audit_Data[[#This Row],[Recency]]&gt;=0,Audit_Data[[#This Row],[Recency]]&lt;=100),"Valid","Invalid")</f>
        <v>Valid</v>
      </c>
      <c r="AM137" t="str">
        <f t="shared" si="32"/>
        <v>Valid</v>
      </c>
      <c r="AN137" t="str">
        <f t="shared" si="33"/>
        <v>Valid</v>
      </c>
      <c r="AO137" t="str">
        <f t="shared" si="34"/>
        <v>Valid</v>
      </c>
      <c r="AP137" t="str">
        <f t="shared" si="35"/>
        <v>Valid</v>
      </c>
      <c r="AQ137" t="str">
        <f>IF(Audit_Data[[#This Row],[Z_CostContact]]=3,"Valid","Invalid")</f>
        <v>Valid</v>
      </c>
      <c r="AR137" t="str">
        <f t="shared" si="36"/>
        <v>Valid</v>
      </c>
      <c r="AS137" t="str">
        <f t="shared" si="37"/>
        <v>Valid</v>
      </c>
    </row>
    <row r="138" spans="1:45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 t="str">
        <f t="shared" si="26"/>
        <v>Ok</v>
      </c>
      <c r="AE138" t="str">
        <f>IF(AND(Audit_Data[[#This Row],[Year_Birth]]&gt;=1900,Audit_Data[[#This Row],[Year_Birth]]&lt;=2010),"OK","Invalid")</f>
        <v>OK</v>
      </c>
      <c r="AF138" t="str">
        <f t="shared" si="27"/>
        <v>Valid</v>
      </c>
      <c r="AG138" t="str">
        <f t="shared" si="28"/>
        <v>Valid</v>
      </c>
      <c r="AH138" t="str">
        <f t="shared" si="29"/>
        <v>Valid</v>
      </c>
      <c r="AI138" t="str">
        <f t="shared" si="30"/>
        <v>Valid</v>
      </c>
      <c r="AJ138" t="str">
        <f t="shared" si="31"/>
        <v>Valid</v>
      </c>
      <c r="AK138" t="str">
        <f t="shared" si="38"/>
        <v xml:space="preserve">Valid </v>
      </c>
      <c r="AL138" t="str">
        <f>IF(AND(Audit_Data[[#This Row],[Recency]]&gt;=0,Audit_Data[[#This Row],[Recency]]&lt;=100),"Valid","Invalid")</f>
        <v>Valid</v>
      </c>
      <c r="AM138" t="str">
        <f t="shared" si="32"/>
        <v>Valid</v>
      </c>
      <c r="AN138" t="str">
        <f t="shared" si="33"/>
        <v>Valid</v>
      </c>
      <c r="AO138" t="str">
        <f t="shared" si="34"/>
        <v>Valid</v>
      </c>
      <c r="AP138" t="str">
        <f t="shared" si="35"/>
        <v>Valid</v>
      </c>
      <c r="AQ138" t="str">
        <f>IF(Audit_Data[[#This Row],[Z_CostContact]]=3,"Valid","Invalid")</f>
        <v>Valid</v>
      </c>
      <c r="AR138" t="str">
        <f t="shared" si="36"/>
        <v>Valid</v>
      </c>
      <c r="AS138" t="str">
        <f t="shared" si="37"/>
        <v>Valid</v>
      </c>
    </row>
    <row r="139" spans="1:45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 t="str">
        <f t="shared" si="26"/>
        <v>Ok</v>
      </c>
      <c r="AE139" t="str">
        <f>IF(AND(Audit_Data[[#This Row],[Year_Birth]]&gt;=1900,Audit_Data[[#This Row],[Year_Birth]]&lt;=2010),"OK","Invalid")</f>
        <v>OK</v>
      </c>
      <c r="AF139" t="str">
        <f t="shared" si="27"/>
        <v>Valid</v>
      </c>
      <c r="AG139" t="str">
        <f t="shared" si="28"/>
        <v>Valid</v>
      </c>
      <c r="AH139" t="str">
        <f t="shared" si="29"/>
        <v>Valid</v>
      </c>
      <c r="AI139" t="str">
        <f t="shared" si="30"/>
        <v>Valid</v>
      </c>
      <c r="AJ139" t="str">
        <f t="shared" si="31"/>
        <v>Valid</v>
      </c>
      <c r="AK139" t="str">
        <f t="shared" si="38"/>
        <v xml:space="preserve">Valid </v>
      </c>
      <c r="AL139" t="str">
        <f>IF(AND(Audit_Data[[#This Row],[Recency]]&gt;=0,Audit_Data[[#This Row],[Recency]]&lt;=100),"Valid","Invalid")</f>
        <v>Valid</v>
      </c>
      <c r="AM139" t="str">
        <f t="shared" si="32"/>
        <v>Valid</v>
      </c>
      <c r="AN139" t="str">
        <f t="shared" si="33"/>
        <v>Valid</v>
      </c>
      <c r="AO139" t="str">
        <f t="shared" si="34"/>
        <v>Valid</v>
      </c>
      <c r="AP139" t="str">
        <f t="shared" si="35"/>
        <v>Valid</v>
      </c>
      <c r="AQ139" t="str">
        <f>IF(Audit_Data[[#This Row],[Z_CostContact]]=3,"Valid","Invalid")</f>
        <v>Valid</v>
      </c>
      <c r="AR139" t="str">
        <f t="shared" si="36"/>
        <v>Valid</v>
      </c>
      <c r="AS139" t="str">
        <f t="shared" si="37"/>
        <v>Valid</v>
      </c>
    </row>
    <row r="140" spans="1:45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 t="str">
        <f t="shared" si="26"/>
        <v>Ok</v>
      </c>
      <c r="AE140" t="str">
        <f>IF(AND(Audit_Data[[#This Row],[Year_Birth]]&gt;=1900,Audit_Data[[#This Row],[Year_Birth]]&lt;=2010),"OK","Invalid")</f>
        <v>OK</v>
      </c>
      <c r="AF140" t="str">
        <f t="shared" si="27"/>
        <v>Valid</v>
      </c>
      <c r="AG140" t="str">
        <f t="shared" si="28"/>
        <v>Valid</v>
      </c>
      <c r="AH140" t="str">
        <f t="shared" si="29"/>
        <v>Valid</v>
      </c>
      <c r="AI140" t="str">
        <f t="shared" si="30"/>
        <v>Valid</v>
      </c>
      <c r="AJ140" t="str">
        <f t="shared" si="31"/>
        <v>Valid</v>
      </c>
      <c r="AK140" t="str">
        <f t="shared" si="38"/>
        <v xml:space="preserve">Valid </v>
      </c>
      <c r="AL140" t="str">
        <f>IF(AND(Audit_Data[[#This Row],[Recency]]&gt;=0,Audit_Data[[#This Row],[Recency]]&lt;=100),"Valid","Invalid")</f>
        <v>Valid</v>
      </c>
      <c r="AM140" t="str">
        <f t="shared" si="32"/>
        <v>Valid</v>
      </c>
      <c r="AN140" t="str">
        <f t="shared" si="33"/>
        <v>Valid</v>
      </c>
      <c r="AO140" t="str">
        <f t="shared" si="34"/>
        <v>Valid</v>
      </c>
      <c r="AP140" t="str">
        <f t="shared" si="35"/>
        <v>Valid</v>
      </c>
      <c r="AQ140" t="str">
        <f>IF(Audit_Data[[#This Row],[Z_CostContact]]=3,"Valid","Invalid")</f>
        <v>Valid</v>
      </c>
      <c r="AR140" t="str">
        <f t="shared" si="36"/>
        <v>Valid</v>
      </c>
      <c r="AS140" t="str">
        <f t="shared" si="37"/>
        <v>Valid</v>
      </c>
    </row>
    <row r="141" spans="1:45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 t="str">
        <f t="shared" si="26"/>
        <v>Ok</v>
      </c>
      <c r="AE141" t="str">
        <f>IF(AND(Audit_Data[[#This Row],[Year_Birth]]&gt;=1900,Audit_Data[[#This Row],[Year_Birth]]&lt;=2010),"OK","Invalid")</f>
        <v>OK</v>
      </c>
      <c r="AF141" t="str">
        <f t="shared" si="27"/>
        <v>Valid</v>
      </c>
      <c r="AG141" t="str">
        <f t="shared" si="28"/>
        <v>Valid</v>
      </c>
      <c r="AH141" t="str">
        <f t="shared" si="29"/>
        <v>Valid</v>
      </c>
      <c r="AI141" t="str">
        <f t="shared" si="30"/>
        <v>Valid</v>
      </c>
      <c r="AJ141" t="str">
        <f t="shared" si="31"/>
        <v>Valid</v>
      </c>
      <c r="AK141" t="str">
        <f t="shared" si="38"/>
        <v xml:space="preserve">Valid </v>
      </c>
      <c r="AL141" t="str">
        <f>IF(AND(Audit_Data[[#This Row],[Recency]]&gt;=0,Audit_Data[[#This Row],[Recency]]&lt;=100),"Valid","Invalid")</f>
        <v>Valid</v>
      </c>
      <c r="AM141" t="str">
        <f t="shared" si="32"/>
        <v>Valid</v>
      </c>
      <c r="AN141" t="str">
        <f t="shared" si="33"/>
        <v>Valid</v>
      </c>
      <c r="AO141" t="str">
        <f t="shared" si="34"/>
        <v>Valid</v>
      </c>
      <c r="AP141" t="str">
        <f t="shared" si="35"/>
        <v>Valid</v>
      </c>
      <c r="AQ141" t="str">
        <f>IF(Audit_Data[[#This Row],[Z_CostContact]]=3,"Valid","Invalid")</f>
        <v>Valid</v>
      </c>
      <c r="AR141" t="str">
        <f t="shared" si="36"/>
        <v>Valid</v>
      </c>
      <c r="AS141" t="str">
        <f t="shared" si="37"/>
        <v>Valid</v>
      </c>
    </row>
    <row r="142" spans="1:45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 t="str">
        <f t="shared" si="26"/>
        <v>Ok</v>
      </c>
      <c r="AE142" t="str">
        <f>IF(AND(Audit_Data[[#This Row],[Year_Birth]]&gt;=1900,Audit_Data[[#This Row],[Year_Birth]]&lt;=2010),"OK","Invalid")</f>
        <v>OK</v>
      </c>
      <c r="AF142" t="str">
        <f t="shared" si="27"/>
        <v>Valid</v>
      </c>
      <c r="AG142" t="str">
        <f t="shared" si="28"/>
        <v>Valid</v>
      </c>
      <c r="AH142" t="str">
        <f t="shared" si="29"/>
        <v>Valid</v>
      </c>
      <c r="AI142" t="str">
        <f t="shared" si="30"/>
        <v>Valid</v>
      </c>
      <c r="AJ142" t="str">
        <f t="shared" si="31"/>
        <v>Valid</v>
      </c>
      <c r="AK142" t="str">
        <f t="shared" si="38"/>
        <v xml:space="preserve">Valid </v>
      </c>
      <c r="AL142" t="str">
        <f>IF(AND(Audit_Data[[#This Row],[Recency]]&gt;=0,Audit_Data[[#This Row],[Recency]]&lt;=100),"Valid","Invalid")</f>
        <v>Valid</v>
      </c>
      <c r="AM142" t="str">
        <f t="shared" si="32"/>
        <v>Valid</v>
      </c>
      <c r="AN142" t="str">
        <f t="shared" si="33"/>
        <v>Valid</v>
      </c>
      <c r="AO142" t="str">
        <f t="shared" si="34"/>
        <v>Valid</v>
      </c>
      <c r="AP142" t="str">
        <f t="shared" si="35"/>
        <v>Valid</v>
      </c>
      <c r="AQ142" t="str">
        <f>IF(Audit_Data[[#This Row],[Z_CostContact]]=3,"Valid","Invalid")</f>
        <v>Valid</v>
      </c>
      <c r="AR142" t="str">
        <f t="shared" si="36"/>
        <v>Valid</v>
      </c>
      <c r="AS142" t="str">
        <f t="shared" si="37"/>
        <v>Valid</v>
      </c>
    </row>
    <row r="143" spans="1:45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 t="str">
        <f t="shared" si="26"/>
        <v>Ok</v>
      </c>
      <c r="AE143" t="str">
        <f>IF(AND(Audit_Data[[#This Row],[Year_Birth]]&gt;=1900,Audit_Data[[#This Row],[Year_Birth]]&lt;=2010),"OK","Invalid")</f>
        <v>OK</v>
      </c>
      <c r="AF143" t="str">
        <f t="shared" si="27"/>
        <v>Valid</v>
      </c>
      <c r="AG143" t="str">
        <f t="shared" si="28"/>
        <v>Valid</v>
      </c>
      <c r="AH143" t="str">
        <f t="shared" si="29"/>
        <v>Valid</v>
      </c>
      <c r="AI143" t="str">
        <f t="shared" si="30"/>
        <v>Valid</v>
      </c>
      <c r="AJ143" t="str">
        <f t="shared" si="31"/>
        <v>Valid</v>
      </c>
      <c r="AK143" t="str">
        <f t="shared" si="38"/>
        <v xml:space="preserve">Valid </v>
      </c>
      <c r="AL143" t="str">
        <f>IF(AND(Audit_Data[[#This Row],[Recency]]&gt;=0,Audit_Data[[#This Row],[Recency]]&lt;=100),"Valid","Invalid")</f>
        <v>Valid</v>
      </c>
      <c r="AM143" t="str">
        <f t="shared" si="32"/>
        <v>Valid</v>
      </c>
      <c r="AN143" t="str">
        <f t="shared" si="33"/>
        <v>Valid</v>
      </c>
      <c r="AO143" t="str">
        <f t="shared" si="34"/>
        <v>Valid</v>
      </c>
      <c r="AP143" t="str">
        <f t="shared" si="35"/>
        <v>Valid</v>
      </c>
      <c r="AQ143" t="str">
        <f>IF(Audit_Data[[#This Row],[Z_CostContact]]=3,"Valid","Invalid")</f>
        <v>Valid</v>
      </c>
      <c r="AR143" t="str">
        <f t="shared" si="36"/>
        <v>Valid</v>
      </c>
      <c r="AS143" t="str">
        <f t="shared" si="37"/>
        <v>Valid</v>
      </c>
    </row>
    <row r="144" spans="1:45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 t="str">
        <f t="shared" si="26"/>
        <v>Ok</v>
      </c>
      <c r="AE144" t="str">
        <f>IF(AND(Audit_Data[[#This Row],[Year_Birth]]&gt;=1900,Audit_Data[[#This Row],[Year_Birth]]&lt;=2010),"OK","Invalid")</f>
        <v>OK</v>
      </c>
      <c r="AF144" t="str">
        <f t="shared" si="27"/>
        <v>Valid</v>
      </c>
      <c r="AG144" t="str">
        <f t="shared" si="28"/>
        <v>Valid</v>
      </c>
      <c r="AH144" t="str">
        <f t="shared" si="29"/>
        <v>Valid</v>
      </c>
      <c r="AI144" t="str">
        <f t="shared" si="30"/>
        <v>Valid</v>
      </c>
      <c r="AJ144" t="str">
        <f t="shared" si="31"/>
        <v>Valid</v>
      </c>
      <c r="AK144" t="str">
        <f t="shared" si="38"/>
        <v xml:space="preserve">Valid </v>
      </c>
      <c r="AL144" t="str">
        <f>IF(AND(Audit_Data[[#This Row],[Recency]]&gt;=0,Audit_Data[[#This Row],[Recency]]&lt;=100),"Valid","Invalid")</f>
        <v>Valid</v>
      </c>
      <c r="AM144" t="str">
        <f t="shared" si="32"/>
        <v>Valid</v>
      </c>
      <c r="AN144" t="str">
        <f t="shared" si="33"/>
        <v>Valid</v>
      </c>
      <c r="AO144" t="str">
        <f t="shared" si="34"/>
        <v>Valid</v>
      </c>
      <c r="AP144" t="str">
        <f t="shared" si="35"/>
        <v>Valid</v>
      </c>
      <c r="AQ144" t="str">
        <f>IF(Audit_Data[[#This Row],[Z_CostContact]]=3,"Valid","Invalid")</f>
        <v>Valid</v>
      </c>
      <c r="AR144" t="str">
        <f t="shared" si="36"/>
        <v>Valid</v>
      </c>
      <c r="AS144" t="str">
        <f t="shared" si="37"/>
        <v>Valid</v>
      </c>
    </row>
    <row r="145" spans="1:45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 t="str">
        <f t="shared" si="26"/>
        <v>Ok</v>
      </c>
      <c r="AE145" t="str">
        <f>IF(AND(Audit_Data[[#This Row],[Year_Birth]]&gt;=1900,Audit_Data[[#This Row],[Year_Birth]]&lt;=2010),"OK","Invalid")</f>
        <v>OK</v>
      </c>
      <c r="AF145" t="str">
        <f t="shared" si="27"/>
        <v>Valid</v>
      </c>
      <c r="AG145" t="str">
        <f t="shared" si="28"/>
        <v>Valid</v>
      </c>
      <c r="AH145" t="str">
        <f t="shared" si="29"/>
        <v>Valid</v>
      </c>
      <c r="AI145" t="str">
        <f t="shared" si="30"/>
        <v>Valid</v>
      </c>
      <c r="AJ145" t="str">
        <f t="shared" si="31"/>
        <v>Valid</v>
      </c>
      <c r="AK145" t="str">
        <f t="shared" si="38"/>
        <v xml:space="preserve">Valid </v>
      </c>
      <c r="AL145" t="str">
        <f>IF(AND(Audit_Data[[#This Row],[Recency]]&gt;=0,Audit_Data[[#This Row],[Recency]]&lt;=100),"Valid","Invalid")</f>
        <v>Valid</v>
      </c>
      <c r="AM145" t="str">
        <f t="shared" si="32"/>
        <v>Valid</v>
      </c>
      <c r="AN145" t="str">
        <f t="shared" si="33"/>
        <v>Valid</v>
      </c>
      <c r="AO145" t="str">
        <f t="shared" si="34"/>
        <v>Valid</v>
      </c>
      <c r="AP145" t="str">
        <f t="shared" si="35"/>
        <v>Valid</v>
      </c>
      <c r="AQ145" t="str">
        <f>IF(Audit_Data[[#This Row],[Z_CostContact]]=3,"Valid","Invalid")</f>
        <v>Valid</v>
      </c>
      <c r="AR145" t="str">
        <f t="shared" si="36"/>
        <v>Valid</v>
      </c>
      <c r="AS145" t="str">
        <f t="shared" si="37"/>
        <v>Valid</v>
      </c>
    </row>
    <row r="146" spans="1:45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 t="str">
        <f t="shared" si="26"/>
        <v>Ok</v>
      </c>
      <c r="AE146" t="str">
        <f>IF(AND(Audit_Data[[#This Row],[Year_Birth]]&gt;=1900,Audit_Data[[#This Row],[Year_Birth]]&lt;=2010),"OK","Invalid")</f>
        <v>OK</v>
      </c>
      <c r="AF146" t="str">
        <f t="shared" si="27"/>
        <v>Valid</v>
      </c>
      <c r="AG146" t="str">
        <f t="shared" si="28"/>
        <v>Valid</v>
      </c>
      <c r="AH146" t="str">
        <f t="shared" si="29"/>
        <v>Valid</v>
      </c>
      <c r="AI146" t="str">
        <f t="shared" si="30"/>
        <v>Valid</v>
      </c>
      <c r="AJ146" t="str">
        <f t="shared" si="31"/>
        <v>Valid</v>
      </c>
      <c r="AK146" t="str">
        <f t="shared" si="38"/>
        <v xml:space="preserve">Valid </v>
      </c>
      <c r="AL146" t="str">
        <f>IF(AND(Audit_Data[[#This Row],[Recency]]&gt;=0,Audit_Data[[#This Row],[Recency]]&lt;=100),"Valid","Invalid")</f>
        <v>Valid</v>
      </c>
      <c r="AM146" t="str">
        <f t="shared" si="32"/>
        <v>Valid</v>
      </c>
      <c r="AN146" t="str">
        <f t="shared" si="33"/>
        <v>Valid</v>
      </c>
      <c r="AO146" t="str">
        <f t="shared" si="34"/>
        <v>Valid</v>
      </c>
      <c r="AP146" t="str">
        <f t="shared" si="35"/>
        <v>Valid</v>
      </c>
      <c r="AQ146" t="str">
        <f>IF(Audit_Data[[#This Row],[Z_CostContact]]=3,"Valid","Invalid")</f>
        <v>Valid</v>
      </c>
      <c r="AR146" t="str">
        <f t="shared" si="36"/>
        <v>Valid</v>
      </c>
      <c r="AS146" t="str">
        <f t="shared" si="37"/>
        <v>Valid</v>
      </c>
    </row>
    <row r="147" spans="1:45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 t="str">
        <f t="shared" si="26"/>
        <v>Ok</v>
      </c>
      <c r="AE147" t="str">
        <f>IF(AND(Audit_Data[[#This Row],[Year_Birth]]&gt;=1900,Audit_Data[[#This Row],[Year_Birth]]&lt;=2010),"OK","Invalid")</f>
        <v>OK</v>
      </c>
      <c r="AF147" t="str">
        <f t="shared" si="27"/>
        <v>Valid</v>
      </c>
      <c r="AG147" t="str">
        <f t="shared" si="28"/>
        <v>Valid</v>
      </c>
      <c r="AH147" t="str">
        <f t="shared" si="29"/>
        <v>Valid</v>
      </c>
      <c r="AI147" t="str">
        <f t="shared" si="30"/>
        <v>Valid</v>
      </c>
      <c r="AJ147" t="str">
        <f t="shared" si="31"/>
        <v>Valid</v>
      </c>
      <c r="AK147" t="str">
        <f t="shared" si="38"/>
        <v xml:space="preserve">Valid </v>
      </c>
      <c r="AL147" t="str">
        <f>IF(AND(Audit_Data[[#This Row],[Recency]]&gt;=0,Audit_Data[[#This Row],[Recency]]&lt;=100),"Valid","Invalid")</f>
        <v>Valid</v>
      </c>
      <c r="AM147" t="str">
        <f t="shared" si="32"/>
        <v>Valid</v>
      </c>
      <c r="AN147" t="str">
        <f t="shared" si="33"/>
        <v>Valid</v>
      </c>
      <c r="AO147" t="str">
        <f t="shared" si="34"/>
        <v>Valid</v>
      </c>
      <c r="AP147" t="str">
        <f t="shared" si="35"/>
        <v>Valid</v>
      </c>
      <c r="AQ147" t="str">
        <f>IF(Audit_Data[[#This Row],[Z_CostContact]]=3,"Valid","Invalid")</f>
        <v>Valid</v>
      </c>
      <c r="AR147" t="str">
        <f t="shared" si="36"/>
        <v>Valid</v>
      </c>
      <c r="AS147" t="str">
        <f t="shared" si="37"/>
        <v>Valid</v>
      </c>
    </row>
    <row r="148" spans="1:45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 t="str">
        <f t="shared" si="26"/>
        <v>Ok</v>
      </c>
      <c r="AE148" t="str">
        <f>IF(AND(Audit_Data[[#This Row],[Year_Birth]]&gt;=1900,Audit_Data[[#This Row],[Year_Birth]]&lt;=2010),"OK","Invalid")</f>
        <v>OK</v>
      </c>
      <c r="AF148" t="str">
        <f t="shared" si="27"/>
        <v>Valid</v>
      </c>
      <c r="AG148" t="str">
        <f t="shared" si="28"/>
        <v>Valid</v>
      </c>
      <c r="AH148" t="str">
        <f t="shared" si="29"/>
        <v>Valid</v>
      </c>
      <c r="AI148" t="str">
        <f t="shared" si="30"/>
        <v>Valid</v>
      </c>
      <c r="AJ148" t="str">
        <f t="shared" si="31"/>
        <v>Valid</v>
      </c>
      <c r="AK148" t="str">
        <f t="shared" si="38"/>
        <v xml:space="preserve">Valid </v>
      </c>
      <c r="AL148" t="str">
        <f>IF(AND(Audit_Data[[#This Row],[Recency]]&gt;=0,Audit_Data[[#This Row],[Recency]]&lt;=100),"Valid","Invalid")</f>
        <v>Valid</v>
      </c>
      <c r="AM148" t="str">
        <f t="shared" si="32"/>
        <v>Valid</v>
      </c>
      <c r="AN148" t="str">
        <f t="shared" si="33"/>
        <v>Valid</v>
      </c>
      <c r="AO148" t="str">
        <f t="shared" si="34"/>
        <v>Valid</v>
      </c>
      <c r="AP148" t="str">
        <f t="shared" si="35"/>
        <v>Valid</v>
      </c>
      <c r="AQ148" t="str">
        <f>IF(Audit_Data[[#This Row],[Z_CostContact]]=3,"Valid","Invalid")</f>
        <v>Valid</v>
      </c>
      <c r="AR148" t="str">
        <f t="shared" si="36"/>
        <v>Valid</v>
      </c>
      <c r="AS148" t="str">
        <f t="shared" si="37"/>
        <v>Valid</v>
      </c>
    </row>
    <row r="149" spans="1:45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 t="str">
        <f t="shared" si="26"/>
        <v>Ok</v>
      </c>
      <c r="AE149" t="str">
        <f>IF(AND(Audit_Data[[#This Row],[Year_Birth]]&gt;=1900,Audit_Data[[#This Row],[Year_Birth]]&lt;=2010),"OK","Invalid")</f>
        <v>OK</v>
      </c>
      <c r="AF149" t="str">
        <f t="shared" si="27"/>
        <v>Valid</v>
      </c>
      <c r="AG149" t="str">
        <f t="shared" si="28"/>
        <v>Valid</v>
      </c>
      <c r="AH149" t="str">
        <f t="shared" si="29"/>
        <v>Valid</v>
      </c>
      <c r="AI149" t="str">
        <f t="shared" si="30"/>
        <v>Valid</v>
      </c>
      <c r="AJ149" t="str">
        <f t="shared" si="31"/>
        <v>Valid</v>
      </c>
      <c r="AK149" t="str">
        <f t="shared" si="38"/>
        <v xml:space="preserve">Valid </v>
      </c>
      <c r="AL149" t="str">
        <f>IF(AND(Audit_Data[[#This Row],[Recency]]&gt;=0,Audit_Data[[#This Row],[Recency]]&lt;=100),"Valid","Invalid")</f>
        <v>Valid</v>
      </c>
      <c r="AM149" t="str">
        <f t="shared" si="32"/>
        <v>Valid</v>
      </c>
      <c r="AN149" t="str">
        <f t="shared" si="33"/>
        <v>Valid</v>
      </c>
      <c r="AO149" t="str">
        <f t="shared" si="34"/>
        <v>Valid</v>
      </c>
      <c r="AP149" t="str">
        <f t="shared" si="35"/>
        <v>Valid</v>
      </c>
      <c r="AQ149" t="str">
        <f>IF(Audit_Data[[#This Row],[Z_CostContact]]=3,"Valid","Invalid")</f>
        <v>Valid</v>
      </c>
      <c r="AR149" t="str">
        <f t="shared" si="36"/>
        <v>Valid</v>
      </c>
      <c r="AS149" t="str">
        <f t="shared" si="37"/>
        <v>Valid</v>
      </c>
    </row>
    <row r="150" spans="1:45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 t="str">
        <f t="shared" si="26"/>
        <v>Ok</v>
      </c>
      <c r="AE150" t="str">
        <f>IF(AND(Audit_Data[[#This Row],[Year_Birth]]&gt;=1900,Audit_Data[[#This Row],[Year_Birth]]&lt;=2010),"OK","Invalid")</f>
        <v>OK</v>
      </c>
      <c r="AF150" t="str">
        <f t="shared" si="27"/>
        <v>Valid</v>
      </c>
      <c r="AG150" t="str">
        <f t="shared" si="28"/>
        <v>Valid</v>
      </c>
      <c r="AH150" t="str">
        <f t="shared" si="29"/>
        <v>Valid</v>
      </c>
      <c r="AI150" t="str">
        <f t="shared" si="30"/>
        <v>Valid</v>
      </c>
      <c r="AJ150" t="str">
        <f t="shared" si="31"/>
        <v>Valid</v>
      </c>
      <c r="AK150" t="str">
        <f t="shared" si="38"/>
        <v xml:space="preserve">Valid </v>
      </c>
      <c r="AL150" t="str">
        <f>IF(AND(Audit_Data[[#This Row],[Recency]]&gt;=0,Audit_Data[[#This Row],[Recency]]&lt;=100),"Valid","Invalid")</f>
        <v>Valid</v>
      </c>
      <c r="AM150" t="str">
        <f t="shared" si="32"/>
        <v>Valid</v>
      </c>
      <c r="AN150" t="str">
        <f t="shared" si="33"/>
        <v>Valid</v>
      </c>
      <c r="AO150" t="str">
        <f t="shared" si="34"/>
        <v>Valid</v>
      </c>
      <c r="AP150" t="str">
        <f t="shared" si="35"/>
        <v>Valid</v>
      </c>
      <c r="AQ150" t="str">
        <f>IF(Audit_Data[[#This Row],[Z_CostContact]]=3,"Valid","Invalid")</f>
        <v>Valid</v>
      </c>
      <c r="AR150" t="str">
        <f t="shared" si="36"/>
        <v>Valid</v>
      </c>
      <c r="AS150" t="str">
        <f t="shared" si="37"/>
        <v>Valid</v>
      </c>
    </row>
    <row r="151" spans="1:45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 t="str">
        <f t="shared" si="26"/>
        <v>Ok</v>
      </c>
      <c r="AE151" t="str">
        <f>IF(AND(Audit_Data[[#This Row],[Year_Birth]]&gt;=1900,Audit_Data[[#This Row],[Year_Birth]]&lt;=2010),"OK","Invalid")</f>
        <v>OK</v>
      </c>
      <c r="AF151" t="str">
        <f t="shared" si="27"/>
        <v>Valid</v>
      </c>
      <c r="AG151" t="str">
        <f t="shared" si="28"/>
        <v>Valid</v>
      </c>
      <c r="AH151" t="str">
        <f t="shared" si="29"/>
        <v>Valid</v>
      </c>
      <c r="AI151" t="str">
        <f t="shared" si="30"/>
        <v>Valid</v>
      </c>
      <c r="AJ151" t="str">
        <f t="shared" si="31"/>
        <v>Valid</v>
      </c>
      <c r="AK151" t="str">
        <f t="shared" si="38"/>
        <v xml:space="preserve">Valid </v>
      </c>
      <c r="AL151" t="str">
        <f>IF(AND(Audit_Data[[#This Row],[Recency]]&gt;=0,Audit_Data[[#This Row],[Recency]]&lt;=100),"Valid","Invalid")</f>
        <v>Valid</v>
      </c>
      <c r="AM151" t="str">
        <f t="shared" si="32"/>
        <v>Valid</v>
      </c>
      <c r="AN151" t="str">
        <f t="shared" si="33"/>
        <v>Valid</v>
      </c>
      <c r="AO151" t="str">
        <f t="shared" si="34"/>
        <v>Valid</v>
      </c>
      <c r="AP151" t="str">
        <f t="shared" si="35"/>
        <v>Valid</v>
      </c>
      <c r="AQ151" t="str">
        <f>IF(Audit_Data[[#This Row],[Z_CostContact]]=3,"Valid","Invalid")</f>
        <v>Valid</v>
      </c>
      <c r="AR151" t="str">
        <f t="shared" si="36"/>
        <v>Valid</v>
      </c>
      <c r="AS151" t="str">
        <f t="shared" si="37"/>
        <v>Valid</v>
      </c>
    </row>
    <row r="152" spans="1:45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 t="str">
        <f t="shared" si="26"/>
        <v>Ok</v>
      </c>
      <c r="AE152" t="str">
        <f>IF(AND(Audit_Data[[#This Row],[Year_Birth]]&gt;=1900,Audit_Data[[#This Row],[Year_Birth]]&lt;=2010),"OK","Invalid")</f>
        <v>OK</v>
      </c>
      <c r="AF152" t="str">
        <f t="shared" si="27"/>
        <v>Valid</v>
      </c>
      <c r="AG152" t="str">
        <f t="shared" si="28"/>
        <v>Valid</v>
      </c>
      <c r="AH152" t="str">
        <f t="shared" si="29"/>
        <v>Valid</v>
      </c>
      <c r="AI152" t="str">
        <f t="shared" si="30"/>
        <v>Valid</v>
      </c>
      <c r="AJ152" t="str">
        <f t="shared" si="31"/>
        <v>Valid</v>
      </c>
      <c r="AK152" t="str">
        <f t="shared" si="38"/>
        <v xml:space="preserve">Valid </v>
      </c>
      <c r="AL152" t="str">
        <f>IF(AND(Audit_Data[[#This Row],[Recency]]&gt;=0,Audit_Data[[#This Row],[Recency]]&lt;=100),"Valid","Invalid")</f>
        <v>Valid</v>
      </c>
      <c r="AM152" t="str">
        <f t="shared" si="32"/>
        <v>Valid</v>
      </c>
      <c r="AN152" t="str">
        <f t="shared" si="33"/>
        <v>Valid</v>
      </c>
      <c r="AO152" t="str">
        <f t="shared" si="34"/>
        <v>Valid</v>
      </c>
      <c r="AP152" t="str">
        <f t="shared" si="35"/>
        <v>Valid</v>
      </c>
      <c r="AQ152" t="str">
        <f>IF(Audit_Data[[#This Row],[Z_CostContact]]=3,"Valid","Invalid")</f>
        <v>Valid</v>
      </c>
      <c r="AR152" t="str">
        <f t="shared" si="36"/>
        <v>Valid</v>
      </c>
      <c r="AS152" t="str">
        <f t="shared" si="37"/>
        <v>Valid</v>
      </c>
    </row>
    <row r="153" spans="1:45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 t="str">
        <f t="shared" si="26"/>
        <v>Ok</v>
      </c>
      <c r="AE153" t="str">
        <f>IF(AND(Audit_Data[[#This Row],[Year_Birth]]&gt;=1900,Audit_Data[[#This Row],[Year_Birth]]&lt;=2010),"OK","Invalid")</f>
        <v>OK</v>
      </c>
      <c r="AF153" t="str">
        <f t="shared" si="27"/>
        <v>Valid</v>
      </c>
      <c r="AG153" t="str">
        <f t="shared" si="28"/>
        <v>Valid</v>
      </c>
      <c r="AH153" t="str">
        <f t="shared" si="29"/>
        <v>Valid</v>
      </c>
      <c r="AI153" t="str">
        <f t="shared" si="30"/>
        <v>Valid</v>
      </c>
      <c r="AJ153" t="str">
        <f t="shared" si="31"/>
        <v>Valid</v>
      </c>
      <c r="AK153" t="str">
        <f t="shared" si="38"/>
        <v xml:space="preserve">Valid </v>
      </c>
      <c r="AL153" t="str">
        <f>IF(AND(Audit_Data[[#This Row],[Recency]]&gt;=0,Audit_Data[[#This Row],[Recency]]&lt;=100),"Valid","Invalid")</f>
        <v>Valid</v>
      </c>
      <c r="AM153" t="str">
        <f t="shared" si="32"/>
        <v>Valid</v>
      </c>
      <c r="AN153" t="str">
        <f t="shared" si="33"/>
        <v>Valid</v>
      </c>
      <c r="AO153" t="str">
        <f t="shared" si="34"/>
        <v>Valid</v>
      </c>
      <c r="AP153" t="str">
        <f t="shared" si="35"/>
        <v>Valid</v>
      </c>
      <c r="AQ153" t="str">
        <f>IF(Audit_Data[[#This Row],[Z_CostContact]]=3,"Valid","Invalid")</f>
        <v>Valid</v>
      </c>
      <c r="AR153" t="str">
        <f t="shared" si="36"/>
        <v>Valid</v>
      </c>
      <c r="AS153" t="str">
        <f t="shared" si="37"/>
        <v>Valid</v>
      </c>
    </row>
    <row r="154" spans="1:45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 t="str">
        <f t="shared" si="26"/>
        <v>Ok</v>
      </c>
      <c r="AE154" t="str">
        <f>IF(AND(Audit_Data[[#This Row],[Year_Birth]]&gt;=1900,Audit_Data[[#This Row],[Year_Birth]]&lt;=2010),"OK","Invalid")</f>
        <v>OK</v>
      </c>
      <c r="AF154" t="str">
        <f t="shared" si="27"/>
        <v>Valid</v>
      </c>
      <c r="AG154" t="str">
        <f t="shared" si="28"/>
        <v>Valid</v>
      </c>
      <c r="AH154" t="str">
        <f t="shared" si="29"/>
        <v>Valid</v>
      </c>
      <c r="AI154" t="str">
        <f t="shared" si="30"/>
        <v>Valid</v>
      </c>
      <c r="AJ154" t="str">
        <f t="shared" si="31"/>
        <v>Valid</v>
      </c>
      <c r="AK154" t="str">
        <f t="shared" si="38"/>
        <v xml:space="preserve">Valid </v>
      </c>
      <c r="AL154" t="str">
        <f>IF(AND(Audit_Data[[#This Row],[Recency]]&gt;=0,Audit_Data[[#This Row],[Recency]]&lt;=100),"Valid","Invalid")</f>
        <v>Valid</v>
      </c>
      <c r="AM154" t="str">
        <f t="shared" si="32"/>
        <v>Valid</v>
      </c>
      <c r="AN154" t="str">
        <f t="shared" si="33"/>
        <v>Valid</v>
      </c>
      <c r="AO154" t="str">
        <f t="shared" si="34"/>
        <v>Valid</v>
      </c>
      <c r="AP154" t="str">
        <f t="shared" si="35"/>
        <v>Valid</v>
      </c>
      <c r="AQ154" t="str">
        <f>IF(Audit_Data[[#This Row],[Z_CostContact]]=3,"Valid","Invalid")</f>
        <v>Valid</v>
      </c>
      <c r="AR154" t="str">
        <f t="shared" si="36"/>
        <v>Valid</v>
      </c>
      <c r="AS154" t="str">
        <f t="shared" si="37"/>
        <v>Valid</v>
      </c>
    </row>
    <row r="155" spans="1:45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 t="str">
        <f t="shared" si="26"/>
        <v>Ok</v>
      </c>
      <c r="AE155" t="str">
        <f>IF(AND(Audit_Data[[#This Row],[Year_Birth]]&gt;=1900,Audit_Data[[#This Row],[Year_Birth]]&lt;=2010),"OK","Invalid")</f>
        <v>OK</v>
      </c>
      <c r="AF155" t="str">
        <f t="shared" si="27"/>
        <v>Valid</v>
      </c>
      <c r="AG155" t="str">
        <f t="shared" si="28"/>
        <v>Valid</v>
      </c>
      <c r="AH155" t="str">
        <f t="shared" si="29"/>
        <v>Valid</v>
      </c>
      <c r="AI155" t="str">
        <f t="shared" si="30"/>
        <v>Valid</v>
      </c>
      <c r="AJ155" t="str">
        <f t="shared" si="31"/>
        <v>Valid</v>
      </c>
      <c r="AK155" t="str">
        <f t="shared" si="38"/>
        <v xml:space="preserve">Valid </v>
      </c>
      <c r="AL155" t="str">
        <f>IF(AND(Audit_Data[[#This Row],[Recency]]&gt;=0,Audit_Data[[#This Row],[Recency]]&lt;=100),"Valid","Invalid")</f>
        <v>Valid</v>
      </c>
      <c r="AM155" t="str">
        <f t="shared" si="32"/>
        <v>Valid</v>
      </c>
      <c r="AN155" t="str">
        <f t="shared" si="33"/>
        <v>Valid</v>
      </c>
      <c r="AO155" t="str">
        <f t="shared" si="34"/>
        <v>Valid</v>
      </c>
      <c r="AP155" t="str">
        <f t="shared" si="35"/>
        <v>Valid</v>
      </c>
      <c r="AQ155" t="str">
        <f>IF(Audit_Data[[#This Row],[Z_CostContact]]=3,"Valid","Invalid")</f>
        <v>Valid</v>
      </c>
      <c r="AR155" t="str">
        <f t="shared" si="36"/>
        <v>Valid</v>
      </c>
      <c r="AS155" t="str">
        <f t="shared" si="37"/>
        <v>Valid</v>
      </c>
    </row>
    <row r="156" spans="1:45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 t="str">
        <f t="shared" si="26"/>
        <v>Ok</v>
      </c>
      <c r="AE156" t="str">
        <f>IF(AND(Audit_Data[[#This Row],[Year_Birth]]&gt;=1900,Audit_Data[[#This Row],[Year_Birth]]&lt;=2010),"OK","Invalid")</f>
        <v>OK</v>
      </c>
      <c r="AF156" t="str">
        <f t="shared" si="27"/>
        <v>Valid</v>
      </c>
      <c r="AG156" t="str">
        <f t="shared" si="28"/>
        <v>Valid</v>
      </c>
      <c r="AH156" t="str">
        <f t="shared" si="29"/>
        <v>Valid</v>
      </c>
      <c r="AI156" t="str">
        <f t="shared" si="30"/>
        <v>Valid</v>
      </c>
      <c r="AJ156" t="str">
        <f t="shared" si="31"/>
        <v>Valid</v>
      </c>
      <c r="AK156" t="str">
        <f t="shared" si="38"/>
        <v xml:space="preserve">Valid </v>
      </c>
      <c r="AL156" t="str">
        <f>IF(AND(Audit_Data[[#This Row],[Recency]]&gt;=0,Audit_Data[[#This Row],[Recency]]&lt;=100),"Valid","Invalid")</f>
        <v>Valid</v>
      </c>
      <c r="AM156" t="str">
        <f t="shared" si="32"/>
        <v>Valid</v>
      </c>
      <c r="AN156" t="str">
        <f t="shared" si="33"/>
        <v>Valid</v>
      </c>
      <c r="AO156" t="str">
        <f t="shared" si="34"/>
        <v>Valid</v>
      </c>
      <c r="AP156" t="str">
        <f t="shared" si="35"/>
        <v>Valid</v>
      </c>
      <c r="AQ156" t="str">
        <f>IF(Audit_Data[[#This Row],[Z_CostContact]]=3,"Valid","Invalid")</f>
        <v>Valid</v>
      </c>
      <c r="AR156" t="str">
        <f t="shared" si="36"/>
        <v>Valid</v>
      </c>
      <c r="AS156" t="str">
        <f t="shared" si="37"/>
        <v>Valid</v>
      </c>
    </row>
    <row r="157" spans="1:45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 t="str">
        <f t="shared" si="26"/>
        <v>Ok</v>
      </c>
      <c r="AE157" t="str">
        <f>IF(AND(Audit_Data[[#This Row],[Year_Birth]]&gt;=1900,Audit_Data[[#This Row],[Year_Birth]]&lt;=2010),"OK","Invalid")</f>
        <v>OK</v>
      </c>
      <c r="AF157" t="str">
        <f t="shared" si="27"/>
        <v>Valid</v>
      </c>
      <c r="AG157" t="str">
        <f t="shared" si="28"/>
        <v>Valid</v>
      </c>
      <c r="AH157" t="str">
        <f t="shared" si="29"/>
        <v>Valid</v>
      </c>
      <c r="AI157" t="str">
        <f t="shared" si="30"/>
        <v>Valid</v>
      </c>
      <c r="AJ157" t="str">
        <f t="shared" si="31"/>
        <v>Valid</v>
      </c>
      <c r="AK157" t="str">
        <f t="shared" si="38"/>
        <v xml:space="preserve">Valid </v>
      </c>
      <c r="AL157" t="str">
        <f>IF(AND(Audit_Data[[#This Row],[Recency]]&gt;=0,Audit_Data[[#This Row],[Recency]]&lt;=100),"Valid","Invalid")</f>
        <v>Valid</v>
      </c>
      <c r="AM157" t="str">
        <f t="shared" si="32"/>
        <v>Valid</v>
      </c>
      <c r="AN157" t="str">
        <f t="shared" si="33"/>
        <v>Valid</v>
      </c>
      <c r="AO157" t="str">
        <f t="shared" si="34"/>
        <v>Valid</v>
      </c>
      <c r="AP157" t="str">
        <f t="shared" si="35"/>
        <v>Valid</v>
      </c>
      <c r="AQ157" t="str">
        <f>IF(Audit_Data[[#This Row],[Z_CostContact]]=3,"Valid","Invalid")</f>
        <v>Valid</v>
      </c>
      <c r="AR157" t="str">
        <f t="shared" si="36"/>
        <v>Valid</v>
      </c>
      <c r="AS157" t="str">
        <f t="shared" si="37"/>
        <v>Valid</v>
      </c>
    </row>
    <row r="158" spans="1:45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 t="str">
        <f t="shared" si="26"/>
        <v>Ok</v>
      </c>
      <c r="AE158" t="str">
        <f>IF(AND(Audit_Data[[#This Row],[Year_Birth]]&gt;=1900,Audit_Data[[#This Row],[Year_Birth]]&lt;=2010),"OK","Invalid")</f>
        <v>OK</v>
      </c>
      <c r="AF158" t="str">
        <f t="shared" si="27"/>
        <v>Valid</v>
      </c>
      <c r="AG158" t="str">
        <f t="shared" si="28"/>
        <v>Valid</v>
      </c>
      <c r="AH158" t="str">
        <f t="shared" si="29"/>
        <v>Valid</v>
      </c>
      <c r="AI158" t="str">
        <f t="shared" si="30"/>
        <v>Valid</v>
      </c>
      <c r="AJ158" t="str">
        <f t="shared" si="31"/>
        <v>Valid</v>
      </c>
      <c r="AK158" t="str">
        <f t="shared" si="38"/>
        <v xml:space="preserve">Valid </v>
      </c>
      <c r="AL158" t="str">
        <f>IF(AND(Audit_Data[[#This Row],[Recency]]&gt;=0,Audit_Data[[#This Row],[Recency]]&lt;=100),"Valid","Invalid")</f>
        <v>Valid</v>
      </c>
      <c r="AM158" t="str">
        <f t="shared" si="32"/>
        <v>Valid</v>
      </c>
      <c r="AN158" t="str">
        <f t="shared" si="33"/>
        <v>Valid</v>
      </c>
      <c r="AO158" t="str">
        <f t="shared" si="34"/>
        <v>Valid</v>
      </c>
      <c r="AP158" t="str">
        <f t="shared" si="35"/>
        <v>Valid</v>
      </c>
      <c r="AQ158" t="str">
        <f>IF(Audit_Data[[#This Row],[Z_CostContact]]=3,"Valid","Invalid")</f>
        <v>Valid</v>
      </c>
      <c r="AR158" t="str">
        <f t="shared" si="36"/>
        <v>Valid</v>
      </c>
      <c r="AS158" t="str">
        <f t="shared" si="37"/>
        <v>Valid</v>
      </c>
    </row>
    <row r="159" spans="1:45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 t="str">
        <f t="shared" si="26"/>
        <v>Ok</v>
      </c>
      <c r="AE159" t="str">
        <f>IF(AND(Audit_Data[[#This Row],[Year_Birth]]&gt;=1900,Audit_Data[[#This Row],[Year_Birth]]&lt;=2010),"OK","Invalid")</f>
        <v>OK</v>
      </c>
      <c r="AF159" t="str">
        <f t="shared" si="27"/>
        <v>Valid</v>
      </c>
      <c r="AG159" t="str">
        <f t="shared" si="28"/>
        <v>Valid</v>
      </c>
      <c r="AH159" t="str">
        <f t="shared" si="29"/>
        <v>Valid</v>
      </c>
      <c r="AI159" t="str">
        <f t="shared" si="30"/>
        <v>Valid</v>
      </c>
      <c r="AJ159" t="str">
        <f t="shared" si="31"/>
        <v>Valid</v>
      </c>
      <c r="AK159" t="str">
        <f t="shared" si="38"/>
        <v xml:space="preserve">Valid </v>
      </c>
      <c r="AL159" t="str">
        <f>IF(AND(Audit_Data[[#This Row],[Recency]]&gt;=0,Audit_Data[[#This Row],[Recency]]&lt;=100),"Valid","Invalid")</f>
        <v>Valid</v>
      </c>
      <c r="AM159" t="str">
        <f t="shared" si="32"/>
        <v>Valid</v>
      </c>
      <c r="AN159" t="str">
        <f t="shared" si="33"/>
        <v>Valid</v>
      </c>
      <c r="AO159" t="str">
        <f t="shared" si="34"/>
        <v>Valid</v>
      </c>
      <c r="AP159" t="str">
        <f t="shared" si="35"/>
        <v>Valid</v>
      </c>
      <c r="AQ159" t="str">
        <f>IF(Audit_Data[[#This Row],[Z_CostContact]]=3,"Valid","Invalid")</f>
        <v>Valid</v>
      </c>
      <c r="AR159" t="str">
        <f t="shared" si="36"/>
        <v>Valid</v>
      </c>
      <c r="AS159" t="str">
        <f t="shared" si="37"/>
        <v>Valid</v>
      </c>
    </row>
    <row r="160" spans="1:45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 t="str">
        <f t="shared" si="26"/>
        <v>Ok</v>
      </c>
      <c r="AE160" t="str">
        <f>IF(AND(Audit_Data[[#This Row],[Year_Birth]]&gt;=1900,Audit_Data[[#This Row],[Year_Birth]]&lt;=2010),"OK","Invalid")</f>
        <v>OK</v>
      </c>
      <c r="AF160" t="str">
        <f t="shared" si="27"/>
        <v>Valid</v>
      </c>
      <c r="AG160" t="str">
        <f t="shared" si="28"/>
        <v>Valid</v>
      </c>
      <c r="AH160" t="str">
        <f t="shared" si="29"/>
        <v>Valid</v>
      </c>
      <c r="AI160" t="str">
        <f t="shared" si="30"/>
        <v>Valid</v>
      </c>
      <c r="AJ160" t="str">
        <f t="shared" si="31"/>
        <v>Valid</v>
      </c>
      <c r="AK160" t="str">
        <f t="shared" si="38"/>
        <v xml:space="preserve">Valid </v>
      </c>
      <c r="AL160" t="str">
        <f>IF(AND(Audit_Data[[#This Row],[Recency]]&gt;=0,Audit_Data[[#This Row],[Recency]]&lt;=100),"Valid","Invalid")</f>
        <v>Valid</v>
      </c>
      <c r="AM160" t="str">
        <f t="shared" si="32"/>
        <v>Valid</v>
      </c>
      <c r="AN160" t="str">
        <f t="shared" si="33"/>
        <v>Valid</v>
      </c>
      <c r="AO160" t="str">
        <f t="shared" si="34"/>
        <v>Valid</v>
      </c>
      <c r="AP160" t="str">
        <f t="shared" si="35"/>
        <v>Valid</v>
      </c>
      <c r="AQ160" t="str">
        <f>IF(Audit_Data[[#This Row],[Z_CostContact]]=3,"Valid","Invalid")</f>
        <v>Valid</v>
      </c>
      <c r="AR160" t="str">
        <f t="shared" si="36"/>
        <v>Valid</v>
      </c>
      <c r="AS160" t="str">
        <f t="shared" si="37"/>
        <v>Valid</v>
      </c>
    </row>
    <row r="161" spans="1:45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 t="str">
        <f t="shared" si="26"/>
        <v>Ok</v>
      </c>
      <c r="AE161" t="str">
        <f>IF(AND(Audit_Data[[#This Row],[Year_Birth]]&gt;=1900,Audit_Data[[#This Row],[Year_Birth]]&lt;=2010),"OK","Invalid")</f>
        <v>OK</v>
      </c>
      <c r="AF161" t="str">
        <f t="shared" si="27"/>
        <v>Valid</v>
      </c>
      <c r="AG161" t="str">
        <f t="shared" si="28"/>
        <v>Valid</v>
      </c>
      <c r="AH161" t="str">
        <f t="shared" si="29"/>
        <v>Valid</v>
      </c>
      <c r="AI161" t="str">
        <f t="shared" si="30"/>
        <v>Valid</v>
      </c>
      <c r="AJ161" t="str">
        <f t="shared" si="31"/>
        <v>Valid</v>
      </c>
      <c r="AK161" t="str">
        <f t="shared" si="38"/>
        <v xml:space="preserve">Valid </v>
      </c>
      <c r="AL161" t="str">
        <f>IF(AND(Audit_Data[[#This Row],[Recency]]&gt;=0,Audit_Data[[#This Row],[Recency]]&lt;=100),"Valid","Invalid")</f>
        <v>Valid</v>
      </c>
      <c r="AM161" t="str">
        <f t="shared" si="32"/>
        <v>Valid</v>
      </c>
      <c r="AN161" t="str">
        <f t="shared" si="33"/>
        <v>Valid</v>
      </c>
      <c r="AO161" t="str">
        <f t="shared" si="34"/>
        <v>Valid</v>
      </c>
      <c r="AP161" t="str">
        <f t="shared" si="35"/>
        <v>Valid</v>
      </c>
      <c r="AQ161" t="str">
        <f>IF(Audit_Data[[#This Row],[Z_CostContact]]=3,"Valid","Invalid")</f>
        <v>Valid</v>
      </c>
      <c r="AR161" t="str">
        <f t="shared" si="36"/>
        <v>Valid</v>
      </c>
      <c r="AS161" t="str">
        <f t="shared" si="37"/>
        <v>Valid</v>
      </c>
    </row>
    <row r="162" spans="1:45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 t="str">
        <f t="shared" si="26"/>
        <v>Ok</v>
      </c>
      <c r="AE162" t="str">
        <f>IF(AND(Audit_Data[[#This Row],[Year_Birth]]&gt;=1900,Audit_Data[[#This Row],[Year_Birth]]&lt;=2010),"OK","Invalid")</f>
        <v>OK</v>
      </c>
      <c r="AF162" t="str">
        <f t="shared" si="27"/>
        <v>Valid</v>
      </c>
      <c r="AG162" t="str">
        <f t="shared" si="28"/>
        <v>Valid</v>
      </c>
      <c r="AH162" t="str">
        <f t="shared" si="29"/>
        <v>Valid</v>
      </c>
      <c r="AI162" t="str">
        <f t="shared" si="30"/>
        <v>Valid</v>
      </c>
      <c r="AJ162" t="str">
        <f t="shared" si="31"/>
        <v>Valid</v>
      </c>
      <c r="AK162" t="str">
        <f t="shared" si="38"/>
        <v xml:space="preserve">Valid </v>
      </c>
      <c r="AL162" t="str">
        <f>IF(AND(Audit_Data[[#This Row],[Recency]]&gt;=0,Audit_Data[[#This Row],[Recency]]&lt;=100),"Valid","Invalid")</f>
        <v>Valid</v>
      </c>
      <c r="AM162" t="str">
        <f t="shared" si="32"/>
        <v>Valid</v>
      </c>
      <c r="AN162" t="str">
        <f t="shared" si="33"/>
        <v>Valid</v>
      </c>
      <c r="AO162" t="str">
        <f t="shared" si="34"/>
        <v>Valid</v>
      </c>
      <c r="AP162" t="str">
        <f t="shared" si="35"/>
        <v>Valid</v>
      </c>
      <c r="AQ162" t="str">
        <f>IF(Audit_Data[[#This Row],[Z_CostContact]]=3,"Valid","Invalid")</f>
        <v>Valid</v>
      </c>
      <c r="AR162" t="str">
        <f t="shared" si="36"/>
        <v>Valid</v>
      </c>
      <c r="AS162" t="str">
        <f t="shared" si="37"/>
        <v>Valid</v>
      </c>
    </row>
    <row r="163" spans="1:45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 t="str">
        <f t="shared" si="26"/>
        <v>Ok</v>
      </c>
      <c r="AE163" t="str">
        <f>IF(AND(Audit_Data[[#This Row],[Year_Birth]]&gt;=1900,Audit_Data[[#This Row],[Year_Birth]]&lt;=2010),"OK","Invalid")</f>
        <v>OK</v>
      </c>
      <c r="AF163" t="str">
        <f t="shared" si="27"/>
        <v>Valid</v>
      </c>
      <c r="AG163" t="str">
        <f t="shared" si="28"/>
        <v>Valid</v>
      </c>
      <c r="AH163" t="str">
        <f t="shared" si="29"/>
        <v>Valid</v>
      </c>
      <c r="AI163" t="str">
        <f t="shared" si="30"/>
        <v>Valid</v>
      </c>
      <c r="AJ163" t="str">
        <f t="shared" si="31"/>
        <v>Valid</v>
      </c>
      <c r="AK163" t="str">
        <f t="shared" si="38"/>
        <v xml:space="preserve">Valid </v>
      </c>
      <c r="AL163" t="str">
        <f>IF(AND(Audit_Data[[#This Row],[Recency]]&gt;=0,Audit_Data[[#This Row],[Recency]]&lt;=100),"Valid","Invalid")</f>
        <v>Valid</v>
      </c>
      <c r="AM163" t="str">
        <f t="shared" si="32"/>
        <v>Valid</v>
      </c>
      <c r="AN163" t="str">
        <f t="shared" si="33"/>
        <v>Valid</v>
      </c>
      <c r="AO163" t="str">
        <f t="shared" si="34"/>
        <v>Valid</v>
      </c>
      <c r="AP163" t="str">
        <f t="shared" si="35"/>
        <v>Valid</v>
      </c>
      <c r="AQ163" t="str">
        <f>IF(Audit_Data[[#This Row],[Z_CostContact]]=3,"Valid","Invalid")</f>
        <v>Valid</v>
      </c>
      <c r="AR163" t="str">
        <f t="shared" si="36"/>
        <v>Valid</v>
      </c>
      <c r="AS163" t="str">
        <f t="shared" si="37"/>
        <v>Valid</v>
      </c>
    </row>
    <row r="164" spans="1:45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 t="str">
        <f t="shared" si="26"/>
        <v>Ok</v>
      </c>
      <c r="AE164" t="str">
        <f>IF(AND(Audit_Data[[#This Row],[Year_Birth]]&gt;=1900,Audit_Data[[#This Row],[Year_Birth]]&lt;=2010),"OK","Invalid")</f>
        <v>OK</v>
      </c>
      <c r="AF164" t="str">
        <f t="shared" si="27"/>
        <v>Valid</v>
      </c>
      <c r="AG164" t="str">
        <f t="shared" si="28"/>
        <v>Valid</v>
      </c>
      <c r="AH164" t="str">
        <f t="shared" si="29"/>
        <v>Valid</v>
      </c>
      <c r="AI164" t="str">
        <f t="shared" si="30"/>
        <v>Valid</v>
      </c>
      <c r="AJ164" t="str">
        <f t="shared" si="31"/>
        <v>Valid</v>
      </c>
      <c r="AK164" t="str">
        <f t="shared" si="38"/>
        <v xml:space="preserve">Valid </v>
      </c>
      <c r="AL164" t="str">
        <f>IF(AND(Audit_Data[[#This Row],[Recency]]&gt;=0,Audit_Data[[#This Row],[Recency]]&lt;=100),"Valid","Invalid")</f>
        <v>Valid</v>
      </c>
      <c r="AM164" t="str">
        <f t="shared" si="32"/>
        <v>Valid</v>
      </c>
      <c r="AN164" t="str">
        <f t="shared" si="33"/>
        <v>Valid</v>
      </c>
      <c r="AO164" t="str">
        <f t="shared" si="34"/>
        <v>Valid</v>
      </c>
      <c r="AP164" t="str">
        <f t="shared" si="35"/>
        <v>Valid</v>
      </c>
      <c r="AQ164" t="str">
        <f>IF(Audit_Data[[#This Row],[Z_CostContact]]=3,"Valid","Invalid")</f>
        <v>Valid</v>
      </c>
      <c r="AR164" t="str">
        <f t="shared" si="36"/>
        <v>Valid</v>
      </c>
      <c r="AS164" t="str">
        <f t="shared" si="37"/>
        <v>Valid</v>
      </c>
    </row>
    <row r="165" spans="1:45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 t="str">
        <f t="shared" si="26"/>
        <v>Ok</v>
      </c>
      <c r="AE165" t="str">
        <f>IF(AND(Audit_Data[[#This Row],[Year_Birth]]&gt;=1900,Audit_Data[[#This Row],[Year_Birth]]&lt;=2010),"OK","Invalid")</f>
        <v>OK</v>
      </c>
      <c r="AF165" t="str">
        <f t="shared" si="27"/>
        <v>Valid</v>
      </c>
      <c r="AG165" t="str">
        <f t="shared" si="28"/>
        <v>Valid</v>
      </c>
      <c r="AH165" t="str">
        <f t="shared" si="29"/>
        <v>Valid</v>
      </c>
      <c r="AI165" t="str">
        <f t="shared" si="30"/>
        <v>Valid</v>
      </c>
      <c r="AJ165" t="str">
        <f t="shared" si="31"/>
        <v>Valid</v>
      </c>
      <c r="AK165" t="str">
        <f t="shared" si="38"/>
        <v xml:space="preserve">Valid </v>
      </c>
      <c r="AL165" t="str">
        <f>IF(AND(Audit_Data[[#This Row],[Recency]]&gt;=0,Audit_Data[[#This Row],[Recency]]&lt;=100),"Valid","Invalid")</f>
        <v>Valid</v>
      </c>
      <c r="AM165" t="str">
        <f t="shared" si="32"/>
        <v>Valid</v>
      </c>
      <c r="AN165" t="str">
        <f t="shared" si="33"/>
        <v>Valid</v>
      </c>
      <c r="AO165" t="str">
        <f t="shared" si="34"/>
        <v>Valid</v>
      </c>
      <c r="AP165" t="str">
        <f t="shared" si="35"/>
        <v>Valid</v>
      </c>
      <c r="AQ165" t="str">
        <f>IF(Audit_Data[[#This Row],[Z_CostContact]]=3,"Valid","Invalid")</f>
        <v>Valid</v>
      </c>
      <c r="AR165" t="str">
        <f t="shared" si="36"/>
        <v>Valid</v>
      </c>
      <c r="AS165" t="str">
        <f t="shared" si="37"/>
        <v>Valid</v>
      </c>
    </row>
    <row r="166" spans="1:45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 t="str">
        <f t="shared" si="26"/>
        <v>Ok</v>
      </c>
      <c r="AE166" t="str">
        <f>IF(AND(Audit_Data[[#This Row],[Year_Birth]]&gt;=1900,Audit_Data[[#This Row],[Year_Birth]]&lt;=2010),"OK","Invalid")</f>
        <v>OK</v>
      </c>
      <c r="AF166" t="str">
        <f t="shared" si="27"/>
        <v>Valid</v>
      </c>
      <c r="AG166" t="str">
        <f t="shared" si="28"/>
        <v>Valid</v>
      </c>
      <c r="AH166" t="str">
        <f t="shared" si="29"/>
        <v>Valid</v>
      </c>
      <c r="AI166" t="str">
        <f t="shared" si="30"/>
        <v>Valid</v>
      </c>
      <c r="AJ166" t="str">
        <f t="shared" si="31"/>
        <v>Valid</v>
      </c>
      <c r="AK166" t="str">
        <f t="shared" si="38"/>
        <v xml:space="preserve">Valid </v>
      </c>
      <c r="AL166" t="str">
        <f>IF(AND(Audit_Data[[#This Row],[Recency]]&gt;=0,Audit_Data[[#This Row],[Recency]]&lt;=100),"Valid","Invalid")</f>
        <v>Valid</v>
      </c>
      <c r="AM166" t="str">
        <f t="shared" si="32"/>
        <v>Valid</v>
      </c>
      <c r="AN166" t="str">
        <f t="shared" si="33"/>
        <v>Valid</v>
      </c>
      <c r="AO166" t="str">
        <f t="shared" si="34"/>
        <v>Valid</v>
      </c>
      <c r="AP166" t="str">
        <f t="shared" si="35"/>
        <v>Valid</v>
      </c>
      <c r="AQ166" t="str">
        <f>IF(Audit_Data[[#This Row],[Z_CostContact]]=3,"Valid","Invalid")</f>
        <v>Valid</v>
      </c>
      <c r="AR166" t="str">
        <f t="shared" si="36"/>
        <v>Valid</v>
      </c>
      <c r="AS166" t="str">
        <f t="shared" si="37"/>
        <v>Valid</v>
      </c>
    </row>
    <row r="167" spans="1:45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 t="str">
        <f t="shared" si="26"/>
        <v>Ok</v>
      </c>
      <c r="AE167" t="str">
        <f>IF(AND(Audit_Data[[#This Row],[Year_Birth]]&gt;=1900,Audit_Data[[#This Row],[Year_Birth]]&lt;=2010),"OK","Invalid")</f>
        <v>OK</v>
      </c>
      <c r="AF167" t="str">
        <f t="shared" si="27"/>
        <v>Valid</v>
      </c>
      <c r="AG167" t="str">
        <f t="shared" si="28"/>
        <v>Valid</v>
      </c>
      <c r="AH167" t="str">
        <f t="shared" si="29"/>
        <v>Valid</v>
      </c>
      <c r="AI167" t="str">
        <f t="shared" si="30"/>
        <v>Valid</v>
      </c>
      <c r="AJ167" t="str">
        <f t="shared" si="31"/>
        <v>Valid</v>
      </c>
      <c r="AK167" t="str">
        <f t="shared" si="38"/>
        <v xml:space="preserve">Valid </v>
      </c>
      <c r="AL167" t="str">
        <f>IF(AND(Audit_Data[[#This Row],[Recency]]&gt;=0,Audit_Data[[#This Row],[Recency]]&lt;=100),"Valid","Invalid")</f>
        <v>Valid</v>
      </c>
      <c r="AM167" t="str">
        <f t="shared" si="32"/>
        <v>Valid</v>
      </c>
      <c r="AN167" t="str">
        <f t="shared" si="33"/>
        <v>Valid</v>
      </c>
      <c r="AO167" t="str">
        <f t="shared" si="34"/>
        <v>Valid</v>
      </c>
      <c r="AP167" t="str">
        <f t="shared" si="35"/>
        <v>Valid</v>
      </c>
      <c r="AQ167" t="str">
        <f>IF(Audit_Data[[#This Row],[Z_CostContact]]=3,"Valid","Invalid")</f>
        <v>Valid</v>
      </c>
      <c r="AR167" t="str">
        <f t="shared" si="36"/>
        <v>Valid</v>
      </c>
      <c r="AS167" t="str">
        <f t="shared" si="37"/>
        <v>Valid</v>
      </c>
    </row>
    <row r="168" spans="1:45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 t="str">
        <f t="shared" si="26"/>
        <v>Ok</v>
      </c>
      <c r="AE168" t="str">
        <f>IF(AND(Audit_Data[[#This Row],[Year_Birth]]&gt;=1900,Audit_Data[[#This Row],[Year_Birth]]&lt;=2010),"OK","Invalid")</f>
        <v>OK</v>
      </c>
      <c r="AF168" t="str">
        <f t="shared" si="27"/>
        <v>Valid</v>
      </c>
      <c r="AG168" t="str">
        <f t="shared" si="28"/>
        <v>Valid</v>
      </c>
      <c r="AH168" t="str">
        <f t="shared" si="29"/>
        <v>Valid</v>
      </c>
      <c r="AI168" t="str">
        <f t="shared" si="30"/>
        <v>Valid</v>
      </c>
      <c r="AJ168" t="str">
        <f t="shared" si="31"/>
        <v>Valid</v>
      </c>
      <c r="AK168" t="str">
        <f t="shared" si="38"/>
        <v xml:space="preserve">Valid </v>
      </c>
      <c r="AL168" t="str">
        <f>IF(AND(Audit_Data[[#This Row],[Recency]]&gt;=0,Audit_Data[[#This Row],[Recency]]&lt;=100),"Valid","Invalid")</f>
        <v>Valid</v>
      </c>
      <c r="AM168" t="str">
        <f t="shared" si="32"/>
        <v>Valid</v>
      </c>
      <c r="AN168" t="str">
        <f t="shared" si="33"/>
        <v>Valid</v>
      </c>
      <c r="AO168" t="str">
        <f t="shared" si="34"/>
        <v>Valid</v>
      </c>
      <c r="AP168" t="str">
        <f t="shared" si="35"/>
        <v>Valid</v>
      </c>
      <c r="AQ168" t="str">
        <f>IF(Audit_Data[[#This Row],[Z_CostContact]]=3,"Valid","Invalid")</f>
        <v>Valid</v>
      </c>
      <c r="AR168" t="str">
        <f t="shared" si="36"/>
        <v>Valid</v>
      </c>
      <c r="AS168" t="str">
        <f t="shared" si="37"/>
        <v>Valid</v>
      </c>
    </row>
    <row r="169" spans="1:45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 t="str">
        <f t="shared" si="26"/>
        <v>Ok</v>
      </c>
      <c r="AE169" t="str">
        <f>IF(AND(Audit_Data[[#This Row],[Year_Birth]]&gt;=1900,Audit_Data[[#This Row],[Year_Birth]]&lt;=2010),"OK","Invalid")</f>
        <v>OK</v>
      </c>
      <c r="AF169" t="str">
        <f t="shared" si="27"/>
        <v>Valid</v>
      </c>
      <c r="AG169" t="str">
        <f t="shared" si="28"/>
        <v>Valid</v>
      </c>
      <c r="AH169" t="str">
        <f t="shared" si="29"/>
        <v>Valid</v>
      </c>
      <c r="AI169" t="str">
        <f t="shared" si="30"/>
        <v>Valid</v>
      </c>
      <c r="AJ169" t="str">
        <f t="shared" si="31"/>
        <v>Valid</v>
      </c>
      <c r="AK169" t="str">
        <f t="shared" si="38"/>
        <v xml:space="preserve">Valid </v>
      </c>
      <c r="AL169" t="str">
        <f>IF(AND(Audit_Data[[#This Row],[Recency]]&gt;=0,Audit_Data[[#This Row],[Recency]]&lt;=100),"Valid","Invalid")</f>
        <v>Valid</v>
      </c>
      <c r="AM169" t="str">
        <f t="shared" si="32"/>
        <v>Valid</v>
      </c>
      <c r="AN169" t="str">
        <f t="shared" si="33"/>
        <v>Valid</v>
      </c>
      <c r="AO169" t="str">
        <f t="shared" si="34"/>
        <v>Valid</v>
      </c>
      <c r="AP169" t="str">
        <f t="shared" si="35"/>
        <v>Valid</v>
      </c>
      <c r="AQ169" t="str">
        <f>IF(Audit_Data[[#This Row],[Z_CostContact]]=3,"Valid","Invalid")</f>
        <v>Valid</v>
      </c>
      <c r="AR169" t="str">
        <f t="shared" si="36"/>
        <v>Valid</v>
      </c>
      <c r="AS169" t="str">
        <f t="shared" si="37"/>
        <v>Valid</v>
      </c>
    </row>
    <row r="170" spans="1:45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 t="str">
        <f t="shared" si="26"/>
        <v>Ok</v>
      </c>
      <c r="AE170" t="str">
        <f>IF(AND(Audit_Data[[#This Row],[Year_Birth]]&gt;=1900,Audit_Data[[#This Row],[Year_Birth]]&lt;=2010),"OK","Invalid")</f>
        <v>OK</v>
      </c>
      <c r="AF170" t="str">
        <f t="shared" si="27"/>
        <v>Valid</v>
      </c>
      <c r="AG170" t="str">
        <f t="shared" si="28"/>
        <v>Valid</v>
      </c>
      <c r="AH170" t="str">
        <f t="shared" si="29"/>
        <v>Valid</v>
      </c>
      <c r="AI170" t="str">
        <f t="shared" si="30"/>
        <v>Valid</v>
      </c>
      <c r="AJ170" t="str">
        <f t="shared" si="31"/>
        <v>Valid</v>
      </c>
      <c r="AK170" t="str">
        <f t="shared" si="38"/>
        <v xml:space="preserve">Valid </v>
      </c>
      <c r="AL170" t="str">
        <f>IF(AND(Audit_Data[[#This Row],[Recency]]&gt;=0,Audit_Data[[#This Row],[Recency]]&lt;=100),"Valid","Invalid")</f>
        <v>Valid</v>
      </c>
      <c r="AM170" t="str">
        <f t="shared" si="32"/>
        <v>Valid</v>
      </c>
      <c r="AN170" t="str">
        <f t="shared" si="33"/>
        <v>Valid</v>
      </c>
      <c r="AO170" t="str">
        <f t="shared" si="34"/>
        <v>Valid</v>
      </c>
      <c r="AP170" t="str">
        <f t="shared" si="35"/>
        <v>Valid</v>
      </c>
      <c r="AQ170" t="str">
        <f>IF(Audit_Data[[#This Row],[Z_CostContact]]=3,"Valid","Invalid")</f>
        <v>Valid</v>
      </c>
      <c r="AR170" t="str">
        <f t="shared" si="36"/>
        <v>Valid</v>
      </c>
      <c r="AS170" t="str">
        <f t="shared" si="37"/>
        <v>Valid</v>
      </c>
    </row>
    <row r="171" spans="1:45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 t="str">
        <f t="shared" si="26"/>
        <v>Ok</v>
      </c>
      <c r="AE171" t="str">
        <f>IF(AND(Audit_Data[[#This Row],[Year_Birth]]&gt;=1900,Audit_Data[[#This Row],[Year_Birth]]&lt;=2010),"OK","Invalid")</f>
        <v>OK</v>
      </c>
      <c r="AF171" t="str">
        <f t="shared" si="27"/>
        <v>Valid</v>
      </c>
      <c r="AG171" t="str">
        <f t="shared" si="28"/>
        <v>Valid</v>
      </c>
      <c r="AH171" t="str">
        <f t="shared" si="29"/>
        <v>Valid</v>
      </c>
      <c r="AI171" t="str">
        <f t="shared" si="30"/>
        <v>Valid</v>
      </c>
      <c r="AJ171" t="str">
        <f t="shared" si="31"/>
        <v>Valid</v>
      </c>
      <c r="AK171" t="str">
        <f t="shared" si="38"/>
        <v xml:space="preserve">Valid </v>
      </c>
      <c r="AL171" t="str">
        <f>IF(AND(Audit_Data[[#This Row],[Recency]]&gt;=0,Audit_Data[[#This Row],[Recency]]&lt;=100),"Valid","Invalid")</f>
        <v>Valid</v>
      </c>
      <c r="AM171" t="str">
        <f t="shared" si="32"/>
        <v>Valid</v>
      </c>
      <c r="AN171" t="str">
        <f t="shared" si="33"/>
        <v>Valid</v>
      </c>
      <c r="AO171" t="str">
        <f t="shared" si="34"/>
        <v>Valid</v>
      </c>
      <c r="AP171" t="str">
        <f t="shared" si="35"/>
        <v>Valid</v>
      </c>
      <c r="AQ171" t="str">
        <f>IF(Audit_Data[[#This Row],[Z_CostContact]]=3,"Valid","Invalid")</f>
        <v>Valid</v>
      </c>
      <c r="AR171" t="str">
        <f t="shared" si="36"/>
        <v>Valid</v>
      </c>
      <c r="AS171" t="str">
        <f t="shared" si="37"/>
        <v>Valid</v>
      </c>
    </row>
    <row r="172" spans="1:45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 t="str">
        <f t="shared" si="26"/>
        <v>Ok</v>
      </c>
      <c r="AE172" t="str">
        <f>IF(AND(Audit_Data[[#This Row],[Year_Birth]]&gt;=1900,Audit_Data[[#This Row],[Year_Birth]]&lt;=2010),"OK","Invalid")</f>
        <v>OK</v>
      </c>
      <c r="AF172" t="str">
        <f t="shared" si="27"/>
        <v>Valid</v>
      </c>
      <c r="AG172" t="str">
        <f t="shared" si="28"/>
        <v>Valid</v>
      </c>
      <c r="AH172" t="str">
        <f t="shared" si="29"/>
        <v>Valid</v>
      </c>
      <c r="AI172" t="str">
        <f t="shared" si="30"/>
        <v>Valid</v>
      </c>
      <c r="AJ172" t="str">
        <f t="shared" si="31"/>
        <v>Valid</v>
      </c>
      <c r="AK172" t="str">
        <f t="shared" si="38"/>
        <v xml:space="preserve">Valid </v>
      </c>
      <c r="AL172" t="str">
        <f>IF(AND(Audit_Data[[#This Row],[Recency]]&gt;=0,Audit_Data[[#This Row],[Recency]]&lt;=100),"Valid","Invalid")</f>
        <v>Valid</v>
      </c>
      <c r="AM172" t="str">
        <f t="shared" si="32"/>
        <v>Valid</v>
      </c>
      <c r="AN172" t="str">
        <f t="shared" si="33"/>
        <v>Valid</v>
      </c>
      <c r="AO172" t="str">
        <f t="shared" si="34"/>
        <v>Valid</v>
      </c>
      <c r="AP172" t="str">
        <f t="shared" si="35"/>
        <v>Valid</v>
      </c>
      <c r="AQ172" t="str">
        <f>IF(Audit_Data[[#This Row],[Z_CostContact]]=3,"Valid","Invalid")</f>
        <v>Valid</v>
      </c>
      <c r="AR172" t="str">
        <f t="shared" si="36"/>
        <v>Valid</v>
      </c>
      <c r="AS172" t="str">
        <f t="shared" si="37"/>
        <v>Valid</v>
      </c>
    </row>
    <row r="173" spans="1:45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 t="str">
        <f t="shared" si="26"/>
        <v>Ok</v>
      </c>
      <c r="AE173" t="str">
        <f>IF(AND(Audit_Data[[#This Row],[Year_Birth]]&gt;=1900,Audit_Data[[#This Row],[Year_Birth]]&lt;=2010),"OK","Invalid")</f>
        <v>OK</v>
      </c>
      <c r="AF173" t="str">
        <f t="shared" si="27"/>
        <v>Valid</v>
      </c>
      <c r="AG173" t="str">
        <f t="shared" si="28"/>
        <v>Valid</v>
      </c>
      <c r="AH173" t="str">
        <f t="shared" si="29"/>
        <v>Valid</v>
      </c>
      <c r="AI173" t="str">
        <f t="shared" si="30"/>
        <v>Valid</v>
      </c>
      <c r="AJ173" t="str">
        <f t="shared" si="31"/>
        <v>Valid</v>
      </c>
      <c r="AK173" t="str">
        <f t="shared" si="38"/>
        <v xml:space="preserve">Valid </v>
      </c>
      <c r="AL173" t="str">
        <f>IF(AND(Audit_Data[[#This Row],[Recency]]&gt;=0,Audit_Data[[#This Row],[Recency]]&lt;=100),"Valid","Invalid")</f>
        <v>Valid</v>
      </c>
      <c r="AM173" t="str">
        <f t="shared" si="32"/>
        <v>Valid</v>
      </c>
      <c r="AN173" t="str">
        <f t="shared" si="33"/>
        <v>Valid</v>
      </c>
      <c r="AO173" t="str">
        <f t="shared" si="34"/>
        <v>Valid</v>
      </c>
      <c r="AP173" t="str">
        <f t="shared" si="35"/>
        <v>Valid</v>
      </c>
      <c r="AQ173" t="str">
        <f>IF(Audit_Data[[#This Row],[Z_CostContact]]=3,"Valid","Invalid")</f>
        <v>Valid</v>
      </c>
      <c r="AR173" t="str">
        <f t="shared" si="36"/>
        <v>Valid</v>
      </c>
      <c r="AS173" t="str">
        <f t="shared" si="37"/>
        <v>Valid</v>
      </c>
    </row>
    <row r="174" spans="1:45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 t="str">
        <f t="shared" si="26"/>
        <v>Ok</v>
      </c>
      <c r="AE174" t="str">
        <f>IF(AND(Audit_Data[[#This Row],[Year_Birth]]&gt;=1900,Audit_Data[[#This Row],[Year_Birth]]&lt;=2010),"OK","Invalid")</f>
        <v>OK</v>
      </c>
      <c r="AF174" t="str">
        <f t="shared" si="27"/>
        <v>Valid</v>
      </c>
      <c r="AG174" t="str">
        <f t="shared" si="28"/>
        <v>Valid</v>
      </c>
      <c r="AH174" t="str">
        <f t="shared" si="29"/>
        <v>Valid</v>
      </c>
      <c r="AI174" t="str">
        <f t="shared" si="30"/>
        <v>Valid</v>
      </c>
      <c r="AJ174" t="str">
        <f t="shared" si="31"/>
        <v>Valid</v>
      </c>
      <c r="AK174" t="str">
        <f t="shared" si="38"/>
        <v xml:space="preserve">Valid </v>
      </c>
      <c r="AL174" t="str">
        <f>IF(AND(Audit_Data[[#This Row],[Recency]]&gt;=0,Audit_Data[[#This Row],[Recency]]&lt;=100),"Valid","Invalid")</f>
        <v>Valid</v>
      </c>
      <c r="AM174" t="str">
        <f t="shared" si="32"/>
        <v>Valid</v>
      </c>
      <c r="AN174" t="str">
        <f t="shared" si="33"/>
        <v>Valid</v>
      </c>
      <c r="AO174" t="str">
        <f t="shared" si="34"/>
        <v>Valid</v>
      </c>
      <c r="AP174" t="str">
        <f t="shared" si="35"/>
        <v>Valid</v>
      </c>
      <c r="AQ174" t="str">
        <f>IF(Audit_Data[[#This Row],[Z_CostContact]]=3,"Valid","Invalid")</f>
        <v>Valid</v>
      </c>
      <c r="AR174" t="str">
        <f t="shared" si="36"/>
        <v>Valid</v>
      </c>
      <c r="AS174" t="str">
        <f t="shared" si="37"/>
        <v>Valid</v>
      </c>
    </row>
    <row r="175" spans="1:45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 t="str">
        <f t="shared" si="26"/>
        <v>Ok</v>
      </c>
      <c r="AE175" t="str">
        <f>IF(AND(Audit_Data[[#This Row],[Year_Birth]]&gt;=1900,Audit_Data[[#This Row],[Year_Birth]]&lt;=2010),"OK","Invalid")</f>
        <v>OK</v>
      </c>
      <c r="AF175" t="str">
        <f t="shared" si="27"/>
        <v>Valid</v>
      </c>
      <c r="AG175" t="str">
        <f t="shared" si="28"/>
        <v>Valid</v>
      </c>
      <c r="AH175" t="str">
        <f t="shared" si="29"/>
        <v>Valid</v>
      </c>
      <c r="AI175" t="str">
        <f t="shared" si="30"/>
        <v>Valid</v>
      </c>
      <c r="AJ175" t="str">
        <f t="shared" si="31"/>
        <v>Valid</v>
      </c>
      <c r="AK175" t="str">
        <f t="shared" si="38"/>
        <v xml:space="preserve">Valid </v>
      </c>
      <c r="AL175" t="str">
        <f>IF(AND(Audit_Data[[#This Row],[Recency]]&gt;=0,Audit_Data[[#This Row],[Recency]]&lt;=100),"Valid","Invalid")</f>
        <v>Valid</v>
      </c>
      <c r="AM175" t="str">
        <f t="shared" si="32"/>
        <v>Valid</v>
      </c>
      <c r="AN175" t="str">
        <f t="shared" si="33"/>
        <v>Valid</v>
      </c>
      <c r="AO175" t="str">
        <f t="shared" si="34"/>
        <v>Valid</v>
      </c>
      <c r="AP175" t="str">
        <f t="shared" si="35"/>
        <v>Valid</v>
      </c>
      <c r="AQ175" t="str">
        <f>IF(Audit_Data[[#This Row],[Z_CostContact]]=3,"Valid","Invalid")</f>
        <v>Valid</v>
      </c>
      <c r="AR175" t="str">
        <f t="shared" si="36"/>
        <v>Valid</v>
      </c>
      <c r="AS175" t="str">
        <f t="shared" si="37"/>
        <v>Valid</v>
      </c>
    </row>
    <row r="176" spans="1:45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 t="str">
        <f t="shared" si="26"/>
        <v>Ok</v>
      </c>
      <c r="AE176" t="str">
        <f>IF(AND(Audit_Data[[#This Row],[Year_Birth]]&gt;=1900,Audit_Data[[#This Row],[Year_Birth]]&lt;=2010),"OK","Invalid")</f>
        <v>OK</v>
      </c>
      <c r="AF176" t="str">
        <f t="shared" si="27"/>
        <v>Valid</v>
      </c>
      <c r="AG176" t="str">
        <f t="shared" si="28"/>
        <v>Valid</v>
      </c>
      <c r="AH176" t="str">
        <f t="shared" si="29"/>
        <v>Valid</v>
      </c>
      <c r="AI176" t="str">
        <f t="shared" si="30"/>
        <v>Valid</v>
      </c>
      <c r="AJ176" t="str">
        <f t="shared" si="31"/>
        <v>Valid</v>
      </c>
      <c r="AK176" t="str">
        <f t="shared" si="38"/>
        <v xml:space="preserve">Valid </v>
      </c>
      <c r="AL176" t="str">
        <f>IF(AND(Audit_Data[[#This Row],[Recency]]&gt;=0,Audit_Data[[#This Row],[Recency]]&lt;=100),"Valid","Invalid")</f>
        <v>Valid</v>
      </c>
      <c r="AM176" t="str">
        <f t="shared" si="32"/>
        <v>Valid</v>
      </c>
      <c r="AN176" t="str">
        <f t="shared" si="33"/>
        <v>Valid</v>
      </c>
      <c r="AO176" t="str">
        <f t="shared" si="34"/>
        <v>Valid</v>
      </c>
      <c r="AP176" t="str">
        <f t="shared" si="35"/>
        <v>Valid</v>
      </c>
      <c r="AQ176" t="str">
        <f>IF(Audit_Data[[#This Row],[Z_CostContact]]=3,"Valid","Invalid")</f>
        <v>Valid</v>
      </c>
      <c r="AR176" t="str">
        <f t="shared" si="36"/>
        <v>Valid</v>
      </c>
      <c r="AS176" t="str">
        <f t="shared" si="37"/>
        <v>Valid</v>
      </c>
    </row>
    <row r="177" spans="1:45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 t="str">
        <f t="shared" si="26"/>
        <v>Ok</v>
      </c>
      <c r="AE177" t="str">
        <f>IF(AND(Audit_Data[[#This Row],[Year_Birth]]&gt;=1900,Audit_Data[[#This Row],[Year_Birth]]&lt;=2010),"OK","Invalid")</f>
        <v>OK</v>
      </c>
      <c r="AF177" t="str">
        <f t="shared" si="27"/>
        <v>Valid</v>
      </c>
      <c r="AG177" t="str">
        <f t="shared" si="28"/>
        <v>Valid</v>
      </c>
      <c r="AH177" t="str">
        <f t="shared" si="29"/>
        <v>Valid</v>
      </c>
      <c r="AI177" t="str">
        <f t="shared" si="30"/>
        <v>Valid</v>
      </c>
      <c r="AJ177" t="str">
        <f t="shared" si="31"/>
        <v>Valid</v>
      </c>
      <c r="AK177" t="str">
        <f t="shared" si="38"/>
        <v xml:space="preserve">Valid </v>
      </c>
      <c r="AL177" t="str">
        <f>IF(AND(Audit_Data[[#This Row],[Recency]]&gt;=0,Audit_Data[[#This Row],[Recency]]&lt;=100),"Valid","Invalid")</f>
        <v>Valid</v>
      </c>
      <c r="AM177" t="str">
        <f t="shared" si="32"/>
        <v>Valid</v>
      </c>
      <c r="AN177" t="str">
        <f t="shared" si="33"/>
        <v>Valid</v>
      </c>
      <c r="AO177" t="str">
        <f t="shared" si="34"/>
        <v>Valid</v>
      </c>
      <c r="AP177" t="str">
        <f t="shared" si="35"/>
        <v>Valid</v>
      </c>
      <c r="AQ177" t="str">
        <f>IF(Audit_Data[[#This Row],[Z_CostContact]]=3,"Valid","Invalid")</f>
        <v>Valid</v>
      </c>
      <c r="AR177" t="str">
        <f t="shared" si="36"/>
        <v>Valid</v>
      </c>
      <c r="AS177" t="str">
        <f t="shared" si="37"/>
        <v>Valid</v>
      </c>
    </row>
    <row r="178" spans="1:45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 t="str">
        <f t="shared" si="26"/>
        <v>Ok</v>
      </c>
      <c r="AE178" t="str">
        <f>IF(AND(Audit_Data[[#This Row],[Year_Birth]]&gt;=1900,Audit_Data[[#This Row],[Year_Birth]]&lt;=2010),"OK","Invalid")</f>
        <v>OK</v>
      </c>
      <c r="AF178" t="str">
        <f t="shared" si="27"/>
        <v>Valid</v>
      </c>
      <c r="AG178" t="str">
        <f t="shared" si="28"/>
        <v>Valid</v>
      </c>
      <c r="AH178" t="str">
        <f t="shared" si="29"/>
        <v>Valid</v>
      </c>
      <c r="AI178" t="str">
        <f t="shared" si="30"/>
        <v>Valid</v>
      </c>
      <c r="AJ178" t="str">
        <f t="shared" si="31"/>
        <v>Valid</v>
      </c>
      <c r="AK178" t="str">
        <f t="shared" si="38"/>
        <v xml:space="preserve">Valid </v>
      </c>
      <c r="AL178" t="str">
        <f>IF(AND(Audit_Data[[#This Row],[Recency]]&gt;=0,Audit_Data[[#This Row],[Recency]]&lt;=100),"Valid","Invalid")</f>
        <v>Valid</v>
      </c>
      <c r="AM178" t="str">
        <f t="shared" si="32"/>
        <v>Valid</v>
      </c>
      <c r="AN178" t="str">
        <f t="shared" si="33"/>
        <v>Valid</v>
      </c>
      <c r="AO178" t="str">
        <f t="shared" si="34"/>
        <v>Valid</v>
      </c>
      <c r="AP178" t="str">
        <f t="shared" si="35"/>
        <v>Valid</v>
      </c>
      <c r="AQ178" t="str">
        <f>IF(Audit_Data[[#This Row],[Z_CostContact]]=3,"Valid","Invalid")</f>
        <v>Valid</v>
      </c>
      <c r="AR178" t="str">
        <f t="shared" si="36"/>
        <v>Valid</v>
      </c>
      <c r="AS178" t="str">
        <f t="shared" si="37"/>
        <v>Valid</v>
      </c>
    </row>
    <row r="179" spans="1:45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 t="str">
        <f t="shared" si="26"/>
        <v>Ok</v>
      </c>
      <c r="AE179" t="str">
        <f>IF(AND(Audit_Data[[#This Row],[Year_Birth]]&gt;=1900,Audit_Data[[#This Row],[Year_Birth]]&lt;=2010),"OK","Invalid")</f>
        <v>OK</v>
      </c>
      <c r="AF179" t="str">
        <f t="shared" si="27"/>
        <v>Valid</v>
      </c>
      <c r="AG179" t="str">
        <f t="shared" si="28"/>
        <v>Valid</v>
      </c>
      <c r="AH179" t="str">
        <f t="shared" si="29"/>
        <v>Valid</v>
      </c>
      <c r="AI179" t="str">
        <f t="shared" si="30"/>
        <v>Valid</v>
      </c>
      <c r="AJ179" t="str">
        <f t="shared" si="31"/>
        <v>Valid</v>
      </c>
      <c r="AK179" t="str">
        <f t="shared" si="38"/>
        <v xml:space="preserve">Valid </v>
      </c>
      <c r="AL179" t="str">
        <f>IF(AND(Audit_Data[[#This Row],[Recency]]&gt;=0,Audit_Data[[#This Row],[Recency]]&lt;=100),"Valid","Invalid")</f>
        <v>Valid</v>
      </c>
      <c r="AM179" t="str">
        <f t="shared" si="32"/>
        <v>Valid</v>
      </c>
      <c r="AN179" t="str">
        <f t="shared" si="33"/>
        <v>Valid</v>
      </c>
      <c r="AO179" t="str">
        <f t="shared" si="34"/>
        <v>Valid</v>
      </c>
      <c r="AP179" t="str">
        <f t="shared" si="35"/>
        <v>Valid</v>
      </c>
      <c r="AQ179" t="str">
        <f>IF(Audit_Data[[#This Row],[Z_CostContact]]=3,"Valid","Invalid")</f>
        <v>Valid</v>
      </c>
      <c r="AR179" t="str">
        <f t="shared" si="36"/>
        <v>Valid</v>
      </c>
      <c r="AS179" t="str">
        <f t="shared" si="37"/>
        <v>Valid</v>
      </c>
    </row>
    <row r="180" spans="1:45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 t="str">
        <f t="shared" si="26"/>
        <v>Ok</v>
      </c>
      <c r="AE180" t="str">
        <f>IF(AND(Audit_Data[[#This Row],[Year_Birth]]&gt;=1900,Audit_Data[[#This Row],[Year_Birth]]&lt;=2010),"OK","Invalid")</f>
        <v>OK</v>
      </c>
      <c r="AF180" t="str">
        <f t="shared" si="27"/>
        <v>Valid</v>
      </c>
      <c r="AG180" t="str">
        <f t="shared" si="28"/>
        <v>Valid</v>
      </c>
      <c r="AH180" t="str">
        <f t="shared" si="29"/>
        <v>Valid</v>
      </c>
      <c r="AI180" t="str">
        <f t="shared" si="30"/>
        <v>Valid</v>
      </c>
      <c r="AJ180" t="str">
        <f t="shared" si="31"/>
        <v>Valid</v>
      </c>
      <c r="AK180" t="str">
        <f t="shared" si="38"/>
        <v xml:space="preserve">Valid </v>
      </c>
      <c r="AL180" t="str">
        <f>IF(AND(Audit_Data[[#This Row],[Recency]]&gt;=0,Audit_Data[[#This Row],[Recency]]&lt;=100),"Valid","Invalid")</f>
        <v>Valid</v>
      </c>
      <c r="AM180" t="str">
        <f t="shared" si="32"/>
        <v>Valid</v>
      </c>
      <c r="AN180" t="str">
        <f t="shared" si="33"/>
        <v>Valid</v>
      </c>
      <c r="AO180" t="str">
        <f t="shared" si="34"/>
        <v>Valid</v>
      </c>
      <c r="AP180" t="str">
        <f t="shared" si="35"/>
        <v>Valid</v>
      </c>
      <c r="AQ180" t="str">
        <f>IF(Audit_Data[[#This Row],[Z_CostContact]]=3,"Valid","Invalid")</f>
        <v>Valid</v>
      </c>
      <c r="AR180" t="str">
        <f t="shared" si="36"/>
        <v>Valid</v>
      </c>
      <c r="AS180" t="str">
        <f t="shared" si="37"/>
        <v>Valid</v>
      </c>
    </row>
    <row r="181" spans="1:45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 t="str">
        <f t="shared" si="26"/>
        <v>Ok</v>
      </c>
      <c r="AE181" t="str">
        <f>IF(AND(Audit_Data[[#This Row],[Year_Birth]]&gt;=1900,Audit_Data[[#This Row],[Year_Birth]]&lt;=2010),"OK","Invalid")</f>
        <v>OK</v>
      </c>
      <c r="AF181" t="str">
        <f t="shared" si="27"/>
        <v>Valid</v>
      </c>
      <c r="AG181" t="str">
        <f t="shared" si="28"/>
        <v>Valid</v>
      </c>
      <c r="AH181" t="str">
        <f t="shared" si="29"/>
        <v>Valid</v>
      </c>
      <c r="AI181" t="str">
        <f t="shared" si="30"/>
        <v>Valid</v>
      </c>
      <c r="AJ181" t="str">
        <f t="shared" si="31"/>
        <v>Valid</v>
      </c>
      <c r="AK181" t="str">
        <f t="shared" si="38"/>
        <v xml:space="preserve">Valid </v>
      </c>
      <c r="AL181" t="str">
        <f>IF(AND(Audit_Data[[#This Row],[Recency]]&gt;=0,Audit_Data[[#This Row],[Recency]]&lt;=100),"Valid","Invalid")</f>
        <v>Valid</v>
      </c>
      <c r="AM181" t="str">
        <f t="shared" si="32"/>
        <v>Valid</v>
      </c>
      <c r="AN181" t="str">
        <f t="shared" si="33"/>
        <v>Valid</v>
      </c>
      <c r="AO181" t="str">
        <f t="shared" si="34"/>
        <v>Valid</v>
      </c>
      <c r="AP181" t="str">
        <f t="shared" si="35"/>
        <v>Valid</v>
      </c>
      <c r="AQ181" t="str">
        <f>IF(Audit_Data[[#This Row],[Z_CostContact]]=3,"Valid","Invalid")</f>
        <v>Valid</v>
      </c>
      <c r="AR181" t="str">
        <f t="shared" si="36"/>
        <v>Valid</v>
      </c>
      <c r="AS181" t="str">
        <f t="shared" si="37"/>
        <v>Valid</v>
      </c>
    </row>
    <row r="182" spans="1:45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 t="str">
        <f t="shared" si="26"/>
        <v>Ok</v>
      </c>
      <c r="AE182" t="str">
        <f>IF(AND(Audit_Data[[#This Row],[Year_Birth]]&gt;=1900,Audit_Data[[#This Row],[Year_Birth]]&lt;=2010),"OK","Invalid")</f>
        <v>OK</v>
      </c>
      <c r="AF182" t="str">
        <f t="shared" si="27"/>
        <v>Valid</v>
      </c>
      <c r="AG182" t="str">
        <f t="shared" si="28"/>
        <v>Valid</v>
      </c>
      <c r="AH182" t="str">
        <f t="shared" si="29"/>
        <v>Valid</v>
      </c>
      <c r="AI182" t="str">
        <f t="shared" si="30"/>
        <v>Valid</v>
      </c>
      <c r="AJ182" t="str">
        <f t="shared" si="31"/>
        <v>Valid</v>
      </c>
      <c r="AK182" t="str">
        <f t="shared" si="38"/>
        <v xml:space="preserve">Valid </v>
      </c>
      <c r="AL182" t="str">
        <f>IF(AND(Audit_Data[[#This Row],[Recency]]&gt;=0,Audit_Data[[#This Row],[Recency]]&lt;=100),"Valid","Invalid")</f>
        <v>Valid</v>
      </c>
      <c r="AM182" t="str">
        <f t="shared" si="32"/>
        <v>Valid</v>
      </c>
      <c r="AN182" t="str">
        <f t="shared" si="33"/>
        <v>Valid</v>
      </c>
      <c r="AO182" t="str">
        <f t="shared" si="34"/>
        <v>Valid</v>
      </c>
      <c r="AP182" t="str">
        <f t="shared" si="35"/>
        <v>Valid</v>
      </c>
      <c r="AQ182" t="str">
        <f>IF(Audit_Data[[#This Row],[Z_CostContact]]=3,"Valid","Invalid")</f>
        <v>Valid</v>
      </c>
      <c r="AR182" t="str">
        <f t="shared" si="36"/>
        <v>Valid</v>
      </c>
      <c r="AS182" t="str">
        <f t="shared" si="37"/>
        <v>Valid</v>
      </c>
    </row>
    <row r="183" spans="1:45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 t="str">
        <f t="shared" si="26"/>
        <v>Ok</v>
      </c>
      <c r="AE183" t="str">
        <f>IF(AND(Audit_Data[[#This Row],[Year_Birth]]&gt;=1900,Audit_Data[[#This Row],[Year_Birth]]&lt;=2010),"OK","Invalid")</f>
        <v>OK</v>
      </c>
      <c r="AF183" t="str">
        <f t="shared" si="27"/>
        <v>Valid</v>
      </c>
      <c r="AG183" t="str">
        <f t="shared" si="28"/>
        <v>Valid</v>
      </c>
      <c r="AH183" t="str">
        <f t="shared" si="29"/>
        <v>Valid</v>
      </c>
      <c r="AI183" t="str">
        <f t="shared" si="30"/>
        <v>Valid</v>
      </c>
      <c r="AJ183" t="str">
        <f t="shared" si="31"/>
        <v>Valid</v>
      </c>
      <c r="AK183" t="str">
        <f t="shared" si="38"/>
        <v xml:space="preserve">Valid </v>
      </c>
      <c r="AL183" t="str">
        <f>IF(AND(Audit_Data[[#This Row],[Recency]]&gt;=0,Audit_Data[[#This Row],[Recency]]&lt;=100),"Valid","Invalid")</f>
        <v>Valid</v>
      </c>
      <c r="AM183" t="str">
        <f t="shared" si="32"/>
        <v>Valid</v>
      </c>
      <c r="AN183" t="str">
        <f t="shared" si="33"/>
        <v>Valid</v>
      </c>
      <c r="AO183" t="str">
        <f t="shared" si="34"/>
        <v>Valid</v>
      </c>
      <c r="AP183" t="str">
        <f t="shared" si="35"/>
        <v>Valid</v>
      </c>
      <c r="AQ183" t="str">
        <f>IF(Audit_Data[[#This Row],[Z_CostContact]]=3,"Valid","Invalid")</f>
        <v>Valid</v>
      </c>
      <c r="AR183" t="str">
        <f t="shared" si="36"/>
        <v>Valid</v>
      </c>
      <c r="AS183" t="str">
        <f t="shared" si="37"/>
        <v>Valid</v>
      </c>
    </row>
    <row r="184" spans="1:45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 t="str">
        <f t="shared" si="26"/>
        <v>Ok</v>
      </c>
      <c r="AE184" t="str">
        <f>IF(AND(Audit_Data[[#This Row],[Year_Birth]]&gt;=1900,Audit_Data[[#This Row],[Year_Birth]]&lt;=2010),"OK","Invalid")</f>
        <v>OK</v>
      </c>
      <c r="AF184" t="str">
        <f t="shared" si="27"/>
        <v>Valid</v>
      </c>
      <c r="AG184" t="str">
        <f t="shared" si="28"/>
        <v>Valid</v>
      </c>
      <c r="AH184" t="str">
        <f t="shared" si="29"/>
        <v>Valid</v>
      </c>
      <c r="AI184" t="str">
        <f t="shared" si="30"/>
        <v>Valid</v>
      </c>
      <c r="AJ184" t="str">
        <f t="shared" si="31"/>
        <v>Valid</v>
      </c>
      <c r="AK184" t="str">
        <f t="shared" si="38"/>
        <v xml:space="preserve">Valid </v>
      </c>
      <c r="AL184" t="str">
        <f>IF(AND(Audit_Data[[#This Row],[Recency]]&gt;=0,Audit_Data[[#This Row],[Recency]]&lt;=100),"Valid","Invalid")</f>
        <v>Valid</v>
      </c>
      <c r="AM184" t="str">
        <f t="shared" si="32"/>
        <v>Valid</v>
      </c>
      <c r="AN184" t="str">
        <f t="shared" si="33"/>
        <v>Valid</v>
      </c>
      <c r="AO184" t="str">
        <f t="shared" si="34"/>
        <v>Valid</v>
      </c>
      <c r="AP184" t="str">
        <f t="shared" si="35"/>
        <v>Valid</v>
      </c>
      <c r="AQ184" t="str">
        <f>IF(Audit_Data[[#This Row],[Z_CostContact]]=3,"Valid","Invalid")</f>
        <v>Valid</v>
      </c>
      <c r="AR184" t="str">
        <f t="shared" si="36"/>
        <v>Valid</v>
      </c>
      <c r="AS184" t="str">
        <f t="shared" si="37"/>
        <v>Valid</v>
      </c>
    </row>
    <row r="185" spans="1:45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 t="str">
        <f t="shared" si="26"/>
        <v>Ok</v>
      </c>
      <c r="AE185" t="str">
        <f>IF(AND(Audit_Data[[#This Row],[Year_Birth]]&gt;=1900,Audit_Data[[#This Row],[Year_Birth]]&lt;=2010),"OK","Invalid")</f>
        <v>OK</v>
      </c>
      <c r="AF185" t="str">
        <f t="shared" si="27"/>
        <v>Valid</v>
      </c>
      <c r="AG185" t="str">
        <f t="shared" si="28"/>
        <v>Valid</v>
      </c>
      <c r="AH185" t="str">
        <f t="shared" si="29"/>
        <v>Valid</v>
      </c>
      <c r="AI185" t="str">
        <f t="shared" si="30"/>
        <v>Valid</v>
      </c>
      <c r="AJ185" t="str">
        <f t="shared" si="31"/>
        <v>Valid</v>
      </c>
      <c r="AK185" t="str">
        <f t="shared" si="38"/>
        <v xml:space="preserve">Valid </v>
      </c>
      <c r="AL185" t="str">
        <f>IF(AND(Audit_Data[[#This Row],[Recency]]&gt;=0,Audit_Data[[#This Row],[Recency]]&lt;=100),"Valid","Invalid")</f>
        <v>Valid</v>
      </c>
      <c r="AM185" t="str">
        <f t="shared" si="32"/>
        <v>Valid</v>
      </c>
      <c r="AN185" t="str">
        <f t="shared" si="33"/>
        <v>Valid</v>
      </c>
      <c r="AO185" t="str">
        <f t="shared" si="34"/>
        <v>Valid</v>
      </c>
      <c r="AP185" t="str">
        <f t="shared" si="35"/>
        <v>Valid</v>
      </c>
      <c r="AQ185" t="str">
        <f>IF(Audit_Data[[#This Row],[Z_CostContact]]=3,"Valid","Invalid")</f>
        <v>Valid</v>
      </c>
      <c r="AR185" t="str">
        <f t="shared" si="36"/>
        <v>Valid</v>
      </c>
      <c r="AS185" t="str">
        <f t="shared" si="37"/>
        <v>Valid</v>
      </c>
    </row>
    <row r="186" spans="1:45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 t="str">
        <f t="shared" si="26"/>
        <v>Ok</v>
      </c>
      <c r="AE186" t="str">
        <f>IF(AND(Audit_Data[[#This Row],[Year_Birth]]&gt;=1900,Audit_Data[[#This Row],[Year_Birth]]&lt;=2010),"OK","Invalid")</f>
        <v>OK</v>
      </c>
      <c r="AF186" t="str">
        <f t="shared" si="27"/>
        <v>Valid</v>
      </c>
      <c r="AG186" t="str">
        <f t="shared" si="28"/>
        <v>Valid</v>
      </c>
      <c r="AH186" t="str">
        <f t="shared" si="29"/>
        <v>Valid</v>
      </c>
      <c r="AI186" t="str">
        <f t="shared" si="30"/>
        <v>Valid</v>
      </c>
      <c r="AJ186" t="str">
        <f t="shared" si="31"/>
        <v>Valid</v>
      </c>
      <c r="AK186" t="str">
        <f t="shared" si="38"/>
        <v xml:space="preserve">Valid </v>
      </c>
      <c r="AL186" t="str">
        <f>IF(AND(Audit_Data[[#This Row],[Recency]]&gt;=0,Audit_Data[[#This Row],[Recency]]&lt;=100),"Valid","Invalid")</f>
        <v>Valid</v>
      </c>
      <c r="AM186" t="str">
        <f t="shared" si="32"/>
        <v>Valid</v>
      </c>
      <c r="AN186" t="str">
        <f t="shared" si="33"/>
        <v>Valid</v>
      </c>
      <c r="AO186" t="str">
        <f t="shared" si="34"/>
        <v>Valid</v>
      </c>
      <c r="AP186" t="str">
        <f t="shared" si="35"/>
        <v>Valid</v>
      </c>
      <c r="AQ186" t="str">
        <f>IF(Audit_Data[[#This Row],[Z_CostContact]]=3,"Valid","Invalid")</f>
        <v>Valid</v>
      </c>
      <c r="AR186" t="str">
        <f t="shared" si="36"/>
        <v>Valid</v>
      </c>
      <c r="AS186" t="str">
        <f t="shared" si="37"/>
        <v>Valid</v>
      </c>
    </row>
    <row r="187" spans="1:45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 t="str">
        <f t="shared" si="26"/>
        <v>Ok</v>
      </c>
      <c r="AE187" t="str">
        <f>IF(AND(Audit_Data[[#This Row],[Year_Birth]]&gt;=1900,Audit_Data[[#This Row],[Year_Birth]]&lt;=2010),"OK","Invalid")</f>
        <v>OK</v>
      </c>
      <c r="AF187" t="str">
        <f t="shared" si="27"/>
        <v>Valid</v>
      </c>
      <c r="AG187" t="str">
        <f t="shared" si="28"/>
        <v>Valid</v>
      </c>
      <c r="AH187" t="str">
        <f t="shared" si="29"/>
        <v>Valid</v>
      </c>
      <c r="AI187" t="str">
        <f t="shared" si="30"/>
        <v>Valid</v>
      </c>
      <c r="AJ187" t="str">
        <f t="shared" si="31"/>
        <v>Valid</v>
      </c>
      <c r="AK187" t="str">
        <f t="shared" si="38"/>
        <v xml:space="preserve">Valid </v>
      </c>
      <c r="AL187" t="str">
        <f>IF(AND(Audit_Data[[#This Row],[Recency]]&gt;=0,Audit_Data[[#This Row],[Recency]]&lt;=100),"Valid","Invalid")</f>
        <v>Valid</v>
      </c>
      <c r="AM187" t="str">
        <f t="shared" si="32"/>
        <v>Valid</v>
      </c>
      <c r="AN187" t="str">
        <f t="shared" si="33"/>
        <v>Valid</v>
      </c>
      <c r="AO187" t="str">
        <f t="shared" si="34"/>
        <v>Valid</v>
      </c>
      <c r="AP187" t="str">
        <f t="shared" si="35"/>
        <v>Valid</v>
      </c>
      <c r="AQ187" t="str">
        <f>IF(Audit_Data[[#This Row],[Z_CostContact]]=3,"Valid","Invalid")</f>
        <v>Valid</v>
      </c>
      <c r="AR187" t="str">
        <f t="shared" si="36"/>
        <v>Valid</v>
      </c>
      <c r="AS187" t="str">
        <f t="shared" si="37"/>
        <v>Valid</v>
      </c>
    </row>
    <row r="188" spans="1:45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 t="str">
        <f t="shared" si="26"/>
        <v>Ok</v>
      </c>
      <c r="AE188" t="str">
        <f>IF(AND(Audit_Data[[#This Row],[Year_Birth]]&gt;=1900,Audit_Data[[#This Row],[Year_Birth]]&lt;=2010),"OK","Invalid")</f>
        <v>OK</v>
      </c>
      <c r="AF188" t="str">
        <f t="shared" si="27"/>
        <v>Valid</v>
      </c>
      <c r="AG188" t="str">
        <f t="shared" si="28"/>
        <v>Valid</v>
      </c>
      <c r="AH188" t="str">
        <f t="shared" si="29"/>
        <v>Valid</v>
      </c>
      <c r="AI188" t="str">
        <f t="shared" si="30"/>
        <v>Valid</v>
      </c>
      <c r="AJ188" t="str">
        <f t="shared" si="31"/>
        <v>Valid</v>
      </c>
      <c r="AK188" t="str">
        <f t="shared" si="38"/>
        <v xml:space="preserve">Valid </v>
      </c>
      <c r="AL188" t="str">
        <f>IF(AND(Audit_Data[[#This Row],[Recency]]&gt;=0,Audit_Data[[#This Row],[Recency]]&lt;=100),"Valid","Invalid")</f>
        <v>Valid</v>
      </c>
      <c r="AM188" t="str">
        <f t="shared" si="32"/>
        <v>Valid</v>
      </c>
      <c r="AN188" t="str">
        <f t="shared" si="33"/>
        <v>Valid</v>
      </c>
      <c r="AO188" t="str">
        <f t="shared" si="34"/>
        <v>Valid</v>
      </c>
      <c r="AP188" t="str">
        <f t="shared" si="35"/>
        <v>Valid</v>
      </c>
      <c r="AQ188" t="str">
        <f>IF(Audit_Data[[#This Row],[Z_CostContact]]=3,"Valid","Invalid")</f>
        <v>Valid</v>
      </c>
      <c r="AR188" t="str">
        <f t="shared" si="36"/>
        <v>Valid</v>
      </c>
      <c r="AS188" t="str">
        <f t="shared" si="37"/>
        <v>Valid</v>
      </c>
    </row>
    <row r="189" spans="1:45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 t="str">
        <f t="shared" si="26"/>
        <v>Ok</v>
      </c>
      <c r="AE189" t="str">
        <f>IF(AND(Audit_Data[[#This Row],[Year_Birth]]&gt;=1900,Audit_Data[[#This Row],[Year_Birth]]&lt;=2010),"OK","Invalid")</f>
        <v>OK</v>
      </c>
      <c r="AF189" t="str">
        <f t="shared" si="27"/>
        <v>Valid</v>
      </c>
      <c r="AG189" t="str">
        <f t="shared" si="28"/>
        <v>Valid</v>
      </c>
      <c r="AH189" t="str">
        <f t="shared" si="29"/>
        <v>Valid</v>
      </c>
      <c r="AI189" t="str">
        <f t="shared" si="30"/>
        <v>Valid</v>
      </c>
      <c r="AJ189" t="str">
        <f t="shared" si="31"/>
        <v>Valid</v>
      </c>
      <c r="AK189" t="str">
        <f t="shared" si="38"/>
        <v xml:space="preserve">Valid </v>
      </c>
      <c r="AL189" t="str">
        <f>IF(AND(Audit_Data[[#This Row],[Recency]]&gt;=0,Audit_Data[[#This Row],[Recency]]&lt;=100),"Valid","Invalid")</f>
        <v>Valid</v>
      </c>
      <c r="AM189" t="str">
        <f t="shared" si="32"/>
        <v>Valid</v>
      </c>
      <c r="AN189" t="str">
        <f t="shared" si="33"/>
        <v>Valid</v>
      </c>
      <c r="AO189" t="str">
        <f t="shared" si="34"/>
        <v>Valid</v>
      </c>
      <c r="AP189" t="str">
        <f t="shared" si="35"/>
        <v>Valid</v>
      </c>
      <c r="AQ189" t="str">
        <f>IF(Audit_Data[[#This Row],[Z_CostContact]]=3,"Valid","Invalid")</f>
        <v>Valid</v>
      </c>
      <c r="AR189" t="str">
        <f t="shared" si="36"/>
        <v>Valid</v>
      </c>
      <c r="AS189" t="str">
        <f t="shared" si="37"/>
        <v>Valid</v>
      </c>
    </row>
    <row r="190" spans="1:45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 t="str">
        <f t="shared" si="26"/>
        <v>Ok</v>
      </c>
      <c r="AE190" t="str">
        <f>IF(AND(Audit_Data[[#This Row],[Year_Birth]]&gt;=1900,Audit_Data[[#This Row],[Year_Birth]]&lt;=2010),"OK","Invalid")</f>
        <v>OK</v>
      </c>
      <c r="AF190" t="str">
        <f t="shared" si="27"/>
        <v>Valid</v>
      </c>
      <c r="AG190" t="str">
        <f t="shared" si="28"/>
        <v>Valid</v>
      </c>
      <c r="AH190" t="str">
        <f t="shared" si="29"/>
        <v>Valid</v>
      </c>
      <c r="AI190" t="str">
        <f t="shared" si="30"/>
        <v>Valid</v>
      </c>
      <c r="AJ190" t="str">
        <f t="shared" si="31"/>
        <v>Valid</v>
      </c>
      <c r="AK190" t="str">
        <f t="shared" si="38"/>
        <v xml:space="preserve">Valid </v>
      </c>
      <c r="AL190" t="str">
        <f>IF(AND(Audit_Data[[#This Row],[Recency]]&gt;=0,Audit_Data[[#This Row],[Recency]]&lt;=100),"Valid","Invalid")</f>
        <v>Valid</v>
      </c>
      <c r="AM190" t="str">
        <f t="shared" si="32"/>
        <v>Valid</v>
      </c>
      <c r="AN190" t="str">
        <f t="shared" si="33"/>
        <v>Valid</v>
      </c>
      <c r="AO190" t="str">
        <f t="shared" si="34"/>
        <v>Valid</v>
      </c>
      <c r="AP190" t="str">
        <f t="shared" si="35"/>
        <v>Valid</v>
      </c>
      <c r="AQ190" t="str">
        <f>IF(Audit_Data[[#This Row],[Z_CostContact]]=3,"Valid","Invalid")</f>
        <v>Valid</v>
      </c>
      <c r="AR190" t="str">
        <f t="shared" si="36"/>
        <v>Valid</v>
      </c>
      <c r="AS190" t="str">
        <f t="shared" si="37"/>
        <v>Valid</v>
      </c>
    </row>
    <row r="191" spans="1:45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 t="str">
        <f t="shared" si="26"/>
        <v>Ok</v>
      </c>
      <c r="AE191" t="str">
        <f>IF(AND(Audit_Data[[#This Row],[Year_Birth]]&gt;=1900,Audit_Data[[#This Row],[Year_Birth]]&lt;=2010),"OK","Invalid")</f>
        <v>OK</v>
      </c>
      <c r="AF191" t="str">
        <f t="shared" si="27"/>
        <v>Valid</v>
      </c>
      <c r="AG191" t="str">
        <f t="shared" si="28"/>
        <v>Valid</v>
      </c>
      <c r="AH191" t="str">
        <f t="shared" si="29"/>
        <v>Valid</v>
      </c>
      <c r="AI191" t="str">
        <f t="shared" si="30"/>
        <v>Valid</v>
      </c>
      <c r="AJ191" t="str">
        <f t="shared" si="31"/>
        <v>Valid</v>
      </c>
      <c r="AK191" t="str">
        <f t="shared" si="38"/>
        <v xml:space="preserve">Valid </v>
      </c>
      <c r="AL191" t="str">
        <f>IF(AND(Audit_Data[[#This Row],[Recency]]&gt;=0,Audit_Data[[#This Row],[Recency]]&lt;=100),"Valid","Invalid")</f>
        <v>Valid</v>
      </c>
      <c r="AM191" t="str">
        <f t="shared" si="32"/>
        <v>Valid</v>
      </c>
      <c r="AN191" t="str">
        <f t="shared" si="33"/>
        <v>Valid</v>
      </c>
      <c r="AO191" t="str">
        <f t="shared" si="34"/>
        <v>Valid</v>
      </c>
      <c r="AP191" t="str">
        <f t="shared" si="35"/>
        <v>Valid</v>
      </c>
      <c r="AQ191" t="str">
        <f>IF(Audit_Data[[#This Row],[Z_CostContact]]=3,"Valid","Invalid")</f>
        <v>Valid</v>
      </c>
      <c r="AR191" t="str">
        <f t="shared" si="36"/>
        <v>Valid</v>
      </c>
      <c r="AS191" t="str">
        <f t="shared" si="37"/>
        <v>Valid</v>
      </c>
    </row>
    <row r="192" spans="1:45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 t="str">
        <f t="shared" si="26"/>
        <v>Ok</v>
      </c>
      <c r="AE192" t="str">
        <f>IF(AND(Audit_Data[[#This Row],[Year_Birth]]&gt;=1900,Audit_Data[[#This Row],[Year_Birth]]&lt;=2010),"OK","Invalid")</f>
        <v>OK</v>
      </c>
      <c r="AF192" t="str">
        <f t="shared" si="27"/>
        <v>Valid</v>
      </c>
      <c r="AG192" t="str">
        <f t="shared" si="28"/>
        <v>Valid</v>
      </c>
      <c r="AH192" t="str">
        <f t="shared" si="29"/>
        <v>Valid</v>
      </c>
      <c r="AI192" t="str">
        <f t="shared" si="30"/>
        <v>Valid</v>
      </c>
      <c r="AJ192" t="str">
        <f t="shared" si="31"/>
        <v>Valid</v>
      </c>
      <c r="AK192" t="str">
        <f t="shared" si="38"/>
        <v xml:space="preserve">Valid </v>
      </c>
      <c r="AL192" t="str">
        <f>IF(AND(Audit_Data[[#This Row],[Recency]]&gt;=0,Audit_Data[[#This Row],[Recency]]&lt;=100),"Valid","Invalid")</f>
        <v>Valid</v>
      </c>
      <c r="AM192" t="str">
        <f t="shared" si="32"/>
        <v>Valid</v>
      </c>
      <c r="AN192" t="str">
        <f t="shared" si="33"/>
        <v>Valid</v>
      </c>
      <c r="AO192" t="str">
        <f t="shared" si="34"/>
        <v>Valid</v>
      </c>
      <c r="AP192" t="str">
        <f t="shared" si="35"/>
        <v>Valid</v>
      </c>
      <c r="AQ192" t="str">
        <f>IF(Audit_Data[[#This Row],[Z_CostContact]]=3,"Valid","Invalid")</f>
        <v>Valid</v>
      </c>
      <c r="AR192" t="str">
        <f t="shared" si="36"/>
        <v>Valid</v>
      </c>
      <c r="AS192" t="str">
        <f t="shared" si="37"/>
        <v>Valid</v>
      </c>
    </row>
    <row r="193" spans="1:45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 t="str">
        <f t="shared" si="26"/>
        <v>Ok</v>
      </c>
      <c r="AE193" t="str">
        <f>IF(AND(Audit_Data[[#This Row],[Year_Birth]]&gt;=1900,Audit_Data[[#This Row],[Year_Birth]]&lt;=2010),"OK","Invalid")</f>
        <v>OK</v>
      </c>
      <c r="AF193" t="str">
        <f t="shared" si="27"/>
        <v>Valid</v>
      </c>
      <c r="AG193" t="str">
        <f t="shared" si="28"/>
        <v>Valid</v>
      </c>
      <c r="AH193" t="str">
        <f t="shared" si="29"/>
        <v>Valid</v>
      </c>
      <c r="AI193" t="str">
        <f t="shared" si="30"/>
        <v>Valid</v>
      </c>
      <c r="AJ193" t="str">
        <f t="shared" si="31"/>
        <v>Valid</v>
      </c>
      <c r="AK193" t="str">
        <f t="shared" si="38"/>
        <v xml:space="preserve">Valid </v>
      </c>
      <c r="AL193" t="str">
        <f>IF(AND(Audit_Data[[#This Row],[Recency]]&gt;=0,Audit_Data[[#This Row],[Recency]]&lt;=100),"Valid","Invalid")</f>
        <v>Valid</v>
      </c>
      <c r="AM193" t="str">
        <f t="shared" si="32"/>
        <v>Valid</v>
      </c>
      <c r="AN193" t="str">
        <f t="shared" si="33"/>
        <v>Valid</v>
      </c>
      <c r="AO193" t="str">
        <f t="shared" si="34"/>
        <v>Valid</v>
      </c>
      <c r="AP193" t="str">
        <f t="shared" si="35"/>
        <v>Valid</v>
      </c>
      <c r="AQ193" t="str">
        <f>IF(Audit_Data[[#This Row],[Z_CostContact]]=3,"Valid","Invalid")</f>
        <v>Valid</v>
      </c>
      <c r="AR193" t="str">
        <f t="shared" si="36"/>
        <v>Valid</v>
      </c>
      <c r="AS193" t="str">
        <f t="shared" si="37"/>
        <v>Valid</v>
      </c>
    </row>
    <row r="194" spans="1:45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 t="str">
        <f t="shared" ref="AD194:AD257" si="39">IF(COUNTIF(A:A,A194)&gt;1,"Duplicate","Ok")</f>
        <v>Ok</v>
      </c>
      <c r="AE194" t="str">
        <f>IF(AND(Audit_Data[[#This Row],[Year_Birth]]&gt;=1900,Audit_Data[[#This Row],[Year_Birth]]&lt;=2010),"OK","Invalid")</f>
        <v>OK</v>
      </c>
      <c r="AF194" t="str">
        <f t="shared" ref="AF194:AF257" si="40">IF(OR(C194="Graduation",C194="phD",C194="Master",C194="Basic",C194="2n Cycle"),"Valid","Invalid")</f>
        <v>Valid</v>
      </c>
      <c r="AG194" t="str">
        <f t="shared" ref="AG194:AG257" si="41">IF(OR(D194="Single",D194="Married",D194="Divorced",D194="Together",D194="Widow",D194="Alone"),"Valid","Invalid")</f>
        <v>Valid</v>
      </c>
      <c r="AH194" t="str">
        <f t="shared" ref="AH194:AH257" si="42">IF(AND(ISNUMBER(E194),E194&lt;&gt;""),"Valid","Invalid")</f>
        <v>Valid</v>
      </c>
      <c r="AI194" t="str">
        <f t="shared" ref="AI194:AI257" si="43">IF(AND(F194&gt;=0,F194&lt;=2),"Valid","Invalid")</f>
        <v>Valid</v>
      </c>
      <c r="AJ194" t="str">
        <f t="shared" ref="AJ194:AJ257" si="44">IF(AND(G194&gt;=0,G194&lt;=2),"Valid","Invalid")</f>
        <v>Valid</v>
      </c>
      <c r="AK194" t="str">
        <f t="shared" si="38"/>
        <v xml:space="preserve">Valid </v>
      </c>
      <c r="AL194" t="str">
        <f>IF(AND(Audit_Data[[#This Row],[Recency]]&gt;=0,Audit_Data[[#This Row],[Recency]]&lt;=100),"Valid","Invalid")</f>
        <v>Valid</v>
      </c>
      <c r="AM194" t="str">
        <f t="shared" ref="AM194:AM257" si="45">IF(AND(ISNUMBER(J194),J194&gt;=0,ISNUMBER(K194),K194&gt;=0,ISNUMBER(L194),L194&gt;=0,ISNUMBER(M194),M194&gt;=0,ISNUMBER(N194),N194&gt;=0,ISNUMBER(O194),O194&gt;=0),"Valid","Invalid")</f>
        <v>Valid</v>
      </c>
      <c r="AN194" t="str">
        <f t="shared" ref="AN194:AN257" si="46">IF(AND(ISNUMBER(P194),P194&gt;=0,ISNUMBER(Q194),Q194&gt;=0,ISNUMBER(R194),R194&gt;=0,ISNUMBER(S194),S194&gt;=0,ISNUMBER(T194),T194&gt;=0),"Valid","Invalid")</f>
        <v>Valid</v>
      </c>
      <c r="AO194" t="str">
        <f t="shared" ref="AO194:AO257" si="47">IF(AND(U194&lt;=1,V194&lt;=1,W194&lt;=1,X194&lt;=1,Y194&lt;=1),"Valid","Invalid")</f>
        <v>Valid</v>
      </c>
      <c r="AP194" t="str">
        <f t="shared" ref="AP194:AP257" si="48">IF(OR(Z194=0,Z194=1),"Valid","Invalid")</f>
        <v>Valid</v>
      </c>
      <c r="AQ194" t="str">
        <f>IF(Audit_Data[[#This Row],[Z_CostContact]]=3,"Valid","Invalid")</f>
        <v>Valid</v>
      </c>
      <c r="AR194" t="str">
        <f t="shared" ref="AR194:AR257" si="49">IF(AB194=11,"Valid","Invalid")</f>
        <v>Valid</v>
      </c>
      <c r="AS194" t="str">
        <f t="shared" ref="AS194:AS257" si="50">IF(OR(AC194=0,AC194=1),"Valid","Invalid")</f>
        <v>Valid</v>
      </c>
    </row>
    <row r="195" spans="1:45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 t="str">
        <f t="shared" si="39"/>
        <v>Ok</v>
      </c>
      <c r="AE195" t="str">
        <f>IF(AND(Audit_Data[[#This Row],[Year_Birth]]&gt;=1900,Audit_Data[[#This Row],[Year_Birth]]&lt;=2010),"OK","Invalid")</f>
        <v>OK</v>
      </c>
      <c r="AF195" t="str">
        <f t="shared" si="40"/>
        <v>Valid</v>
      </c>
      <c r="AG195" t="str">
        <f t="shared" si="41"/>
        <v>Valid</v>
      </c>
      <c r="AH195" t="str">
        <f t="shared" si="42"/>
        <v>Valid</v>
      </c>
      <c r="AI195" t="str">
        <f t="shared" si="43"/>
        <v>Valid</v>
      </c>
      <c r="AJ195" t="str">
        <f t="shared" si="44"/>
        <v>Valid</v>
      </c>
      <c r="AK195" t="str">
        <f t="shared" ref="AK195:AK258" si="51">IF(AND(ISNUMBER(H195),H195&gt;=DATE(2012,1,1),H195&lt;=DATE(2014,12,31)),"Valid ","Invalid")</f>
        <v xml:space="preserve">Valid </v>
      </c>
      <c r="AL195" t="str">
        <f>IF(AND(Audit_Data[[#This Row],[Recency]]&gt;=0,Audit_Data[[#This Row],[Recency]]&lt;=100),"Valid","Invalid")</f>
        <v>Valid</v>
      </c>
      <c r="AM195" t="str">
        <f t="shared" si="45"/>
        <v>Valid</v>
      </c>
      <c r="AN195" t="str">
        <f t="shared" si="46"/>
        <v>Valid</v>
      </c>
      <c r="AO195" t="str">
        <f t="shared" si="47"/>
        <v>Valid</v>
      </c>
      <c r="AP195" t="str">
        <f t="shared" si="48"/>
        <v>Valid</v>
      </c>
      <c r="AQ195" t="str">
        <f>IF(Audit_Data[[#This Row],[Z_CostContact]]=3,"Valid","Invalid")</f>
        <v>Valid</v>
      </c>
      <c r="AR195" t="str">
        <f t="shared" si="49"/>
        <v>Valid</v>
      </c>
      <c r="AS195" t="str">
        <f t="shared" si="50"/>
        <v>Valid</v>
      </c>
    </row>
    <row r="196" spans="1:45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 t="str">
        <f t="shared" si="39"/>
        <v>Ok</v>
      </c>
      <c r="AE196" t="str">
        <f>IF(AND(Audit_Data[[#This Row],[Year_Birth]]&gt;=1900,Audit_Data[[#This Row],[Year_Birth]]&lt;=2010),"OK","Invalid")</f>
        <v>OK</v>
      </c>
      <c r="AF196" t="str">
        <f t="shared" si="40"/>
        <v>Valid</v>
      </c>
      <c r="AG196" t="str">
        <f t="shared" si="41"/>
        <v>Valid</v>
      </c>
      <c r="AH196" t="str">
        <f t="shared" si="42"/>
        <v>Valid</v>
      </c>
      <c r="AI196" t="str">
        <f t="shared" si="43"/>
        <v>Valid</v>
      </c>
      <c r="AJ196" t="str">
        <f t="shared" si="44"/>
        <v>Valid</v>
      </c>
      <c r="AK196" t="str">
        <f t="shared" si="51"/>
        <v xml:space="preserve">Valid </v>
      </c>
      <c r="AL196" t="str">
        <f>IF(AND(Audit_Data[[#This Row],[Recency]]&gt;=0,Audit_Data[[#This Row],[Recency]]&lt;=100),"Valid","Invalid")</f>
        <v>Valid</v>
      </c>
      <c r="AM196" t="str">
        <f t="shared" si="45"/>
        <v>Valid</v>
      </c>
      <c r="AN196" t="str">
        <f t="shared" si="46"/>
        <v>Valid</v>
      </c>
      <c r="AO196" t="str">
        <f t="shared" si="47"/>
        <v>Valid</v>
      </c>
      <c r="AP196" t="str">
        <f t="shared" si="48"/>
        <v>Valid</v>
      </c>
      <c r="AQ196" t="str">
        <f>IF(Audit_Data[[#This Row],[Z_CostContact]]=3,"Valid","Invalid")</f>
        <v>Valid</v>
      </c>
      <c r="AR196" t="str">
        <f t="shared" si="49"/>
        <v>Valid</v>
      </c>
      <c r="AS196" t="str">
        <f t="shared" si="50"/>
        <v>Valid</v>
      </c>
    </row>
    <row r="197" spans="1:45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 t="str">
        <f t="shared" si="39"/>
        <v>Ok</v>
      </c>
      <c r="AE197" t="str">
        <f>IF(AND(Audit_Data[[#This Row],[Year_Birth]]&gt;=1900,Audit_Data[[#This Row],[Year_Birth]]&lt;=2010),"OK","Invalid")</f>
        <v>OK</v>
      </c>
      <c r="AF197" t="str">
        <f t="shared" si="40"/>
        <v>Valid</v>
      </c>
      <c r="AG197" t="str">
        <f t="shared" si="41"/>
        <v>Valid</v>
      </c>
      <c r="AH197" t="str">
        <f t="shared" si="42"/>
        <v>Valid</v>
      </c>
      <c r="AI197" t="str">
        <f t="shared" si="43"/>
        <v>Valid</v>
      </c>
      <c r="AJ197" t="str">
        <f t="shared" si="44"/>
        <v>Valid</v>
      </c>
      <c r="AK197" t="str">
        <f t="shared" si="51"/>
        <v xml:space="preserve">Valid </v>
      </c>
      <c r="AL197" t="str">
        <f>IF(AND(Audit_Data[[#This Row],[Recency]]&gt;=0,Audit_Data[[#This Row],[Recency]]&lt;=100),"Valid","Invalid")</f>
        <v>Valid</v>
      </c>
      <c r="AM197" t="str">
        <f t="shared" si="45"/>
        <v>Valid</v>
      </c>
      <c r="AN197" t="str">
        <f t="shared" si="46"/>
        <v>Valid</v>
      </c>
      <c r="AO197" t="str">
        <f t="shared" si="47"/>
        <v>Valid</v>
      </c>
      <c r="AP197" t="str">
        <f t="shared" si="48"/>
        <v>Valid</v>
      </c>
      <c r="AQ197" t="str">
        <f>IF(Audit_Data[[#This Row],[Z_CostContact]]=3,"Valid","Invalid")</f>
        <v>Valid</v>
      </c>
      <c r="AR197" t="str">
        <f t="shared" si="49"/>
        <v>Valid</v>
      </c>
      <c r="AS197" t="str">
        <f t="shared" si="50"/>
        <v>Valid</v>
      </c>
    </row>
    <row r="198" spans="1:45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 t="str">
        <f t="shared" si="39"/>
        <v>Ok</v>
      </c>
      <c r="AE198" t="str">
        <f>IF(AND(Audit_Data[[#This Row],[Year_Birth]]&gt;=1900,Audit_Data[[#This Row],[Year_Birth]]&lt;=2010),"OK","Invalid")</f>
        <v>OK</v>
      </c>
      <c r="AF198" t="str">
        <f t="shared" si="40"/>
        <v>Valid</v>
      </c>
      <c r="AG198" t="str">
        <f t="shared" si="41"/>
        <v>Valid</v>
      </c>
      <c r="AH198" t="str">
        <f t="shared" si="42"/>
        <v>Valid</v>
      </c>
      <c r="AI198" t="str">
        <f t="shared" si="43"/>
        <v>Valid</v>
      </c>
      <c r="AJ198" t="str">
        <f t="shared" si="44"/>
        <v>Valid</v>
      </c>
      <c r="AK198" t="str">
        <f t="shared" si="51"/>
        <v xml:space="preserve">Valid </v>
      </c>
      <c r="AL198" t="str">
        <f>IF(AND(Audit_Data[[#This Row],[Recency]]&gt;=0,Audit_Data[[#This Row],[Recency]]&lt;=100),"Valid","Invalid")</f>
        <v>Valid</v>
      </c>
      <c r="AM198" t="str">
        <f t="shared" si="45"/>
        <v>Valid</v>
      </c>
      <c r="AN198" t="str">
        <f t="shared" si="46"/>
        <v>Valid</v>
      </c>
      <c r="AO198" t="str">
        <f t="shared" si="47"/>
        <v>Valid</v>
      </c>
      <c r="AP198" t="str">
        <f t="shared" si="48"/>
        <v>Valid</v>
      </c>
      <c r="AQ198" t="str">
        <f>IF(Audit_Data[[#This Row],[Z_CostContact]]=3,"Valid","Invalid")</f>
        <v>Valid</v>
      </c>
      <c r="AR198" t="str">
        <f t="shared" si="49"/>
        <v>Valid</v>
      </c>
      <c r="AS198" t="str">
        <f t="shared" si="50"/>
        <v>Valid</v>
      </c>
    </row>
    <row r="199" spans="1:45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 t="str">
        <f t="shared" si="39"/>
        <v>Ok</v>
      </c>
      <c r="AE199" t="str">
        <f>IF(AND(Audit_Data[[#This Row],[Year_Birth]]&gt;=1900,Audit_Data[[#This Row],[Year_Birth]]&lt;=2010),"OK","Invalid")</f>
        <v>OK</v>
      </c>
      <c r="AF199" t="str">
        <f t="shared" si="40"/>
        <v>Valid</v>
      </c>
      <c r="AG199" t="str">
        <f t="shared" si="41"/>
        <v>Valid</v>
      </c>
      <c r="AH199" t="str">
        <f t="shared" si="42"/>
        <v>Valid</v>
      </c>
      <c r="AI199" t="str">
        <f t="shared" si="43"/>
        <v>Valid</v>
      </c>
      <c r="AJ199" t="str">
        <f t="shared" si="44"/>
        <v>Valid</v>
      </c>
      <c r="AK199" t="str">
        <f t="shared" si="51"/>
        <v xml:space="preserve">Valid </v>
      </c>
      <c r="AL199" t="str">
        <f>IF(AND(Audit_Data[[#This Row],[Recency]]&gt;=0,Audit_Data[[#This Row],[Recency]]&lt;=100),"Valid","Invalid")</f>
        <v>Valid</v>
      </c>
      <c r="AM199" t="str">
        <f t="shared" si="45"/>
        <v>Valid</v>
      </c>
      <c r="AN199" t="str">
        <f t="shared" si="46"/>
        <v>Valid</v>
      </c>
      <c r="AO199" t="str">
        <f t="shared" si="47"/>
        <v>Valid</v>
      </c>
      <c r="AP199" t="str">
        <f t="shared" si="48"/>
        <v>Valid</v>
      </c>
      <c r="AQ199" t="str">
        <f>IF(Audit_Data[[#This Row],[Z_CostContact]]=3,"Valid","Invalid")</f>
        <v>Valid</v>
      </c>
      <c r="AR199" t="str">
        <f t="shared" si="49"/>
        <v>Valid</v>
      </c>
      <c r="AS199" t="str">
        <f t="shared" si="50"/>
        <v>Valid</v>
      </c>
    </row>
    <row r="200" spans="1:45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 t="str">
        <f t="shared" si="39"/>
        <v>Ok</v>
      </c>
      <c r="AE200" t="str">
        <f>IF(AND(Audit_Data[[#This Row],[Year_Birth]]&gt;=1900,Audit_Data[[#This Row],[Year_Birth]]&lt;=2010),"OK","Invalid")</f>
        <v>OK</v>
      </c>
      <c r="AF200" t="str">
        <f t="shared" si="40"/>
        <v>Valid</v>
      </c>
      <c r="AG200" t="str">
        <f t="shared" si="41"/>
        <v>Valid</v>
      </c>
      <c r="AH200" t="str">
        <f t="shared" si="42"/>
        <v>Valid</v>
      </c>
      <c r="AI200" t="str">
        <f t="shared" si="43"/>
        <v>Valid</v>
      </c>
      <c r="AJ200" t="str">
        <f t="shared" si="44"/>
        <v>Valid</v>
      </c>
      <c r="AK200" t="str">
        <f t="shared" si="51"/>
        <v xml:space="preserve">Valid </v>
      </c>
      <c r="AL200" t="str">
        <f>IF(AND(Audit_Data[[#This Row],[Recency]]&gt;=0,Audit_Data[[#This Row],[Recency]]&lt;=100),"Valid","Invalid")</f>
        <v>Valid</v>
      </c>
      <c r="AM200" t="str">
        <f t="shared" si="45"/>
        <v>Valid</v>
      </c>
      <c r="AN200" t="str">
        <f t="shared" si="46"/>
        <v>Valid</v>
      </c>
      <c r="AO200" t="str">
        <f t="shared" si="47"/>
        <v>Valid</v>
      </c>
      <c r="AP200" t="str">
        <f t="shared" si="48"/>
        <v>Valid</v>
      </c>
      <c r="AQ200" t="str">
        <f>IF(Audit_Data[[#This Row],[Z_CostContact]]=3,"Valid","Invalid")</f>
        <v>Valid</v>
      </c>
      <c r="AR200" t="str">
        <f t="shared" si="49"/>
        <v>Valid</v>
      </c>
      <c r="AS200" t="str">
        <f t="shared" si="50"/>
        <v>Valid</v>
      </c>
    </row>
    <row r="201" spans="1:45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 t="str">
        <f t="shared" si="39"/>
        <v>Ok</v>
      </c>
      <c r="AE201" t="str">
        <f>IF(AND(Audit_Data[[#This Row],[Year_Birth]]&gt;=1900,Audit_Data[[#This Row],[Year_Birth]]&lt;=2010),"OK","Invalid")</f>
        <v>OK</v>
      </c>
      <c r="AF201" t="str">
        <f t="shared" si="40"/>
        <v>Valid</v>
      </c>
      <c r="AG201" t="str">
        <f t="shared" si="41"/>
        <v>Valid</v>
      </c>
      <c r="AH201" t="str">
        <f t="shared" si="42"/>
        <v>Valid</v>
      </c>
      <c r="AI201" t="str">
        <f t="shared" si="43"/>
        <v>Valid</v>
      </c>
      <c r="AJ201" t="str">
        <f t="shared" si="44"/>
        <v>Valid</v>
      </c>
      <c r="AK201" t="str">
        <f t="shared" si="51"/>
        <v xml:space="preserve">Valid </v>
      </c>
      <c r="AL201" t="str">
        <f>IF(AND(Audit_Data[[#This Row],[Recency]]&gt;=0,Audit_Data[[#This Row],[Recency]]&lt;=100),"Valid","Invalid")</f>
        <v>Valid</v>
      </c>
      <c r="AM201" t="str">
        <f t="shared" si="45"/>
        <v>Valid</v>
      </c>
      <c r="AN201" t="str">
        <f t="shared" si="46"/>
        <v>Valid</v>
      </c>
      <c r="AO201" t="str">
        <f t="shared" si="47"/>
        <v>Valid</v>
      </c>
      <c r="AP201" t="str">
        <f t="shared" si="48"/>
        <v>Valid</v>
      </c>
      <c r="AQ201" t="str">
        <f>IF(Audit_Data[[#This Row],[Z_CostContact]]=3,"Valid","Invalid")</f>
        <v>Valid</v>
      </c>
      <c r="AR201" t="str">
        <f t="shared" si="49"/>
        <v>Valid</v>
      </c>
      <c r="AS201" t="str">
        <f t="shared" si="50"/>
        <v>Valid</v>
      </c>
    </row>
    <row r="202" spans="1:45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 t="str">
        <f t="shared" si="39"/>
        <v>Ok</v>
      </c>
      <c r="AE202" t="str">
        <f>IF(AND(Audit_Data[[#This Row],[Year_Birth]]&gt;=1900,Audit_Data[[#This Row],[Year_Birth]]&lt;=2010),"OK","Invalid")</f>
        <v>OK</v>
      </c>
      <c r="AF202" t="str">
        <f t="shared" si="40"/>
        <v>Valid</v>
      </c>
      <c r="AG202" t="str">
        <f t="shared" si="41"/>
        <v>Valid</v>
      </c>
      <c r="AH202" t="str">
        <f t="shared" si="42"/>
        <v>Valid</v>
      </c>
      <c r="AI202" t="str">
        <f t="shared" si="43"/>
        <v>Valid</v>
      </c>
      <c r="AJ202" t="str">
        <f t="shared" si="44"/>
        <v>Valid</v>
      </c>
      <c r="AK202" t="str">
        <f t="shared" si="51"/>
        <v xml:space="preserve">Valid </v>
      </c>
      <c r="AL202" t="str">
        <f>IF(AND(Audit_Data[[#This Row],[Recency]]&gt;=0,Audit_Data[[#This Row],[Recency]]&lt;=100),"Valid","Invalid")</f>
        <v>Valid</v>
      </c>
      <c r="AM202" t="str">
        <f t="shared" si="45"/>
        <v>Valid</v>
      </c>
      <c r="AN202" t="str">
        <f t="shared" si="46"/>
        <v>Valid</v>
      </c>
      <c r="AO202" t="str">
        <f t="shared" si="47"/>
        <v>Valid</v>
      </c>
      <c r="AP202" t="str">
        <f t="shared" si="48"/>
        <v>Valid</v>
      </c>
      <c r="AQ202" t="str">
        <f>IF(Audit_Data[[#This Row],[Z_CostContact]]=3,"Valid","Invalid")</f>
        <v>Valid</v>
      </c>
      <c r="AR202" t="str">
        <f t="shared" si="49"/>
        <v>Valid</v>
      </c>
      <c r="AS202" t="str">
        <f t="shared" si="50"/>
        <v>Valid</v>
      </c>
    </row>
    <row r="203" spans="1:45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 t="str">
        <f t="shared" si="39"/>
        <v>Ok</v>
      </c>
      <c r="AE203" t="str">
        <f>IF(AND(Audit_Data[[#This Row],[Year_Birth]]&gt;=1900,Audit_Data[[#This Row],[Year_Birth]]&lt;=2010),"OK","Invalid")</f>
        <v>OK</v>
      </c>
      <c r="AF203" t="str">
        <f t="shared" si="40"/>
        <v>Valid</v>
      </c>
      <c r="AG203" t="str">
        <f t="shared" si="41"/>
        <v>Valid</v>
      </c>
      <c r="AH203" t="str">
        <f t="shared" si="42"/>
        <v>Valid</v>
      </c>
      <c r="AI203" t="str">
        <f t="shared" si="43"/>
        <v>Valid</v>
      </c>
      <c r="AJ203" t="str">
        <f t="shared" si="44"/>
        <v>Valid</v>
      </c>
      <c r="AK203" t="str">
        <f t="shared" si="51"/>
        <v xml:space="preserve">Valid </v>
      </c>
      <c r="AL203" t="str">
        <f>IF(AND(Audit_Data[[#This Row],[Recency]]&gt;=0,Audit_Data[[#This Row],[Recency]]&lt;=100),"Valid","Invalid")</f>
        <v>Valid</v>
      </c>
      <c r="AM203" t="str">
        <f t="shared" si="45"/>
        <v>Valid</v>
      </c>
      <c r="AN203" t="str">
        <f t="shared" si="46"/>
        <v>Valid</v>
      </c>
      <c r="AO203" t="str">
        <f t="shared" si="47"/>
        <v>Valid</v>
      </c>
      <c r="AP203" t="str">
        <f t="shared" si="48"/>
        <v>Valid</v>
      </c>
      <c r="AQ203" t="str">
        <f>IF(Audit_Data[[#This Row],[Z_CostContact]]=3,"Valid","Invalid")</f>
        <v>Valid</v>
      </c>
      <c r="AR203" t="str">
        <f t="shared" si="49"/>
        <v>Valid</v>
      </c>
      <c r="AS203" t="str">
        <f t="shared" si="50"/>
        <v>Valid</v>
      </c>
    </row>
    <row r="204" spans="1:45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 t="str">
        <f t="shared" si="39"/>
        <v>Ok</v>
      </c>
      <c r="AE204" t="str">
        <f>IF(AND(Audit_Data[[#This Row],[Year_Birth]]&gt;=1900,Audit_Data[[#This Row],[Year_Birth]]&lt;=2010),"OK","Invalid")</f>
        <v>OK</v>
      </c>
      <c r="AF204" t="str">
        <f t="shared" si="40"/>
        <v>Valid</v>
      </c>
      <c r="AG204" t="str">
        <f t="shared" si="41"/>
        <v>Valid</v>
      </c>
      <c r="AH204" t="str">
        <f t="shared" si="42"/>
        <v>Valid</v>
      </c>
      <c r="AI204" t="str">
        <f t="shared" si="43"/>
        <v>Valid</v>
      </c>
      <c r="AJ204" t="str">
        <f t="shared" si="44"/>
        <v>Valid</v>
      </c>
      <c r="AK204" t="str">
        <f t="shared" si="51"/>
        <v xml:space="preserve">Valid </v>
      </c>
      <c r="AL204" t="str">
        <f>IF(AND(Audit_Data[[#This Row],[Recency]]&gt;=0,Audit_Data[[#This Row],[Recency]]&lt;=100),"Valid","Invalid")</f>
        <v>Valid</v>
      </c>
      <c r="AM204" t="str">
        <f t="shared" si="45"/>
        <v>Valid</v>
      </c>
      <c r="AN204" t="str">
        <f t="shared" si="46"/>
        <v>Valid</v>
      </c>
      <c r="AO204" t="str">
        <f t="shared" si="47"/>
        <v>Valid</v>
      </c>
      <c r="AP204" t="str">
        <f t="shared" si="48"/>
        <v>Valid</v>
      </c>
      <c r="AQ204" t="str">
        <f>IF(Audit_Data[[#This Row],[Z_CostContact]]=3,"Valid","Invalid")</f>
        <v>Valid</v>
      </c>
      <c r="AR204" t="str">
        <f t="shared" si="49"/>
        <v>Valid</v>
      </c>
      <c r="AS204" t="str">
        <f t="shared" si="50"/>
        <v>Valid</v>
      </c>
    </row>
    <row r="205" spans="1:45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 t="str">
        <f t="shared" si="39"/>
        <v>Ok</v>
      </c>
      <c r="AE205" t="str">
        <f>IF(AND(Audit_Data[[#This Row],[Year_Birth]]&gt;=1900,Audit_Data[[#This Row],[Year_Birth]]&lt;=2010),"OK","Invalid")</f>
        <v>OK</v>
      </c>
      <c r="AF205" t="str">
        <f t="shared" si="40"/>
        <v>Valid</v>
      </c>
      <c r="AG205" t="str">
        <f t="shared" si="41"/>
        <v>Valid</v>
      </c>
      <c r="AH205" t="str">
        <f t="shared" si="42"/>
        <v>Valid</v>
      </c>
      <c r="AI205" t="str">
        <f t="shared" si="43"/>
        <v>Valid</v>
      </c>
      <c r="AJ205" t="str">
        <f t="shared" si="44"/>
        <v>Valid</v>
      </c>
      <c r="AK205" t="str">
        <f t="shared" si="51"/>
        <v xml:space="preserve">Valid </v>
      </c>
      <c r="AL205" t="str">
        <f>IF(AND(Audit_Data[[#This Row],[Recency]]&gt;=0,Audit_Data[[#This Row],[Recency]]&lt;=100),"Valid","Invalid")</f>
        <v>Valid</v>
      </c>
      <c r="AM205" t="str">
        <f t="shared" si="45"/>
        <v>Valid</v>
      </c>
      <c r="AN205" t="str">
        <f t="shared" si="46"/>
        <v>Valid</v>
      </c>
      <c r="AO205" t="str">
        <f t="shared" si="47"/>
        <v>Valid</v>
      </c>
      <c r="AP205" t="str">
        <f t="shared" si="48"/>
        <v>Valid</v>
      </c>
      <c r="AQ205" t="str">
        <f>IF(Audit_Data[[#This Row],[Z_CostContact]]=3,"Valid","Invalid")</f>
        <v>Valid</v>
      </c>
      <c r="AR205" t="str">
        <f t="shared" si="49"/>
        <v>Valid</v>
      </c>
      <c r="AS205" t="str">
        <f t="shared" si="50"/>
        <v>Valid</v>
      </c>
    </row>
    <row r="206" spans="1:45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 t="str">
        <f t="shared" si="39"/>
        <v>Ok</v>
      </c>
      <c r="AE206" t="str">
        <f>IF(AND(Audit_Data[[#This Row],[Year_Birth]]&gt;=1900,Audit_Data[[#This Row],[Year_Birth]]&lt;=2010),"OK","Invalid")</f>
        <v>OK</v>
      </c>
      <c r="AF206" t="str">
        <f t="shared" si="40"/>
        <v>Valid</v>
      </c>
      <c r="AG206" t="str">
        <f t="shared" si="41"/>
        <v>Valid</v>
      </c>
      <c r="AH206" t="str">
        <f t="shared" si="42"/>
        <v>Valid</v>
      </c>
      <c r="AI206" t="str">
        <f t="shared" si="43"/>
        <v>Valid</v>
      </c>
      <c r="AJ206" t="str">
        <f t="shared" si="44"/>
        <v>Valid</v>
      </c>
      <c r="AK206" t="str">
        <f t="shared" si="51"/>
        <v xml:space="preserve">Valid </v>
      </c>
      <c r="AL206" t="str">
        <f>IF(AND(Audit_Data[[#This Row],[Recency]]&gt;=0,Audit_Data[[#This Row],[Recency]]&lt;=100),"Valid","Invalid")</f>
        <v>Valid</v>
      </c>
      <c r="AM206" t="str">
        <f t="shared" si="45"/>
        <v>Valid</v>
      </c>
      <c r="AN206" t="str">
        <f t="shared" si="46"/>
        <v>Valid</v>
      </c>
      <c r="AO206" t="str">
        <f t="shared" si="47"/>
        <v>Valid</v>
      </c>
      <c r="AP206" t="str">
        <f t="shared" si="48"/>
        <v>Valid</v>
      </c>
      <c r="AQ206" t="str">
        <f>IF(Audit_Data[[#This Row],[Z_CostContact]]=3,"Valid","Invalid")</f>
        <v>Valid</v>
      </c>
      <c r="AR206" t="str">
        <f t="shared" si="49"/>
        <v>Valid</v>
      </c>
      <c r="AS206" t="str">
        <f t="shared" si="50"/>
        <v>Valid</v>
      </c>
    </row>
    <row r="207" spans="1:45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 t="str">
        <f t="shared" si="39"/>
        <v>Ok</v>
      </c>
      <c r="AE207" t="str">
        <f>IF(AND(Audit_Data[[#This Row],[Year_Birth]]&gt;=1900,Audit_Data[[#This Row],[Year_Birth]]&lt;=2010),"OK","Invalid")</f>
        <v>OK</v>
      </c>
      <c r="AF207" t="str">
        <f t="shared" si="40"/>
        <v>Valid</v>
      </c>
      <c r="AG207" t="str">
        <f t="shared" si="41"/>
        <v>Valid</v>
      </c>
      <c r="AH207" t="str">
        <f t="shared" si="42"/>
        <v>Valid</v>
      </c>
      <c r="AI207" t="str">
        <f t="shared" si="43"/>
        <v>Valid</v>
      </c>
      <c r="AJ207" t="str">
        <f t="shared" si="44"/>
        <v>Valid</v>
      </c>
      <c r="AK207" t="str">
        <f t="shared" si="51"/>
        <v xml:space="preserve">Valid </v>
      </c>
      <c r="AL207" t="str">
        <f>IF(AND(Audit_Data[[#This Row],[Recency]]&gt;=0,Audit_Data[[#This Row],[Recency]]&lt;=100),"Valid","Invalid")</f>
        <v>Valid</v>
      </c>
      <c r="AM207" t="str">
        <f t="shared" si="45"/>
        <v>Valid</v>
      </c>
      <c r="AN207" t="str">
        <f t="shared" si="46"/>
        <v>Valid</v>
      </c>
      <c r="AO207" t="str">
        <f t="shared" si="47"/>
        <v>Valid</v>
      </c>
      <c r="AP207" t="str">
        <f t="shared" si="48"/>
        <v>Valid</v>
      </c>
      <c r="AQ207" t="str">
        <f>IF(Audit_Data[[#This Row],[Z_CostContact]]=3,"Valid","Invalid")</f>
        <v>Valid</v>
      </c>
      <c r="AR207" t="str">
        <f t="shared" si="49"/>
        <v>Valid</v>
      </c>
      <c r="AS207" t="str">
        <f t="shared" si="50"/>
        <v>Valid</v>
      </c>
    </row>
    <row r="208" spans="1:45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 t="str">
        <f t="shared" si="39"/>
        <v>Ok</v>
      </c>
      <c r="AE208" t="str">
        <f>IF(AND(Audit_Data[[#This Row],[Year_Birth]]&gt;=1900,Audit_Data[[#This Row],[Year_Birth]]&lt;=2010),"OK","Invalid")</f>
        <v>OK</v>
      </c>
      <c r="AF208" t="str">
        <f t="shared" si="40"/>
        <v>Valid</v>
      </c>
      <c r="AG208" t="str">
        <f t="shared" si="41"/>
        <v>Valid</v>
      </c>
      <c r="AH208" t="str">
        <f t="shared" si="42"/>
        <v>Valid</v>
      </c>
      <c r="AI208" t="str">
        <f t="shared" si="43"/>
        <v>Valid</v>
      </c>
      <c r="AJ208" t="str">
        <f t="shared" si="44"/>
        <v>Valid</v>
      </c>
      <c r="AK208" t="str">
        <f t="shared" si="51"/>
        <v xml:space="preserve">Valid </v>
      </c>
      <c r="AL208" t="str">
        <f>IF(AND(Audit_Data[[#This Row],[Recency]]&gt;=0,Audit_Data[[#This Row],[Recency]]&lt;=100),"Valid","Invalid")</f>
        <v>Valid</v>
      </c>
      <c r="AM208" t="str">
        <f t="shared" si="45"/>
        <v>Valid</v>
      </c>
      <c r="AN208" t="str">
        <f t="shared" si="46"/>
        <v>Valid</v>
      </c>
      <c r="AO208" t="str">
        <f t="shared" si="47"/>
        <v>Valid</v>
      </c>
      <c r="AP208" t="str">
        <f t="shared" si="48"/>
        <v>Valid</v>
      </c>
      <c r="AQ208" t="str">
        <f>IF(Audit_Data[[#This Row],[Z_CostContact]]=3,"Valid","Invalid")</f>
        <v>Valid</v>
      </c>
      <c r="AR208" t="str">
        <f t="shared" si="49"/>
        <v>Valid</v>
      </c>
      <c r="AS208" t="str">
        <f t="shared" si="50"/>
        <v>Valid</v>
      </c>
    </row>
    <row r="209" spans="1:45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 t="str">
        <f t="shared" si="39"/>
        <v>Ok</v>
      </c>
      <c r="AE209" t="str">
        <f>IF(AND(Audit_Data[[#This Row],[Year_Birth]]&gt;=1900,Audit_Data[[#This Row],[Year_Birth]]&lt;=2010),"OK","Invalid")</f>
        <v>OK</v>
      </c>
      <c r="AF209" t="str">
        <f t="shared" si="40"/>
        <v>Valid</v>
      </c>
      <c r="AG209" t="str">
        <f t="shared" si="41"/>
        <v>Valid</v>
      </c>
      <c r="AH209" t="str">
        <f t="shared" si="42"/>
        <v>Valid</v>
      </c>
      <c r="AI209" t="str">
        <f t="shared" si="43"/>
        <v>Valid</v>
      </c>
      <c r="AJ209" t="str">
        <f t="shared" si="44"/>
        <v>Valid</v>
      </c>
      <c r="AK209" t="str">
        <f t="shared" si="51"/>
        <v xml:space="preserve">Valid </v>
      </c>
      <c r="AL209" t="str">
        <f>IF(AND(Audit_Data[[#This Row],[Recency]]&gt;=0,Audit_Data[[#This Row],[Recency]]&lt;=100),"Valid","Invalid")</f>
        <v>Valid</v>
      </c>
      <c r="AM209" t="str">
        <f t="shared" si="45"/>
        <v>Valid</v>
      </c>
      <c r="AN209" t="str">
        <f t="shared" si="46"/>
        <v>Valid</v>
      </c>
      <c r="AO209" t="str">
        <f t="shared" si="47"/>
        <v>Valid</v>
      </c>
      <c r="AP209" t="str">
        <f t="shared" si="48"/>
        <v>Valid</v>
      </c>
      <c r="AQ209" t="str">
        <f>IF(Audit_Data[[#This Row],[Z_CostContact]]=3,"Valid","Invalid")</f>
        <v>Valid</v>
      </c>
      <c r="AR209" t="str">
        <f t="shared" si="49"/>
        <v>Valid</v>
      </c>
      <c r="AS209" t="str">
        <f t="shared" si="50"/>
        <v>Valid</v>
      </c>
    </row>
    <row r="210" spans="1:45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 t="str">
        <f t="shared" si="39"/>
        <v>Ok</v>
      </c>
      <c r="AE210" t="str">
        <f>IF(AND(Audit_Data[[#This Row],[Year_Birth]]&gt;=1900,Audit_Data[[#This Row],[Year_Birth]]&lt;=2010),"OK","Invalid")</f>
        <v>OK</v>
      </c>
      <c r="AF210" t="str">
        <f t="shared" si="40"/>
        <v>Valid</v>
      </c>
      <c r="AG210" t="str">
        <f t="shared" si="41"/>
        <v>Valid</v>
      </c>
      <c r="AH210" t="str">
        <f t="shared" si="42"/>
        <v>Valid</v>
      </c>
      <c r="AI210" t="str">
        <f t="shared" si="43"/>
        <v>Valid</v>
      </c>
      <c r="AJ210" t="str">
        <f t="shared" si="44"/>
        <v>Valid</v>
      </c>
      <c r="AK210" t="str">
        <f t="shared" si="51"/>
        <v xml:space="preserve">Valid </v>
      </c>
      <c r="AL210" t="str">
        <f>IF(AND(Audit_Data[[#This Row],[Recency]]&gt;=0,Audit_Data[[#This Row],[Recency]]&lt;=100),"Valid","Invalid")</f>
        <v>Valid</v>
      </c>
      <c r="AM210" t="str">
        <f t="shared" si="45"/>
        <v>Valid</v>
      </c>
      <c r="AN210" t="str">
        <f t="shared" si="46"/>
        <v>Valid</v>
      </c>
      <c r="AO210" t="str">
        <f t="shared" si="47"/>
        <v>Valid</v>
      </c>
      <c r="AP210" t="str">
        <f t="shared" si="48"/>
        <v>Valid</v>
      </c>
      <c r="AQ210" t="str">
        <f>IF(Audit_Data[[#This Row],[Z_CostContact]]=3,"Valid","Invalid")</f>
        <v>Valid</v>
      </c>
      <c r="AR210" t="str">
        <f t="shared" si="49"/>
        <v>Valid</v>
      </c>
      <c r="AS210" t="str">
        <f t="shared" si="50"/>
        <v>Valid</v>
      </c>
    </row>
    <row r="211" spans="1:45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 t="str">
        <f t="shared" si="39"/>
        <v>Ok</v>
      </c>
      <c r="AE211" t="str">
        <f>IF(AND(Audit_Data[[#This Row],[Year_Birth]]&gt;=1900,Audit_Data[[#This Row],[Year_Birth]]&lt;=2010),"OK","Invalid")</f>
        <v>OK</v>
      </c>
      <c r="AF211" t="str">
        <f t="shared" si="40"/>
        <v>Valid</v>
      </c>
      <c r="AG211" t="str">
        <f t="shared" si="41"/>
        <v>Valid</v>
      </c>
      <c r="AH211" t="str">
        <f t="shared" si="42"/>
        <v>Valid</v>
      </c>
      <c r="AI211" t="str">
        <f t="shared" si="43"/>
        <v>Valid</v>
      </c>
      <c r="AJ211" t="str">
        <f t="shared" si="44"/>
        <v>Valid</v>
      </c>
      <c r="AK211" t="str">
        <f t="shared" si="51"/>
        <v xml:space="preserve">Valid </v>
      </c>
      <c r="AL211" t="str">
        <f>IF(AND(Audit_Data[[#This Row],[Recency]]&gt;=0,Audit_Data[[#This Row],[Recency]]&lt;=100),"Valid","Invalid")</f>
        <v>Valid</v>
      </c>
      <c r="AM211" t="str">
        <f t="shared" si="45"/>
        <v>Valid</v>
      </c>
      <c r="AN211" t="str">
        <f t="shared" si="46"/>
        <v>Valid</v>
      </c>
      <c r="AO211" t="str">
        <f t="shared" si="47"/>
        <v>Valid</v>
      </c>
      <c r="AP211" t="str">
        <f t="shared" si="48"/>
        <v>Valid</v>
      </c>
      <c r="AQ211" t="str">
        <f>IF(Audit_Data[[#This Row],[Z_CostContact]]=3,"Valid","Invalid")</f>
        <v>Valid</v>
      </c>
      <c r="AR211" t="str">
        <f t="shared" si="49"/>
        <v>Valid</v>
      </c>
      <c r="AS211" t="str">
        <f t="shared" si="50"/>
        <v>Valid</v>
      </c>
    </row>
    <row r="212" spans="1:45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 t="str">
        <f t="shared" si="39"/>
        <v>Ok</v>
      </c>
      <c r="AE212" t="str">
        <f>IF(AND(Audit_Data[[#This Row],[Year_Birth]]&gt;=1900,Audit_Data[[#This Row],[Year_Birth]]&lt;=2010),"OK","Invalid")</f>
        <v>OK</v>
      </c>
      <c r="AF212" t="str">
        <f t="shared" si="40"/>
        <v>Valid</v>
      </c>
      <c r="AG212" t="str">
        <f t="shared" si="41"/>
        <v>Valid</v>
      </c>
      <c r="AH212" t="str">
        <f t="shared" si="42"/>
        <v>Valid</v>
      </c>
      <c r="AI212" t="str">
        <f t="shared" si="43"/>
        <v>Valid</v>
      </c>
      <c r="AJ212" t="str">
        <f t="shared" si="44"/>
        <v>Valid</v>
      </c>
      <c r="AK212" t="str">
        <f t="shared" si="51"/>
        <v xml:space="preserve">Valid </v>
      </c>
      <c r="AL212" t="str">
        <f>IF(AND(Audit_Data[[#This Row],[Recency]]&gt;=0,Audit_Data[[#This Row],[Recency]]&lt;=100),"Valid","Invalid")</f>
        <v>Valid</v>
      </c>
      <c r="AM212" t="str">
        <f t="shared" si="45"/>
        <v>Valid</v>
      </c>
      <c r="AN212" t="str">
        <f t="shared" si="46"/>
        <v>Valid</v>
      </c>
      <c r="AO212" t="str">
        <f t="shared" si="47"/>
        <v>Valid</v>
      </c>
      <c r="AP212" t="str">
        <f t="shared" si="48"/>
        <v>Valid</v>
      </c>
      <c r="AQ212" t="str">
        <f>IF(Audit_Data[[#This Row],[Z_CostContact]]=3,"Valid","Invalid")</f>
        <v>Valid</v>
      </c>
      <c r="AR212" t="str">
        <f t="shared" si="49"/>
        <v>Valid</v>
      </c>
      <c r="AS212" t="str">
        <f t="shared" si="50"/>
        <v>Valid</v>
      </c>
    </row>
    <row r="213" spans="1:45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 t="str">
        <f t="shared" si="39"/>
        <v>Ok</v>
      </c>
      <c r="AE213" t="str">
        <f>IF(AND(Audit_Data[[#This Row],[Year_Birth]]&gt;=1900,Audit_Data[[#This Row],[Year_Birth]]&lt;=2010),"OK","Invalid")</f>
        <v>OK</v>
      </c>
      <c r="AF213" t="str">
        <f t="shared" si="40"/>
        <v>Valid</v>
      </c>
      <c r="AG213" t="str">
        <f t="shared" si="41"/>
        <v>Valid</v>
      </c>
      <c r="AH213" t="str">
        <f t="shared" si="42"/>
        <v>Valid</v>
      </c>
      <c r="AI213" t="str">
        <f t="shared" si="43"/>
        <v>Valid</v>
      </c>
      <c r="AJ213" t="str">
        <f t="shared" si="44"/>
        <v>Valid</v>
      </c>
      <c r="AK213" t="str">
        <f t="shared" si="51"/>
        <v xml:space="preserve">Valid </v>
      </c>
      <c r="AL213" t="str">
        <f>IF(AND(Audit_Data[[#This Row],[Recency]]&gt;=0,Audit_Data[[#This Row],[Recency]]&lt;=100),"Valid","Invalid")</f>
        <v>Valid</v>
      </c>
      <c r="AM213" t="str">
        <f t="shared" si="45"/>
        <v>Valid</v>
      </c>
      <c r="AN213" t="str">
        <f t="shared" si="46"/>
        <v>Valid</v>
      </c>
      <c r="AO213" t="str">
        <f t="shared" si="47"/>
        <v>Valid</v>
      </c>
      <c r="AP213" t="str">
        <f t="shared" si="48"/>
        <v>Valid</v>
      </c>
      <c r="AQ213" t="str">
        <f>IF(Audit_Data[[#This Row],[Z_CostContact]]=3,"Valid","Invalid")</f>
        <v>Valid</v>
      </c>
      <c r="AR213" t="str">
        <f t="shared" si="49"/>
        <v>Valid</v>
      </c>
      <c r="AS213" t="str">
        <f t="shared" si="50"/>
        <v>Valid</v>
      </c>
    </row>
    <row r="214" spans="1:45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 t="str">
        <f t="shared" si="39"/>
        <v>Ok</v>
      </c>
      <c r="AE214" t="str">
        <f>IF(AND(Audit_Data[[#This Row],[Year_Birth]]&gt;=1900,Audit_Data[[#This Row],[Year_Birth]]&lt;=2010),"OK","Invalid")</f>
        <v>OK</v>
      </c>
      <c r="AF214" t="str">
        <f t="shared" si="40"/>
        <v>Valid</v>
      </c>
      <c r="AG214" t="str">
        <f t="shared" si="41"/>
        <v>Valid</v>
      </c>
      <c r="AH214" t="str">
        <f t="shared" si="42"/>
        <v>Valid</v>
      </c>
      <c r="AI214" t="str">
        <f t="shared" si="43"/>
        <v>Valid</v>
      </c>
      <c r="AJ214" t="str">
        <f t="shared" si="44"/>
        <v>Valid</v>
      </c>
      <c r="AK214" t="str">
        <f t="shared" si="51"/>
        <v xml:space="preserve">Valid </v>
      </c>
      <c r="AL214" t="str">
        <f>IF(AND(Audit_Data[[#This Row],[Recency]]&gt;=0,Audit_Data[[#This Row],[Recency]]&lt;=100),"Valid","Invalid")</f>
        <v>Valid</v>
      </c>
      <c r="AM214" t="str">
        <f t="shared" si="45"/>
        <v>Valid</v>
      </c>
      <c r="AN214" t="str">
        <f t="shared" si="46"/>
        <v>Valid</v>
      </c>
      <c r="AO214" t="str">
        <f t="shared" si="47"/>
        <v>Valid</v>
      </c>
      <c r="AP214" t="str">
        <f t="shared" si="48"/>
        <v>Valid</v>
      </c>
      <c r="AQ214" t="str">
        <f>IF(Audit_Data[[#This Row],[Z_CostContact]]=3,"Valid","Invalid")</f>
        <v>Valid</v>
      </c>
      <c r="AR214" t="str">
        <f t="shared" si="49"/>
        <v>Valid</v>
      </c>
      <c r="AS214" t="str">
        <f t="shared" si="50"/>
        <v>Valid</v>
      </c>
    </row>
    <row r="215" spans="1:45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 t="str">
        <f t="shared" si="39"/>
        <v>Ok</v>
      </c>
      <c r="AE215" t="str">
        <f>IF(AND(Audit_Data[[#This Row],[Year_Birth]]&gt;=1900,Audit_Data[[#This Row],[Year_Birth]]&lt;=2010),"OK","Invalid")</f>
        <v>OK</v>
      </c>
      <c r="AF215" t="str">
        <f t="shared" si="40"/>
        <v>Valid</v>
      </c>
      <c r="AG215" t="str">
        <f t="shared" si="41"/>
        <v>Valid</v>
      </c>
      <c r="AH215" t="str">
        <f t="shared" si="42"/>
        <v>Valid</v>
      </c>
      <c r="AI215" t="str">
        <f t="shared" si="43"/>
        <v>Valid</v>
      </c>
      <c r="AJ215" t="str">
        <f t="shared" si="44"/>
        <v>Valid</v>
      </c>
      <c r="AK215" t="str">
        <f t="shared" si="51"/>
        <v xml:space="preserve">Valid </v>
      </c>
      <c r="AL215" t="str">
        <f>IF(AND(Audit_Data[[#This Row],[Recency]]&gt;=0,Audit_Data[[#This Row],[Recency]]&lt;=100),"Valid","Invalid")</f>
        <v>Valid</v>
      </c>
      <c r="AM215" t="str">
        <f t="shared" si="45"/>
        <v>Valid</v>
      </c>
      <c r="AN215" t="str">
        <f t="shared" si="46"/>
        <v>Valid</v>
      </c>
      <c r="AO215" t="str">
        <f t="shared" si="47"/>
        <v>Valid</v>
      </c>
      <c r="AP215" t="str">
        <f t="shared" si="48"/>
        <v>Valid</v>
      </c>
      <c r="AQ215" t="str">
        <f>IF(Audit_Data[[#This Row],[Z_CostContact]]=3,"Valid","Invalid")</f>
        <v>Valid</v>
      </c>
      <c r="AR215" t="str">
        <f t="shared" si="49"/>
        <v>Valid</v>
      </c>
      <c r="AS215" t="str">
        <f t="shared" si="50"/>
        <v>Valid</v>
      </c>
    </row>
    <row r="216" spans="1:45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 t="str">
        <f t="shared" si="39"/>
        <v>Ok</v>
      </c>
      <c r="AE216" t="str">
        <f>IF(AND(Audit_Data[[#This Row],[Year_Birth]]&gt;=1900,Audit_Data[[#This Row],[Year_Birth]]&lt;=2010),"OK","Invalid")</f>
        <v>OK</v>
      </c>
      <c r="AF216" t="str">
        <f t="shared" si="40"/>
        <v>Valid</v>
      </c>
      <c r="AG216" t="str">
        <f t="shared" si="41"/>
        <v>Valid</v>
      </c>
      <c r="AH216" t="str">
        <f t="shared" si="42"/>
        <v>Valid</v>
      </c>
      <c r="AI216" t="str">
        <f t="shared" si="43"/>
        <v>Valid</v>
      </c>
      <c r="AJ216" t="str">
        <f t="shared" si="44"/>
        <v>Valid</v>
      </c>
      <c r="AK216" t="str">
        <f t="shared" si="51"/>
        <v xml:space="preserve">Valid </v>
      </c>
      <c r="AL216" t="str">
        <f>IF(AND(Audit_Data[[#This Row],[Recency]]&gt;=0,Audit_Data[[#This Row],[Recency]]&lt;=100),"Valid","Invalid")</f>
        <v>Valid</v>
      </c>
      <c r="AM216" t="str">
        <f t="shared" si="45"/>
        <v>Valid</v>
      </c>
      <c r="AN216" t="str">
        <f t="shared" si="46"/>
        <v>Valid</v>
      </c>
      <c r="AO216" t="str">
        <f t="shared" si="47"/>
        <v>Valid</v>
      </c>
      <c r="AP216" t="str">
        <f t="shared" si="48"/>
        <v>Valid</v>
      </c>
      <c r="AQ216" t="str">
        <f>IF(Audit_Data[[#This Row],[Z_CostContact]]=3,"Valid","Invalid")</f>
        <v>Valid</v>
      </c>
      <c r="AR216" t="str">
        <f t="shared" si="49"/>
        <v>Valid</v>
      </c>
      <c r="AS216" t="str">
        <f t="shared" si="50"/>
        <v>Valid</v>
      </c>
    </row>
    <row r="217" spans="1:45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 t="str">
        <f t="shared" si="39"/>
        <v>Ok</v>
      </c>
      <c r="AE217" t="str">
        <f>IF(AND(Audit_Data[[#This Row],[Year_Birth]]&gt;=1900,Audit_Data[[#This Row],[Year_Birth]]&lt;=2010),"OK","Invalid")</f>
        <v>OK</v>
      </c>
      <c r="AF217" t="str">
        <f t="shared" si="40"/>
        <v>Valid</v>
      </c>
      <c r="AG217" t="str">
        <f t="shared" si="41"/>
        <v>Valid</v>
      </c>
      <c r="AH217" t="str">
        <f t="shared" si="42"/>
        <v>Valid</v>
      </c>
      <c r="AI217" t="str">
        <f t="shared" si="43"/>
        <v>Valid</v>
      </c>
      <c r="AJ217" t="str">
        <f t="shared" si="44"/>
        <v>Valid</v>
      </c>
      <c r="AK217" t="str">
        <f t="shared" si="51"/>
        <v xml:space="preserve">Valid </v>
      </c>
      <c r="AL217" t="str">
        <f>IF(AND(Audit_Data[[#This Row],[Recency]]&gt;=0,Audit_Data[[#This Row],[Recency]]&lt;=100),"Valid","Invalid")</f>
        <v>Valid</v>
      </c>
      <c r="AM217" t="str">
        <f t="shared" si="45"/>
        <v>Valid</v>
      </c>
      <c r="AN217" t="str">
        <f t="shared" si="46"/>
        <v>Valid</v>
      </c>
      <c r="AO217" t="str">
        <f t="shared" si="47"/>
        <v>Valid</v>
      </c>
      <c r="AP217" t="str">
        <f t="shared" si="48"/>
        <v>Valid</v>
      </c>
      <c r="AQ217" t="str">
        <f>IF(Audit_Data[[#This Row],[Z_CostContact]]=3,"Valid","Invalid")</f>
        <v>Valid</v>
      </c>
      <c r="AR217" t="str">
        <f t="shared" si="49"/>
        <v>Valid</v>
      </c>
      <c r="AS217" t="str">
        <f t="shared" si="50"/>
        <v>Valid</v>
      </c>
    </row>
    <row r="218" spans="1:45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 t="str">
        <f t="shared" si="39"/>
        <v>Ok</v>
      </c>
      <c r="AE218" t="str">
        <f>IF(AND(Audit_Data[[#This Row],[Year_Birth]]&gt;=1900,Audit_Data[[#This Row],[Year_Birth]]&lt;=2010),"OK","Invalid")</f>
        <v>OK</v>
      </c>
      <c r="AF218" t="str">
        <f t="shared" si="40"/>
        <v>Valid</v>
      </c>
      <c r="AG218" t="str">
        <f t="shared" si="41"/>
        <v>Valid</v>
      </c>
      <c r="AH218" t="str">
        <f t="shared" si="42"/>
        <v>Valid</v>
      </c>
      <c r="AI218" t="str">
        <f t="shared" si="43"/>
        <v>Valid</v>
      </c>
      <c r="AJ218" t="str">
        <f t="shared" si="44"/>
        <v>Valid</v>
      </c>
      <c r="AK218" t="str">
        <f t="shared" si="51"/>
        <v xml:space="preserve">Valid </v>
      </c>
      <c r="AL218" t="str">
        <f>IF(AND(Audit_Data[[#This Row],[Recency]]&gt;=0,Audit_Data[[#This Row],[Recency]]&lt;=100),"Valid","Invalid")</f>
        <v>Valid</v>
      </c>
      <c r="AM218" t="str">
        <f t="shared" si="45"/>
        <v>Valid</v>
      </c>
      <c r="AN218" t="str">
        <f t="shared" si="46"/>
        <v>Valid</v>
      </c>
      <c r="AO218" t="str">
        <f t="shared" si="47"/>
        <v>Valid</v>
      </c>
      <c r="AP218" t="str">
        <f t="shared" si="48"/>
        <v>Valid</v>
      </c>
      <c r="AQ218" t="str">
        <f>IF(Audit_Data[[#This Row],[Z_CostContact]]=3,"Valid","Invalid")</f>
        <v>Valid</v>
      </c>
      <c r="AR218" t="str">
        <f t="shared" si="49"/>
        <v>Valid</v>
      </c>
      <c r="AS218" t="str">
        <f t="shared" si="50"/>
        <v>Valid</v>
      </c>
    </row>
    <row r="219" spans="1:45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 t="str">
        <f t="shared" si="39"/>
        <v>Ok</v>
      </c>
      <c r="AE219" t="str">
        <f>IF(AND(Audit_Data[[#This Row],[Year_Birth]]&gt;=1900,Audit_Data[[#This Row],[Year_Birth]]&lt;=2010),"OK","Invalid")</f>
        <v>OK</v>
      </c>
      <c r="AF219" t="str">
        <f t="shared" si="40"/>
        <v>Valid</v>
      </c>
      <c r="AG219" t="str">
        <f t="shared" si="41"/>
        <v>Valid</v>
      </c>
      <c r="AH219" t="str">
        <f t="shared" si="42"/>
        <v>Valid</v>
      </c>
      <c r="AI219" t="str">
        <f t="shared" si="43"/>
        <v>Valid</v>
      </c>
      <c r="AJ219" t="str">
        <f t="shared" si="44"/>
        <v>Valid</v>
      </c>
      <c r="AK219" t="str">
        <f t="shared" si="51"/>
        <v xml:space="preserve">Valid </v>
      </c>
      <c r="AL219" t="str">
        <f>IF(AND(Audit_Data[[#This Row],[Recency]]&gt;=0,Audit_Data[[#This Row],[Recency]]&lt;=100),"Valid","Invalid")</f>
        <v>Valid</v>
      </c>
      <c r="AM219" t="str">
        <f t="shared" si="45"/>
        <v>Valid</v>
      </c>
      <c r="AN219" t="str">
        <f t="shared" si="46"/>
        <v>Valid</v>
      </c>
      <c r="AO219" t="str">
        <f t="shared" si="47"/>
        <v>Valid</v>
      </c>
      <c r="AP219" t="str">
        <f t="shared" si="48"/>
        <v>Valid</v>
      </c>
      <c r="AQ219" t="str">
        <f>IF(Audit_Data[[#This Row],[Z_CostContact]]=3,"Valid","Invalid")</f>
        <v>Valid</v>
      </c>
      <c r="AR219" t="str">
        <f t="shared" si="49"/>
        <v>Valid</v>
      </c>
      <c r="AS219" t="str">
        <f t="shared" si="50"/>
        <v>Valid</v>
      </c>
    </row>
    <row r="220" spans="1:45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 t="str">
        <f t="shared" si="39"/>
        <v>Ok</v>
      </c>
      <c r="AE220" t="str">
        <f>IF(AND(Audit_Data[[#This Row],[Year_Birth]]&gt;=1900,Audit_Data[[#This Row],[Year_Birth]]&lt;=2010),"OK","Invalid")</f>
        <v>OK</v>
      </c>
      <c r="AF220" t="str">
        <f t="shared" si="40"/>
        <v>Valid</v>
      </c>
      <c r="AG220" t="str">
        <f t="shared" si="41"/>
        <v>Valid</v>
      </c>
      <c r="AH220" t="str">
        <f t="shared" si="42"/>
        <v>Valid</v>
      </c>
      <c r="AI220" t="str">
        <f t="shared" si="43"/>
        <v>Valid</v>
      </c>
      <c r="AJ220" t="str">
        <f t="shared" si="44"/>
        <v>Valid</v>
      </c>
      <c r="AK220" t="str">
        <f t="shared" si="51"/>
        <v xml:space="preserve">Valid </v>
      </c>
      <c r="AL220" t="str">
        <f>IF(AND(Audit_Data[[#This Row],[Recency]]&gt;=0,Audit_Data[[#This Row],[Recency]]&lt;=100),"Valid","Invalid")</f>
        <v>Valid</v>
      </c>
      <c r="AM220" t="str">
        <f t="shared" si="45"/>
        <v>Valid</v>
      </c>
      <c r="AN220" t="str">
        <f t="shared" si="46"/>
        <v>Valid</v>
      </c>
      <c r="AO220" t="str">
        <f t="shared" si="47"/>
        <v>Valid</v>
      </c>
      <c r="AP220" t="str">
        <f t="shared" si="48"/>
        <v>Valid</v>
      </c>
      <c r="AQ220" t="str">
        <f>IF(Audit_Data[[#This Row],[Z_CostContact]]=3,"Valid","Invalid")</f>
        <v>Valid</v>
      </c>
      <c r="AR220" t="str">
        <f t="shared" si="49"/>
        <v>Valid</v>
      </c>
      <c r="AS220" t="str">
        <f t="shared" si="50"/>
        <v>Valid</v>
      </c>
    </row>
    <row r="221" spans="1:45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 t="str">
        <f t="shared" si="39"/>
        <v>Ok</v>
      </c>
      <c r="AE221" t="str">
        <f>IF(AND(Audit_Data[[#This Row],[Year_Birth]]&gt;=1900,Audit_Data[[#This Row],[Year_Birth]]&lt;=2010),"OK","Invalid")</f>
        <v>OK</v>
      </c>
      <c r="AF221" t="str">
        <f t="shared" si="40"/>
        <v>Valid</v>
      </c>
      <c r="AG221" t="str">
        <f t="shared" si="41"/>
        <v>Valid</v>
      </c>
      <c r="AH221" t="str">
        <f t="shared" si="42"/>
        <v>Valid</v>
      </c>
      <c r="AI221" t="str">
        <f t="shared" si="43"/>
        <v>Valid</v>
      </c>
      <c r="AJ221" t="str">
        <f t="shared" si="44"/>
        <v>Valid</v>
      </c>
      <c r="AK221" t="str">
        <f t="shared" si="51"/>
        <v xml:space="preserve">Valid </v>
      </c>
      <c r="AL221" t="str">
        <f>IF(AND(Audit_Data[[#This Row],[Recency]]&gt;=0,Audit_Data[[#This Row],[Recency]]&lt;=100),"Valid","Invalid")</f>
        <v>Valid</v>
      </c>
      <c r="AM221" t="str">
        <f t="shared" si="45"/>
        <v>Valid</v>
      </c>
      <c r="AN221" t="str">
        <f t="shared" si="46"/>
        <v>Valid</v>
      </c>
      <c r="AO221" t="str">
        <f t="shared" si="47"/>
        <v>Valid</v>
      </c>
      <c r="AP221" t="str">
        <f t="shared" si="48"/>
        <v>Valid</v>
      </c>
      <c r="AQ221" t="str">
        <f>IF(Audit_Data[[#This Row],[Z_CostContact]]=3,"Valid","Invalid")</f>
        <v>Valid</v>
      </c>
      <c r="AR221" t="str">
        <f t="shared" si="49"/>
        <v>Valid</v>
      </c>
      <c r="AS221" t="str">
        <f t="shared" si="50"/>
        <v>Valid</v>
      </c>
    </row>
    <row r="222" spans="1:45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 t="str">
        <f t="shared" si="39"/>
        <v>Ok</v>
      </c>
      <c r="AE222" t="str">
        <f>IF(AND(Audit_Data[[#This Row],[Year_Birth]]&gt;=1900,Audit_Data[[#This Row],[Year_Birth]]&lt;=2010),"OK","Invalid")</f>
        <v>OK</v>
      </c>
      <c r="AF222" t="str">
        <f t="shared" si="40"/>
        <v>Valid</v>
      </c>
      <c r="AG222" t="str">
        <f t="shared" si="41"/>
        <v>Valid</v>
      </c>
      <c r="AH222" t="str">
        <f t="shared" si="42"/>
        <v>Valid</v>
      </c>
      <c r="AI222" t="str">
        <f t="shared" si="43"/>
        <v>Valid</v>
      </c>
      <c r="AJ222" t="str">
        <f t="shared" si="44"/>
        <v>Valid</v>
      </c>
      <c r="AK222" t="str">
        <f t="shared" si="51"/>
        <v xml:space="preserve">Valid </v>
      </c>
      <c r="AL222" t="str">
        <f>IF(AND(Audit_Data[[#This Row],[Recency]]&gt;=0,Audit_Data[[#This Row],[Recency]]&lt;=100),"Valid","Invalid")</f>
        <v>Valid</v>
      </c>
      <c r="AM222" t="str">
        <f t="shared" si="45"/>
        <v>Valid</v>
      </c>
      <c r="AN222" t="str">
        <f t="shared" si="46"/>
        <v>Valid</v>
      </c>
      <c r="AO222" t="str">
        <f t="shared" si="47"/>
        <v>Valid</v>
      </c>
      <c r="AP222" t="str">
        <f t="shared" si="48"/>
        <v>Valid</v>
      </c>
      <c r="AQ222" t="str">
        <f>IF(Audit_Data[[#This Row],[Z_CostContact]]=3,"Valid","Invalid")</f>
        <v>Valid</v>
      </c>
      <c r="AR222" t="str">
        <f t="shared" si="49"/>
        <v>Valid</v>
      </c>
      <c r="AS222" t="str">
        <f t="shared" si="50"/>
        <v>Valid</v>
      </c>
    </row>
    <row r="223" spans="1:45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 t="str">
        <f t="shared" si="39"/>
        <v>Ok</v>
      </c>
      <c r="AE223" t="str">
        <f>IF(AND(Audit_Data[[#This Row],[Year_Birth]]&gt;=1900,Audit_Data[[#This Row],[Year_Birth]]&lt;=2010),"OK","Invalid")</f>
        <v>OK</v>
      </c>
      <c r="AF223" t="str">
        <f t="shared" si="40"/>
        <v>Valid</v>
      </c>
      <c r="AG223" t="str">
        <f t="shared" si="41"/>
        <v>Valid</v>
      </c>
      <c r="AH223" t="str">
        <f t="shared" si="42"/>
        <v>Valid</v>
      </c>
      <c r="AI223" t="str">
        <f t="shared" si="43"/>
        <v>Valid</v>
      </c>
      <c r="AJ223" t="str">
        <f t="shared" si="44"/>
        <v>Valid</v>
      </c>
      <c r="AK223" t="str">
        <f t="shared" si="51"/>
        <v xml:space="preserve">Valid </v>
      </c>
      <c r="AL223" t="str">
        <f>IF(AND(Audit_Data[[#This Row],[Recency]]&gt;=0,Audit_Data[[#This Row],[Recency]]&lt;=100),"Valid","Invalid")</f>
        <v>Valid</v>
      </c>
      <c r="AM223" t="str">
        <f t="shared" si="45"/>
        <v>Valid</v>
      </c>
      <c r="AN223" t="str">
        <f t="shared" si="46"/>
        <v>Valid</v>
      </c>
      <c r="AO223" t="str">
        <f t="shared" si="47"/>
        <v>Valid</v>
      </c>
      <c r="AP223" t="str">
        <f t="shared" si="48"/>
        <v>Valid</v>
      </c>
      <c r="AQ223" t="str">
        <f>IF(Audit_Data[[#This Row],[Z_CostContact]]=3,"Valid","Invalid")</f>
        <v>Valid</v>
      </c>
      <c r="AR223" t="str">
        <f t="shared" si="49"/>
        <v>Valid</v>
      </c>
      <c r="AS223" t="str">
        <f t="shared" si="50"/>
        <v>Valid</v>
      </c>
    </row>
    <row r="224" spans="1:45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 t="str">
        <f t="shared" si="39"/>
        <v>Ok</v>
      </c>
      <c r="AE224" t="str">
        <f>IF(AND(Audit_Data[[#This Row],[Year_Birth]]&gt;=1900,Audit_Data[[#This Row],[Year_Birth]]&lt;=2010),"OK","Invalid")</f>
        <v>OK</v>
      </c>
      <c r="AF224" t="str">
        <f t="shared" si="40"/>
        <v>Valid</v>
      </c>
      <c r="AG224" t="str">
        <f t="shared" si="41"/>
        <v>Valid</v>
      </c>
      <c r="AH224" t="str">
        <f t="shared" si="42"/>
        <v>Valid</v>
      </c>
      <c r="AI224" t="str">
        <f t="shared" si="43"/>
        <v>Valid</v>
      </c>
      <c r="AJ224" t="str">
        <f t="shared" si="44"/>
        <v>Valid</v>
      </c>
      <c r="AK224" t="str">
        <f t="shared" si="51"/>
        <v xml:space="preserve">Valid </v>
      </c>
      <c r="AL224" t="str">
        <f>IF(AND(Audit_Data[[#This Row],[Recency]]&gt;=0,Audit_Data[[#This Row],[Recency]]&lt;=100),"Valid","Invalid")</f>
        <v>Valid</v>
      </c>
      <c r="AM224" t="str">
        <f t="shared" si="45"/>
        <v>Valid</v>
      </c>
      <c r="AN224" t="str">
        <f t="shared" si="46"/>
        <v>Valid</v>
      </c>
      <c r="AO224" t="str">
        <f t="shared" si="47"/>
        <v>Valid</v>
      </c>
      <c r="AP224" t="str">
        <f t="shared" si="48"/>
        <v>Valid</v>
      </c>
      <c r="AQ224" t="str">
        <f>IF(Audit_Data[[#This Row],[Z_CostContact]]=3,"Valid","Invalid")</f>
        <v>Valid</v>
      </c>
      <c r="AR224" t="str">
        <f t="shared" si="49"/>
        <v>Valid</v>
      </c>
      <c r="AS224" t="str">
        <f t="shared" si="50"/>
        <v>Valid</v>
      </c>
    </row>
    <row r="225" spans="1:45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 t="str">
        <f t="shared" si="39"/>
        <v>Ok</v>
      </c>
      <c r="AE225" t="str">
        <f>IF(AND(Audit_Data[[#This Row],[Year_Birth]]&gt;=1900,Audit_Data[[#This Row],[Year_Birth]]&lt;=2010),"OK","Invalid")</f>
        <v>OK</v>
      </c>
      <c r="AF225" t="str">
        <f t="shared" si="40"/>
        <v>Valid</v>
      </c>
      <c r="AG225" t="str">
        <f t="shared" si="41"/>
        <v>Valid</v>
      </c>
      <c r="AH225" t="str">
        <f t="shared" si="42"/>
        <v>Valid</v>
      </c>
      <c r="AI225" t="str">
        <f t="shared" si="43"/>
        <v>Valid</v>
      </c>
      <c r="AJ225" t="str">
        <f t="shared" si="44"/>
        <v>Valid</v>
      </c>
      <c r="AK225" t="str">
        <f t="shared" si="51"/>
        <v xml:space="preserve">Valid </v>
      </c>
      <c r="AL225" t="str">
        <f>IF(AND(Audit_Data[[#This Row],[Recency]]&gt;=0,Audit_Data[[#This Row],[Recency]]&lt;=100),"Valid","Invalid")</f>
        <v>Valid</v>
      </c>
      <c r="AM225" t="str">
        <f t="shared" si="45"/>
        <v>Valid</v>
      </c>
      <c r="AN225" t="str">
        <f t="shared" si="46"/>
        <v>Valid</v>
      </c>
      <c r="AO225" t="str">
        <f t="shared" si="47"/>
        <v>Valid</v>
      </c>
      <c r="AP225" t="str">
        <f t="shared" si="48"/>
        <v>Valid</v>
      </c>
      <c r="AQ225" t="str">
        <f>IF(Audit_Data[[#This Row],[Z_CostContact]]=3,"Valid","Invalid")</f>
        <v>Valid</v>
      </c>
      <c r="AR225" t="str">
        <f t="shared" si="49"/>
        <v>Valid</v>
      </c>
      <c r="AS225" t="str">
        <f t="shared" si="50"/>
        <v>Valid</v>
      </c>
    </row>
    <row r="226" spans="1:45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 t="str">
        <f t="shared" si="39"/>
        <v>Ok</v>
      </c>
      <c r="AE226" t="str">
        <f>IF(AND(Audit_Data[[#This Row],[Year_Birth]]&gt;=1900,Audit_Data[[#This Row],[Year_Birth]]&lt;=2010),"OK","Invalid")</f>
        <v>OK</v>
      </c>
      <c r="AF226" t="str">
        <f t="shared" si="40"/>
        <v>Valid</v>
      </c>
      <c r="AG226" t="str">
        <f t="shared" si="41"/>
        <v>Valid</v>
      </c>
      <c r="AH226" t="str">
        <f t="shared" si="42"/>
        <v>Valid</v>
      </c>
      <c r="AI226" t="str">
        <f t="shared" si="43"/>
        <v>Valid</v>
      </c>
      <c r="AJ226" t="str">
        <f t="shared" si="44"/>
        <v>Valid</v>
      </c>
      <c r="AK226" t="str">
        <f t="shared" si="51"/>
        <v xml:space="preserve">Valid </v>
      </c>
      <c r="AL226" t="str">
        <f>IF(AND(Audit_Data[[#This Row],[Recency]]&gt;=0,Audit_Data[[#This Row],[Recency]]&lt;=100),"Valid","Invalid")</f>
        <v>Valid</v>
      </c>
      <c r="AM226" t="str">
        <f t="shared" si="45"/>
        <v>Valid</v>
      </c>
      <c r="AN226" t="str">
        <f t="shared" si="46"/>
        <v>Valid</v>
      </c>
      <c r="AO226" t="str">
        <f t="shared" si="47"/>
        <v>Valid</v>
      </c>
      <c r="AP226" t="str">
        <f t="shared" si="48"/>
        <v>Valid</v>
      </c>
      <c r="AQ226" t="str">
        <f>IF(Audit_Data[[#This Row],[Z_CostContact]]=3,"Valid","Invalid")</f>
        <v>Valid</v>
      </c>
      <c r="AR226" t="str">
        <f t="shared" si="49"/>
        <v>Valid</v>
      </c>
      <c r="AS226" t="str">
        <f t="shared" si="50"/>
        <v>Valid</v>
      </c>
    </row>
    <row r="227" spans="1:45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 t="str">
        <f t="shared" si="39"/>
        <v>Ok</v>
      </c>
      <c r="AE227" t="str">
        <f>IF(AND(Audit_Data[[#This Row],[Year_Birth]]&gt;=1900,Audit_Data[[#This Row],[Year_Birth]]&lt;=2010),"OK","Invalid")</f>
        <v>OK</v>
      </c>
      <c r="AF227" t="str">
        <f t="shared" si="40"/>
        <v>Valid</v>
      </c>
      <c r="AG227" t="str">
        <f t="shared" si="41"/>
        <v>Valid</v>
      </c>
      <c r="AH227" t="str">
        <f t="shared" si="42"/>
        <v>Valid</v>
      </c>
      <c r="AI227" t="str">
        <f t="shared" si="43"/>
        <v>Valid</v>
      </c>
      <c r="AJ227" t="str">
        <f t="shared" si="44"/>
        <v>Valid</v>
      </c>
      <c r="AK227" t="str">
        <f t="shared" si="51"/>
        <v xml:space="preserve">Valid </v>
      </c>
      <c r="AL227" t="str">
        <f>IF(AND(Audit_Data[[#This Row],[Recency]]&gt;=0,Audit_Data[[#This Row],[Recency]]&lt;=100),"Valid","Invalid")</f>
        <v>Valid</v>
      </c>
      <c r="AM227" t="str">
        <f t="shared" si="45"/>
        <v>Valid</v>
      </c>
      <c r="AN227" t="str">
        <f t="shared" si="46"/>
        <v>Valid</v>
      </c>
      <c r="AO227" t="str">
        <f t="shared" si="47"/>
        <v>Valid</v>
      </c>
      <c r="AP227" t="str">
        <f t="shared" si="48"/>
        <v>Valid</v>
      </c>
      <c r="AQ227" t="str">
        <f>IF(Audit_Data[[#This Row],[Z_CostContact]]=3,"Valid","Invalid")</f>
        <v>Valid</v>
      </c>
      <c r="AR227" t="str">
        <f t="shared" si="49"/>
        <v>Valid</v>
      </c>
      <c r="AS227" t="str">
        <f t="shared" si="50"/>
        <v>Valid</v>
      </c>
    </row>
    <row r="228" spans="1:45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 t="str">
        <f t="shared" si="39"/>
        <v>Ok</v>
      </c>
      <c r="AE228" t="str">
        <f>IF(AND(Audit_Data[[#This Row],[Year_Birth]]&gt;=1900,Audit_Data[[#This Row],[Year_Birth]]&lt;=2010),"OK","Invalid")</f>
        <v>OK</v>
      </c>
      <c r="AF228" t="str">
        <f t="shared" si="40"/>
        <v>Valid</v>
      </c>
      <c r="AG228" t="str">
        <f t="shared" si="41"/>
        <v>Valid</v>
      </c>
      <c r="AH228" t="str">
        <f t="shared" si="42"/>
        <v>Valid</v>
      </c>
      <c r="AI228" t="str">
        <f t="shared" si="43"/>
        <v>Valid</v>
      </c>
      <c r="AJ228" t="str">
        <f t="shared" si="44"/>
        <v>Valid</v>
      </c>
      <c r="AK228" t="str">
        <f t="shared" si="51"/>
        <v xml:space="preserve">Valid </v>
      </c>
      <c r="AL228" t="str">
        <f>IF(AND(Audit_Data[[#This Row],[Recency]]&gt;=0,Audit_Data[[#This Row],[Recency]]&lt;=100),"Valid","Invalid")</f>
        <v>Valid</v>
      </c>
      <c r="AM228" t="str">
        <f t="shared" si="45"/>
        <v>Valid</v>
      </c>
      <c r="AN228" t="str">
        <f t="shared" si="46"/>
        <v>Valid</v>
      </c>
      <c r="AO228" t="str">
        <f t="shared" si="47"/>
        <v>Valid</v>
      </c>
      <c r="AP228" t="str">
        <f t="shared" si="48"/>
        <v>Valid</v>
      </c>
      <c r="AQ228" t="str">
        <f>IF(Audit_Data[[#This Row],[Z_CostContact]]=3,"Valid","Invalid")</f>
        <v>Valid</v>
      </c>
      <c r="AR228" t="str">
        <f t="shared" si="49"/>
        <v>Valid</v>
      </c>
      <c r="AS228" t="str">
        <f t="shared" si="50"/>
        <v>Valid</v>
      </c>
    </row>
    <row r="229" spans="1:45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 t="str">
        <f t="shared" si="39"/>
        <v>Ok</v>
      </c>
      <c r="AE229" t="str">
        <f>IF(AND(Audit_Data[[#This Row],[Year_Birth]]&gt;=1900,Audit_Data[[#This Row],[Year_Birth]]&lt;=2010),"OK","Invalid")</f>
        <v>OK</v>
      </c>
      <c r="AF229" t="str">
        <f t="shared" si="40"/>
        <v>Valid</v>
      </c>
      <c r="AG229" t="str">
        <f t="shared" si="41"/>
        <v>Valid</v>
      </c>
      <c r="AH229" t="str">
        <f t="shared" si="42"/>
        <v>Valid</v>
      </c>
      <c r="AI229" t="str">
        <f t="shared" si="43"/>
        <v>Valid</v>
      </c>
      <c r="AJ229" t="str">
        <f t="shared" si="44"/>
        <v>Valid</v>
      </c>
      <c r="AK229" t="str">
        <f t="shared" si="51"/>
        <v xml:space="preserve">Valid </v>
      </c>
      <c r="AL229" t="str">
        <f>IF(AND(Audit_Data[[#This Row],[Recency]]&gt;=0,Audit_Data[[#This Row],[Recency]]&lt;=100),"Valid","Invalid")</f>
        <v>Valid</v>
      </c>
      <c r="AM229" t="str">
        <f t="shared" si="45"/>
        <v>Valid</v>
      </c>
      <c r="AN229" t="str">
        <f t="shared" si="46"/>
        <v>Valid</v>
      </c>
      <c r="AO229" t="str">
        <f t="shared" si="47"/>
        <v>Valid</v>
      </c>
      <c r="AP229" t="str">
        <f t="shared" si="48"/>
        <v>Valid</v>
      </c>
      <c r="AQ229" t="str">
        <f>IF(Audit_Data[[#This Row],[Z_CostContact]]=3,"Valid","Invalid")</f>
        <v>Valid</v>
      </c>
      <c r="AR229" t="str">
        <f t="shared" si="49"/>
        <v>Valid</v>
      </c>
      <c r="AS229" t="str">
        <f t="shared" si="50"/>
        <v>Valid</v>
      </c>
    </row>
    <row r="230" spans="1:45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 t="str">
        <f t="shared" si="39"/>
        <v>Ok</v>
      </c>
      <c r="AE230" t="str">
        <f>IF(AND(Audit_Data[[#This Row],[Year_Birth]]&gt;=1900,Audit_Data[[#This Row],[Year_Birth]]&lt;=2010),"OK","Invalid")</f>
        <v>OK</v>
      </c>
      <c r="AF230" t="str">
        <f t="shared" si="40"/>
        <v>Valid</v>
      </c>
      <c r="AG230" t="str">
        <f t="shared" si="41"/>
        <v>Valid</v>
      </c>
      <c r="AH230" t="str">
        <f t="shared" si="42"/>
        <v>Valid</v>
      </c>
      <c r="AI230" t="str">
        <f t="shared" si="43"/>
        <v>Valid</v>
      </c>
      <c r="AJ230" t="str">
        <f t="shared" si="44"/>
        <v>Valid</v>
      </c>
      <c r="AK230" t="str">
        <f t="shared" si="51"/>
        <v xml:space="preserve">Valid </v>
      </c>
      <c r="AL230" t="str">
        <f>IF(AND(Audit_Data[[#This Row],[Recency]]&gt;=0,Audit_Data[[#This Row],[Recency]]&lt;=100),"Valid","Invalid")</f>
        <v>Valid</v>
      </c>
      <c r="AM230" t="str">
        <f t="shared" si="45"/>
        <v>Valid</v>
      </c>
      <c r="AN230" t="str">
        <f t="shared" si="46"/>
        <v>Valid</v>
      </c>
      <c r="AO230" t="str">
        <f t="shared" si="47"/>
        <v>Valid</v>
      </c>
      <c r="AP230" t="str">
        <f t="shared" si="48"/>
        <v>Valid</v>
      </c>
      <c r="AQ230" t="str">
        <f>IF(Audit_Data[[#This Row],[Z_CostContact]]=3,"Valid","Invalid")</f>
        <v>Valid</v>
      </c>
      <c r="AR230" t="str">
        <f t="shared" si="49"/>
        <v>Valid</v>
      </c>
      <c r="AS230" t="str">
        <f t="shared" si="50"/>
        <v>Valid</v>
      </c>
    </row>
    <row r="231" spans="1:45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 t="str">
        <f t="shared" si="39"/>
        <v>Ok</v>
      </c>
      <c r="AE231" t="str">
        <f>IF(AND(Audit_Data[[#This Row],[Year_Birth]]&gt;=1900,Audit_Data[[#This Row],[Year_Birth]]&lt;=2010),"OK","Invalid")</f>
        <v>OK</v>
      </c>
      <c r="AF231" t="str">
        <f t="shared" si="40"/>
        <v>Valid</v>
      </c>
      <c r="AG231" t="str">
        <f t="shared" si="41"/>
        <v>Valid</v>
      </c>
      <c r="AH231" t="str">
        <f t="shared" si="42"/>
        <v>Valid</v>
      </c>
      <c r="AI231" t="str">
        <f t="shared" si="43"/>
        <v>Valid</v>
      </c>
      <c r="AJ231" t="str">
        <f t="shared" si="44"/>
        <v>Valid</v>
      </c>
      <c r="AK231" t="str">
        <f t="shared" si="51"/>
        <v xml:space="preserve">Valid </v>
      </c>
      <c r="AL231" t="str">
        <f>IF(AND(Audit_Data[[#This Row],[Recency]]&gt;=0,Audit_Data[[#This Row],[Recency]]&lt;=100),"Valid","Invalid")</f>
        <v>Valid</v>
      </c>
      <c r="AM231" t="str">
        <f t="shared" si="45"/>
        <v>Valid</v>
      </c>
      <c r="AN231" t="str">
        <f t="shared" si="46"/>
        <v>Valid</v>
      </c>
      <c r="AO231" t="str">
        <f t="shared" si="47"/>
        <v>Valid</v>
      </c>
      <c r="AP231" t="str">
        <f t="shared" si="48"/>
        <v>Valid</v>
      </c>
      <c r="AQ231" t="str">
        <f>IF(Audit_Data[[#This Row],[Z_CostContact]]=3,"Valid","Invalid")</f>
        <v>Valid</v>
      </c>
      <c r="AR231" t="str">
        <f t="shared" si="49"/>
        <v>Valid</v>
      </c>
      <c r="AS231" t="str">
        <f t="shared" si="50"/>
        <v>Valid</v>
      </c>
    </row>
    <row r="232" spans="1:45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 t="str">
        <f t="shared" si="39"/>
        <v>Ok</v>
      </c>
      <c r="AE232" t="str">
        <f>IF(AND(Audit_Data[[#This Row],[Year_Birth]]&gt;=1900,Audit_Data[[#This Row],[Year_Birth]]&lt;=2010),"OK","Invalid")</f>
        <v>OK</v>
      </c>
      <c r="AF232" t="str">
        <f t="shared" si="40"/>
        <v>Valid</v>
      </c>
      <c r="AG232" t="str">
        <f t="shared" si="41"/>
        <v>Valid</v>
      </c>
      <c r="AH232" t="str">
        <f t="shared" si="42"/>
        <v>Valid</v>
      </c>
      <c r="AI232" t="str">
        <f t="shared" si="43"/>
        <v>Valid</v>
      </c>
      <c r="AJ232" t="str">
        <f t="shared" si="44"/>
        <v>Valid</v>
      </c>
      <c r="AK232" t="str">
        <f t="shared" si="51"/>
        <v xml:space="preserve">Valid </v>
      </c>
      <c r="AL232" t="str">
        <f>IF(AND(Audit_Data[[#This Row],[Recency]]&gt;=0,Audit_Data[[#This Row],[Recency]]&lt;=100),"Valid","Invalid")</f>
        <v>Valid</v>
      </c>
      <c r="AM232" t="str">
        <f t="shared" si="45"/>
        <v>Valid</v>
      </c>
      <c r="AN232" t="str">
        <f t="shared" si="46"/>
        <v>Valid</v>
      </c>
      <c r="AO232" t="str">
        <f t="shared" si="47"/>
        <v>Valid</v>
      </c>
      <c r="AP232" t="str">
        <f t="shared" si="48"/>
        <v>Valid</v>
      </c>
      <c r="AQ232" t="str">
        <f>IF(Audit_Data[[#This Row],[Z_CostContact]]=3,"Valid","Invalid")</f>
        <v>Valid</v>
      </c>
      <c r="AR232" t="str">
        <f t="shared" si="49"/>
        <v>Valid</v>
      </c>
      <c r="AS232" t="str">
        <f t="shared" si="50"/>
        <v>Valid</v>
      </c>
    </row>
    <row r="233" spans="1:45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 t="str">
        <f t="shared" si="39"/>
        <v>Ok</v>
      </c>
      <c r="AE233" t="str">
        <f>IF(AND(Audit_Data[[#This Row],[Year_Birth]]&gt;=1900,Audit_Data[[#This Row],[Year_Birth]]&lt;=2010),"OK","Invalid")</f>
        <v>OK</v>
      </c>
      <c r="AF233" t="str">
        <f t="shared" si="40"/>
        <v>Valid</v>
      </c>
      <c r="AG233" t="str">
        <f t="shared" si="41"/>
        <v>Valid</v>
      </c>
      <c r="AH233" t="str">
        <f t="shared" si="42"/>
        <v>Valid</v>
      </c>
      <c r="AI233" t="str">
        <f t="shared" si="43"/>
        <v>Valid</v>
      </c>
      <c r="AJ233" t="str">
        <f t="shared" si="44"/>
        <v>Valid</v>
      </c>
      <c r="AK233" t="str">
        <f t="shared" si="51"/>
        <v xml:space="preserve">Valid </v>
      </c>
      <c r="AL233" t="str">
        <f>IF(AND(Audit_Data[[#This Row],[Recency]]&gt;=0,Audit_Data[[#This Row],[Recency]]&lt;=100),"Valid","Invalid")</f>
        <v>Valid</v>
      </c>
      <c r="AM233" t="str">
        <f t="shared" si="45"/>
        <v>Valid</v>
      </c>
      <c r="AN233" t="str">
        <f t="shared" si="46"/>
        <v>Valid</v>
      </c>
      <c r="AO233" t="str">
        <f t="shared" si="47"/>
        <v>Valid</v>
      </c>
      <c r="AP233" t="str">
        <f t="shared" si="48"/>
        <v>Valid</v>
      </c>
      <c r="AQ233" t="str">
        <f>IF(Audit_Data[[#This Row],[Z_CostContact]]=3,"Valid","Invalid")</f>
        <v>Valid</v>
      </c>
      <c r="AR233" t="str">
        <f t="shared" si="49"/>
        <v>Valid</v>
      </c>
      <c r="AS233" t="str">
        <f t="shared" si="50"/>
        <v>Valid</v>
      </c>
    </row>
    <row r="234" spans="1:45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 t="str">
        <f t="shared" si="39"/>
        <v>Ok</v>
      </c>
      <c r="AE234" t="str">
        <f>IF(AND(Audit_Data[[#This Row],[Year_Birth]]&gt;=1900,Audit_Data[[#This Row],[Year_Birth]]&lt;=2010),"OK","Invalid")</f>
        <v>OK</v>
      </c>
      <c r="AF234" t="str">
        <f t="shared" si="40"/>
        <v>Valid</v>
      </c>
      <c r="AG234" t="str">
        <f t="shared" si="41"/>
        <v>Valid</v>
      </c>
      <c r="AH234" t="str">
        <f t="shared" si="42"/>
        <v>Valid</v>
      </c>
      <c r="AI234" t="str">
        <f t="shared" si="43"/>
        <v>Valid</v>
      </c>
      <c r="AJ234" t="str">
        <f t="shared" si="44"/>
        <v>Valid</v>
      </c>
      <c r="AK234" t="str">
        <f t="shared" si="51"/>
        <v xml:space="preserve">Valid </v>
      </c>
      <c r="AL234" t="str">
        <f>IF(AND(Audit_Data[[#This Row],[Recency]]&gt;=0,Audit_Data[[#This Row],[Recency]]&lt;=100),"Valid","Invalid")</f>
        <v>Valid</v>
      </c>
      <c r="AM234" t="str">
        <f t="shared" si="45"/>
        <v>Valid</v>
      </c>
      <c r="AN234" t="str">
        <f t="shared" si="46"/>
        <v>Valid</v>
      </c>
      <c r="AO234" t="str">
        <f t="shared" si="47"/>
        <v>Valid</v>
      </c>
      <c r="AP234" t="str">
        <f t="shared" si="48"/>
        <v>Valid</v>
      </c>
      <c r="AQ234" t="str">
        <f>IF(Audit_Data[[#This Row],[Z_CostContact]]=3,"Valid","Invalid")</f>
        <v>Valid</v>
      </c>
      <c r="AR234" t="str">
        <f t="shared" si="49"/>
        <v>Valid</v>
      </c>
      <c r="AS234" t="str">
        <f t="shared" si="50"/>
        <v>Valid</v>
      </c>
    </row>
    <row r="235" spans="1:45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 t="str">
        <f t="shared" si="39"/>
        <v>Ok</v>
      </c>
      <c r="AE235" t="str">
        <f>IF(AND(Audit_Data[[#This Row],[Year_Birth]]&gt;=1900,Audit_Data[[#This Row],[Year_Birth]]&lt;=2010),"OK","Invalid")</f>
        <v>OK</v>
      </c>
      <c r="AF235" t="str">
        <f t="shared" si="40"/>
        <v>Valid</v>
      </c>
      <c r="AG235" t="str">
        <f t="shared" si="41"/>
        <v>Valid</v>
      </c>
      <c r="AH235" t="str">
        <f t="shared" si="42"/>
        <v>Valid</v>
      </c>
      <c r="AI235" t="str">
        <f t="shared" si="43"/>
        <v>Valid</v>
      </c>
      <c r="AJ235" t="str">
        <f t="shared" si="44"/>
        <v>Valid</v>
      </c>
      <c r="AK235" t="str">
        <f t="shared" si="51"/>
        <v xml:space="preserve">Valid </v>
      </c>
      <c r="AL235" t="str">
        <f>IF(AND(Audit_Data[[#This Row],[Recency]]&gt;=0,Audit_Data[[#This Row],[Recency]]&lt;=100),"Valid","Invalid")</f>
        <v>Valid</v>
      </c>
      <c r="AM235" t="str">
        <f t="shared" si="45"/>
        <v>Valid</v>
      </c>
      <c r="AN235" t="str">
        <f t="shared" si="46"/>
        <v>Valid</v>
      </c>
      <c r="AO235" t="str">
        <f t="shared" si="47"/>
        <v>Valid</v>
      </c>
      <c r="AP235" t="str">
        <f t="shared" si="48"/>
        <v>Valid</v>
      </c>
      <c r="AQ235" t="str">
        <f>IF(Audit_Data[[#This Row],[Z_CostContact]]=3,"Valid","Invalid")</f>
        <v>Valid</v>
      </c>
      <c r="AR235" t="str">
        <f t="shared" si="49"/>
        <v>Valid</v>
      </c>
      <c r="AS235" t="str">
        <f t="shared" si="50"/>
        <v>Valid</v>
      </c>
    </row>
    <row r="236" spans="1:45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 t="str">
        <f t="shared" si="39"/>
        <v>Ok</v>
      </c>
      <c r="AE236" t="str">
        <f>IF(AND(Audit_Data[[#This Row],[Year_Birth]]&gt;=1900,Audit_Data[[#This Row],[Year_Birth]]&lt;=2010),"OK","Invalid")</f>
        <v>OK</v>
      </c>
      <c r="AF236" t="str">
        <f t="shared" si="40"/>
        <v>Valid</v>
      </c>
      <c r="AG236" t="str">
        <f t="shared" si="41"/>
        <v>Valid</v>
      </c>
      <c r="AH236" t="str">
        <f t="shared" si="42"/>
        <v>Valid</v>
      </c>
      <c r="AI236" t="str">
        <f t="shared" si="43"/>
        <v>Valid</v>
      </c>
      <c r="AJ236" t="str">
        <f t="shared" si="44"/>
        <v>Valid</v>
      </c>
      <c r="AK236" t="str">
        <f t="shared" si="51"/>
        <v xml:space="preserve">Valid </v>
      </c>
      <c r="AL236" t="str">
        <f>IF(AND(Audit_Data[[#This Row],[Recency]]&gt;=0,Audit_Data[[#This Row],[Recency]]&lt;=100),"Valid","Invalid")</f>
        <v>Valid</v>
      </c>
      <c r="AM236" t="str">
        <f t="shared" si="45"/>
        <v>Valid</v>
      </c>
      <c r="AN236" t="str">
        <f t="shared" si="46"/>
        <v>Valid</v>
      </c>
      <c r="AO236" t="str">
        <f t="shared" si="47"/>
        <v>Valid</v>
      </c>
      <c r="AP236" t="str">
        <f t="shared" si="48"/>
        <v>Valid</v>
      </c>
      <c r="AQ236" t="str">
        <f>IF(Audit_Data[[#This Row],[Z_CostContact]]=3,"Valid","Invalid")</f>
        <v>Valid</v>
      </c>
      <c r="AR236" t="str">
        <f t="shared" si="49"/>
        <v>Valid</v>
      </c>
      <c r="AS236" t="str">
        <f t="shared" si="50"/>
        <v>Valid</v>
      </c>
    </row>
    <row r="237" spans="1:45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 t="str">
        <f t="shared" si="39"/>
        <v>Ok</v>
      </c>
      <c r="AE237" t="str">
        <f>IF(AND(Audit_Data[[#This Row],[Year_Birth]]&gt;=1900,Audit_Data[[#This Row],[Year_Birth]]&lt;=2010),"OK","Invalid")</f>
        <v>OK</v>
      </c>
      <c r="AF237" t="str">
        <f t="shared" si="40"/>
        <v>Valid</v>
      </c>
      <c r="AG237" t="str">
        <f t="shared" si="41"/>
        <v>Valid</v>
      </c>
      <c r="AH237" t="str">
        <f t="shared" si="42"/>
        <v>Valid</v>
      </c>
      <c r="AI237" t="str">
        <f t="shared" si="43"/>
        <v>Valid</v>
      </c>
      <c r="AJ237" t="str">
        <f t="shared" si="44"/>
        <v>Valid</v>
      </c>
      <c r="AK237" t="str">
        <f t="shared" si="51"/>
        <v xml:space="preserve">Valid </v>
      </c>
      <c r="AL237" t="str">
        <f>IF(AND(Audit_Data[[#This Row],[Recency]]&gt;=0,Audit_Data[[#This Row],[Recency]]&lt;=100),"Valid","Invalid")</f>
        <v>Valid</v>
      </c>
      <c r="AM237" t="str">
        <f t="shared" si="45"/>
        <v>Valid</v>
      </c>
      <c r="AN237" t="str">
        <f t="shared" si="46"/>
        <v>Valid</v>
      </c>
      <c r="AO237" t="str">
        <f t="shared" si="47"/>
        <v>Valid</v>
      </c>
      <c r="AP237" t="str">
        <f t="shared" si="48"/>
        <v>Valid</v>
      </c>
      <c r="AQ237" t="str">
        <f>IF(Audit_Data[[#This Row],[Z_CostContact]]=3,"Valid","Invalid")</f>
        <v>Valid</v>
      </c>
      <c r="AR237" t="str">
        <f t="shared" si="49"/>
        <v>Valid</v>
      </c>
      <c r="AS237" t="str">
        <f t="shared" si="50"/>
        <v>Valid</v>
      </c>
    </row>
    <row r="238" spans="1:45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 t="str">
        <f t="shared" si="39"/>
        <v>Ok</v>
      </c>
      <c r="AE238" t="str">
        <f>IF(AND(Audit_Data[[#This Row],[Year_Birth]]&gt;=1900,Audit_Data[[#This Row],[Year_Birth]]&lt;=2010),"OK","Invalid")</f>
        <v>OK</v>
      </c>
      <c r="AF238" t="str">
        <f t="shared" si="40"/>
        <v>Valid</v>
      </c>
      <c r="AG238" t="str">
        <f t="shared" si="41"/>
        <v>Valid</v>
      </c>
      <c r="AH238" t="str">
        <f t="shared" si="42"/>
        <v>Valid</v>
      </c>
      <c r="AI238" t="str">
        <f t="shared" si="43"/>
        <v>Valid</v>
      </c>
      <c r="AJ238" t="str">
        <f t="shared" si="44"/>
        <v>Valid</v>
      </c>
      <c r="AK238" t="str">
        <f t="shared" si="51"/>
        <v xml:space="preserve">Valid </v>
      </c>
      <c r="AL238" t="str">
        <f>IF(AND(Audit_Data[[#This Row],[Recency]]&gt;=0,Audit_Data[[#This Row],[Recency]]&lt;=100),"Valid","Invalid")</f>
        <v>Valid</v>
      </c>
      <c r="AM238" t="str">
        <f t="shared" si="45"/>
        <v>Valid</v>
      </c>
      <c r="AN238" t="str">
        <f t="shared" si="46"/>
        <v>Valid</v>
      </c>
      <c r="AO238" t="str">
        <f t="shared" si="47"/>
        <v>Valid</v>
      </c>
      <c r="AP238" t="str">
        <f t="shared" si="48"/>
        <v>Valid</v>
      </c>
      <c r="AQ238" t="str">
        <f>IF(Audit_Data[[#This Row],[Z_CostContact]]=3,"Valid","Invalid")</f>
        <v>Valid</v>
      </c>
      <c r="AR238" t="str">
        <f t="shared" si="49"/>
        <v>Valid</v>
      </c>
      <c r="AS238" t="str">
        <f t="shared" si="50"/>
        <v>Valid</v>
      </c>
    </row>
    <row r="239" spans="1:45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 t="str">
        <f t="shared" si="39"/>
        <v>Ok</v>
      </c>
      <c r="AE239" t="str">
        <f>IF(AND(Audit_Data[[#This Row],[Year_Birth]]&gt;=1900,Audit_Data[[#This Row],[Year_Birth]]&lt;=2010),"OK","Invalid")</f>
        <v>OK</v>
      </c>
      <c r="AF239" t="str">
        <f t="shared" si="40"/>
        <v>Valid</v>
      </c>
      <c r="AG239" t="str">
        <f t="shared" si="41"/>
        <v>Valid</v>
      </c>
      <c r="AH239" t="str">
        <f t="shared" si="42"/>
        <v>Valid</v>
      </c>
      <c r="AI239" t="str">
        <f t="shared" si="43"/>
        <v>Valid</v>
      </c>
      <c r="AJ239" t="str">
        <f t="shared" si="44"/>
        <v>Valid</v>
      </c>
      <c r="AK239" t="str">
        <f t="shared" si="51"/>
        <v xml:space="preserve">Valid </v>
      </c>
      <c r="AL239" t="str">
        <f>IF(AND(Audit_Data[[#This Row],[Recency]]&gt;=0,Audit_Data[[#This Row],[Recency]]&lt;=100),"Valid","Invalid")</f>
        <v>Valid</v>
      </c>
      <c r="AM239" t="str">
        <f t="shared" si="45"/>
        <v>Valid</v>
      </c>
      <c r="AN239" t="str">
        <f t="shared" si="46"/>
        <v>Valid</v>
      </c>
      <c r="AO239" t="str">
        <f t="shared" si="47"/>
        <v>Valid</v>
      </c>
      <c r="AP239" t="str">
        <f t="shared" si="48"/>
        <v>Valid</v>
      </c>
      <c r="AQ239" t="str">
        <f>IF(Audit_Data[[#This Row],[Z_CostContact]]=3,"Valid","Invalid")</f>
        <v>Valid</v>
      </c>
      <c r="AR239" t="str">
        <f t="shared" si="49"/>
        <v>Valid</v>
      </c>
      <c r="AS239" t="str">
        <f t="shared" si="50"/>
        <v>Valid</v>
      </c>
    </row>
    <row r="240" spans="1:45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 t="str">
        <f t="shared" si="39"/>
        <v>Ok</v>
      </c>
      <c r="AE240" t="str">
        <f>IF(AND(Audit_Data[[#This Row],[Year_Birth]]&gt;=1900,Audit_Data[[#This Row],[Year_Birth]]&lt;=2010),"OK","Invalid")</f>
        <v>OK</v>
      </c>
      <c r="AF240" t="str">
        <f t="shared" si="40"/>
        <v>Valid</v>
      </c>
      <c r="AG240" t="str">
        <f t="shared" si="41"/>
        <v>Valid</v>
      </c>
      <c r="AH240" t="str">
        <f t="shared" si="42"/>
        <v>Valid</v>
      </c>
      <c r="AI240" t="str">
        <f t="shared" si="43"/>
        <v>Valid</v>
      </c>
      <c r="AJ240" t="str">
        <f t="shared" si="44"/>
        <v>Valid</v>
      </c>
      <c r="AK240" t="str">
        <f t="shared" si="51"/>
        <v xml:space="preserve">Valid </v>
      </c>
      <c r="AL240" t="str">
        <f>IF(AND(Audit_Data[[#This Row],[Recency]]&gt;=0,Audit_Data[[#This Row],[Recency]]&lt;=100),"Valid","Invalid")</f>
        <v>Valid</v>
      </c>
      <c r="AM240" t="str">
        <f t="shared" si="45"/>
        <v>Valid</v>
      </c>
      <c r="AN240" t="str">
        <f t="shared" si="46"/>
        <v>Valid</v>
      </c>
      <c r="AO240" t="str">
        <f t="shared" si="47"/>
        <v>Valid</v>
      </c>
      <c r="AP240" t="str">
        <f t="shared" si="48"/>
        <v>Valid</v>
      </c>
      <c r="AQ240" t="str">
        <f>IF(Audit_Data[[#This Row],[Z_CostContact]]=3,"Valid","Invalid")</f>
        <v>Valid</v>
      </c>
      <c r="AR240" t="str">
        <f t="shared" si="49"/>
        <v>Valid</v>
      </c>
      <c r="AS240" t="str">
        <f t="shared" si="50"/>
        <v>Valid</v>
      </c>
    </row>
    <row r="241" spans="1:45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 t="str">
        <f t="shared" si="39"/>
        <v>Ok</v>
      </c>
      <c r="AE241" t="str">
        <f>IF(AND(Audit_Data[[#This Row],[Year_Birth]]&gt;=1900,Audit_Data[[#This Row],[Year_Birth]]&lt;=2010),"OK","Invalid")</f>
        <v>Invalid</v>
      </c>
      <c r="AF241" t="str">
        <f t="shared" si="40"/>
        <v>Valid</v>
      </c>
      <c r="AG241" t="str">
        <f t="shared" si="41"/>
        <v>Valid</v>
      </c>
      <c r="AH241" t="str">
        <f t="shared" si="42"/>
        <v>Valid</v>
      </c>
      <c r="AI241" t="str">
        <f t="shared" si="43"/>
        <v>Valid</v>
      </c>
      <c r="AJ241" t="str">
        <f t="shared" si="44"/>
        <v>Valid</v>
      </c>
      <c r="AK241" t="str">
        <f t="shared" si="51"/>
        <v xml:space="preserve">Valid </v>
      </c>
      <c r="AL241" t="str">
        <f>IF(AND(Audit_Data[[#This Row],[Recency]]&gt;=0,Audit_Data[[#This Row],[Recency]]&lt;=100),"Valid","Invalid")</f>
        <v>Valid</v>
      </c>
      <c r="AM241" t="str">
        <f t="shared" si="45"/>
        <v>Valid</v>
      </c>
      <c r="AN241" t="str">
        <f t="shared" si="46"/>
        <v>Valid</v>
      </c>
      <c r="AO241" t="str">
        <f t="shared" si="47"/>
        <v>Valid</v>
      </c>
      <c r="AP241" t="str">
        <f t="shared" si="48"/>
        <v>Valid</v>
      </c>
      <c r="AQ241" t="str">
        <f>IF(Audit_Data[[#This Row],[Z_CostContact]]=3,"Valid","Invalid")</f>
        <v>Valid</v>
      </c>
      <c r="AR241" t="str">
        <f t="shared" si="49"/>
        <v>Valid</v>
      </c>
      <c r="AS241" t="str">
        <f t="shared" si="50"/>
        <v>Valid</v>
      </c>
    </row>
    <row r="242" spans="1:45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 t="str">
        <f t="shared" si="39"/>
        <v>Ok</v>
      </c>
      <c r="AE242" t="str">
        <f>IF(AND(Audit_Data[[#This Row],[Year_Birth]]&gt;=1900,Audit_Data[[#This Row],[Year_Birth]]&lt;=2010),"OK","Invalid")</f>
        <v>OK</v>
      </c>
      <c r="AF242" t="str">
        <f t="shared" si="40"/>
        <v>Valid</v>
      </c>
      <c r="AG242" t="str">
        <f t="shared" si="41"/>
        <v>Valid</v>
      </c>
      <c r="AH242" t="str">
        <f t="shared" si="42"/>
        <v>Valid</v>
      </c>
      <c r="AI242" t="str">
        <f t="shared" si="43"/>
        <v>Valid</v>
      </c>
      <c r="AJ242" t="str">
        <f t="shared" si="44"/>
        <v>Valid</v>
      </c>
      <c r="AK242" t="str">
        <f t="shared" si="51"/>
        <v xml:space="preserve">Valid </v>
      </c>
      <c r="AL242" t="str">
        <f>IF(AND(Audit_Data[[#This Row],[Recency]]&gt;=0,Audit_Data[[#This Row],[Recency]]&lt;=100),"Valid","Invalid")</f>
        <v>Valid</v>
      </c>
      <c r="AM242" t="str">
        <f t="shared" si="45"/>
        <v>Valid</v>
      </c>
      <c r="AN242" t="str">
        <f t="shared" si="46"/>
        <v>Valid</v>
      </c>
      <c r="AO242" t="str">
        <f t="shared" si="47"/>
        <v>Valid</v>
      </c>
      <c r="AP242" t="str">
        <f t="shared" si="48"/>
        <v>Valid</v>
      </c>
      <c r="AQ242" t="str">
        <f>IF(Audit_Data[[#This Row],[Z_CostContact]]=3,"Valid","Invalid")</f>
        <v>Valid</v>
      </c>
      <c r="AR242" t="str">
        <f t="shared" si="49"/>
        <v>Valid</v>
      </c>
      <c r="AS242" t="str">
        <f t="shared" si="50"/>
        <v>Valid</v>
      </c>
    </row>
    <row r="243" spans="1:45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 t="str">
        <f t="shared" si="39"/>
        <v>Ok</v>
      </c>
      <c r="AE243" t="str">
        <f>IF(AND(Audit_Data[[#This Row],[Year_Birth]]&gt;=1900,Audit_Data[[#This Row],[Year_Birth]]&lt;=2010),"OK","Invalid")</f>
        <v>OK</v>
      </c>
      <c r="AF243" t="str">
        <f t="shared" si="40"/>
        <v>Valid</v>
      </c>
      <c r="AG243" t="str">
        <f t="shared" si="41"/>
        <v>Valid</v>
      </c>
      <c r="AH243" t="str">
        <f t="shared" si="42"/>
        <v>Valid</v>
      </c>
      <c r="AI243" t="str">
        <f t="shared" si="43"/>
        <v>Valid</v>
      </c>
      <c r="AJ243" t="str">
        <f t="shared" si="44"/>
        <v>Valid</v>
      </c>
      <c r="AK243" t="str">
        <f t="shared" si="51"/>
        <v xml:space="preserve">Valid </v>
      </c>
      <c r="AL243" t="str">
        <f>IF(AND(Audit_Data[[#This Row],[Recency]]&gt;=0,Audit_Data[[#This Row],[Recency]]&lt;=100),"Valid","Invalid")</f>
        <v>Valid</v>
      </c>
      <c r="AM243" t="str">
        <f t="shared" si="45"/>
        <v>Valid</v>
      </c>
      <c r="AN243" t="str">
        <f t="shared" si="46"/>
        <v>Valid</v>
      </c>
      <c r="AO243" t="str">
        <f t="shared" si="47"/>
        <v>Valid</v>
      </c>
      <c r="AP243" t="str">
        <f t="shared" si="48"/>
        <v>Valid</v>
      </c>
      <c r="AQ243" t="str">
        <f>IF(Audit_Data[[#This Row],[Z_CostContact]]=3,"Valid","Invalid")</f>
        <v>Valid</v>
      </c>
      <c r="AR243" t="str">
        <f t="shared" si="49"/>
        <v>Valid</v>
      </c>
      <c r="AS243" t="str">
        <f t="shared" si="50"/>
        <v>Valid</v>
      </c>
    </row>
    <row r="244" spans="1:45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 t="str">
        <f t="shared" si="39"/>
        <v>Ok</v>
      </c>
      <c r="AE244" t="str">
        <f>IF(AND(Audit_Data[[#This Row],[Year_Birth]]&gt;=1900,Audit_Data[[#This Row],[Year_Birth]]&lt;=2010),"OK","Invalid")</f>
        <v>OK</v>
      </c>
      <c r="AF244" t="str">
        <f t="shared" si="40"/>
        <v>Valid</v>
      </c>
      <c r="AG244" t="str">
        <f t="shared" si="41"/>
        <v>Valid</v>
      </c>
      <c r="AH244" t="str">
        <f t="shared" si="42"/>
        <v>Valid</v>
      </c>
      <c r="AI244" t="str">
        <f t="shared" si="43"/>
        <v>Valid</v>
      </c>
      <c r="AJ244" t="str">
        <f t="shared" si="44"/>
        <v>Valid</v>
      </c>
      <c r="AK244" t="str">
        <f t="shared" si="51"/>
        <v xml:space="preserve">Valid </v>
      </c>
      <c r="AL244" t="str">
        <f>IF(AND(Audit_Data[[#This Row],[Recency]]&gt;=0,Audit_Data[[#This Row],[Recency]]&lt;=100),"Valid","Invalid")</f>
        <v>Valid</v>
      </c>
      <c r="AM244" t="str">
        <f t="shared" si="45"/>
        <v>Valid</v>
      </c>
      <c r="AN244" t="str">
        <f t="shared" si="46"/>
        <v>Valid</v>
      </c>
      <c r="AO244" t="str">
        <f t="shared" si="47"/>
        <v>Valid</v>
      </c>
      <c r="AP244" t="str">
        <f t="shared" si="48"/>
        <v>Valid</v>
      </c>
      <c r="AQ244" t="str">
        <f>IF(Audit_Data[[#This Row],[Z_CostContact]]=3,"Valid","Invalid")</f>
        <v>Valid</v>
      </c>
      <c r="AR244" t="str">
        <f t="shared" si="49"/>
        <v>Valid</v>
      </c>
      <c r="AS244" t="str">
        <f t="shared" si="50"/>
        <v>Valid</v>
      </c>
    </row>
    <row r="245" spans="1:45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 t="str">
        <f t="shared" si="39"/>
        <v>Ok</v>
      </c>
      <c r="AE245" t="str">
        <f>IF(AND(Audit_Data[[#This Row],[Year_Birth]]&gt;=1900,Audit_Data[[#This Row],[Year_Birth]]&lt;=2010),"OK","Invalid")</f>
        <v>OK</v>
      </c>
      <c r="AF245" t="str">
        <f t="shared" si="40"/>
        <v>Valid</v>
      </c>
      <c r="AG245" t="str">
        <f t="shared" si="41"/>
        <v>Valid</v>
      </c>
      <c r="AH245" t="str">
        <f t="shared" si="42"/>
        <v>Valid</v>
      </c>
      <c r="AI245" t="str">
        <f t="shared" si="43"/>
        <v>Valid</v>
      </c>
      <c r="AJ245" t="str">
        <f t="shared" si="44"/>
        <v>Valid</v>
      </c>
      <c r="AK245" t="str">
        <f t="shared" si="51"/>
        <v xml:space="preserve">Valid </v>
      </c>
      <c r="AL245" t="str">
        <f>IF(AND(Audit_Data[[#This Row],[Recency]]&gt;=0,Audit_Data[[#This Row],[Recency]]&lt;=100),"Valid","Invalid")</f>
        <v>Valid</v>
      </c>
      <c r="AM245" t="str">
        <f t="shared" si="45"/>
        <v>Valid</v>
      </c>
      <c r="AN245" t="str">
        <f t="shared" si="46"/>
        <v>Valid</v>
      </c>
      <c r="AO245" t="str">
        <f t="shared" si="47"/>
        <v>Valid</v>
      </c>
      <c r="AP245" t="str">
        <f t="shared" si="48"/>
        <v>Valid</v>
      </c>
      <c r="AQ245" t="str">
        <f>IF(Audit_Data[[#This Row],[Z_CostContact]]=3,"Valid","Invalid")</f>
        <v>Valid</v>
      </c>
      <c r="AR245" t="str">
        <f t="shared" si="49"/>
        <v>Valid</v>
      </c>
      <c r="AS245" t="str">
        <f t="shared" si="50"/>
        <v>Valid</v>
      </c>
    </row>
    <row r="246" spans="1:45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 t="str">
        <f t="shared" si="39"/>
        <v>Ok</v>
      </c>
      <c r="AE246" t="str">
        <f>IF(AND(Audit_Data[[#This Row],[Year_Birth]]&gt;=1900,Audit_Data[[#This Row],[Year_Birth]]&lt;=2010),"OK","Invalid")</f>
        <v>OK</v>
      </c>
      <c r="AF246" t="str">
        <f t="shared" si="40"/>
        <v>Valid</v>
      </c>
      <c r="AG246" t="str">
        <f t="shared" si="41"/>
        <v>Valid</v>
      </c>
      <c r="AH246" t="str">
        <f t="shared" si="42"/>
        <v>Valid</v>
      </c>
      <c r="AI246" t="str">
        <f t="shared" si="43"/>
        <v>Valid</v>
      </c>
      <c r="AJ246" t="str">
        <f t="shared" si="44"/>
        <v>Valid</v>
      </c>
      <c r="AK246" t="str">
        <f t="shared" si="51"/>
        <v xml:space="preserve">Valid </v>
      </c>
      <c r="AL246" t="str">
        <f>IF(AND(Audit_Data[[#This Row],[Recency]]&gt;=0,Audit_Data[[#This Row],[Recency]]&lt;=100),"Valid","Invalid")</f>
        <v>Valid</v>
      </c>
      <c r="AM246" t="str">
        <f t="shared" si="45"/>
        <v>Valid</v>
      </c>
      <c r="AN246" t="str">
        <f t="shared" si="46"/>
        <v>Valid</v>
      </c>
      <c r="AO246" t="str">
        <f t="shared" si="47"/>
        <v>Valid</v>
      </c>
      <c r="AP246" t="str">
        <f t="shared" si="48"/>
        <v>Valid</v>
      </c>
      <c r="AQ246" t="str">
        <f>IF(Audit_Data[[#This Row],[Z_CostContact]]=3,"Valid","Invalid")</f>
        <v>Valid</v>
      </c>
      <c r="AR246" t="str">
        <f t="shared" si="49"/>
        <v>Valid</v>
      </c>
      <c r="AS246" t="str">
        <f t="shared" si="50"/>
        <v>Valid</v>
      </c>
    </row>
    <row r="247" spans="1:45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 t="str">
        <f t="shared" si="39"/>
        <v>Ok</v>
      </c>
      <c r="AE247" t="str">
        <f>IF(AND(Audit_Data[[#This Row],[Year_Birth]]&gt;=1900,Audit_Data[[#This Row],[Year_Birth]]&lt;=2010),"OK","Invalid")</f>
        <v>OK</v>
      </c>
      <c r="AF247" t="str">
        <f t="shared" si="40"/>
        <v>Valid</v>
      </c>
      <c r="AG247" t="str">
        <f t="shared" si="41"/>
        <v>Valid</v>
      </c>
      <c r="AH247" t="str">
        <f t="shared" si="42"/>
        <v>Valid</v>
      </c>
      <c r="AI247" t="str">
        <f t="shared" si="43"/>
        <v>Valid</v>
      </c>
      <c r="AJ247" t="str">
        <f t="shared" si="44"/>
        <v>Valid</v>
      </c>
      <c r="AK247" t="str">
        <f t="shared" si="51"/>
        <v xml:space="preserve">Valid </v>
      </c>
      <c r="AL247" t="str">
        <f>IF(AND(Audit_Data[[#This Row],[Recency]]&gt;=0,Audit_Data[[#This Row],[Recency]]&lt;=100),"Valid","Invalid")</f>
        <v>Valid</v>
      </c>
      <c r="AM247" t="str">
        <f t="shared" si="45"/>
        <v>Valid</v>
      </c>
      <c r="AN247" t="str">
        <f t="shared" si="46"/>
        <v>Valid</v>
      </c>
      <c r="AO247" t="str">
        <f t="shared" si="47"/>
        <v>Valid</v>
      </c>
      <c r="AP247" t="str">
        <f t="shared" si="48"/>
        <v>Valid</v>
      </c>
      <c r="AQ247" t="str">
        <f>IF(Audit_Data[[#This Row],[Z_CostContact]]=3,"Valid","Invalid")</f>
        <v>Valid</v>
      </c>
      <c r="AR247" t="str">
        <f t="shared" si="49"/>
        <v>Valid</v>
      </c>
      <c r="AS247" t="str">
        <f t="shared" si="50"/>
        <v>Valid</v>
      </c>
    </row>
    <row r="248" spans="1:45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 t="str">
        <f t="shared" si="39"/>
        <v>Ok</v>
      </c>
      <c r="AE248" t="str">
        <f>IF(AND(Audit_Data[[#This Row],[Year_Birth]]&gt;=1900,Audit_Data[[#This Row],[Year_Birth]]&lt;=2010),"OK","Invalid")</f>
        <v>OK</v>
      </c>
      <c r="AF248" t="str">
        <f t="shared" si="40"/>
        <v>Valid</v>
      </c>
      <c r="AG248" t="str">
        <f t="shared" si="41"/>
        <v>Valid</v>
      </c>
      <c r="AH248" t="str">
        <f t="shared" si="42"/>
        <v>Valid</v>
      </c>
      <c r="AI248" t="str">
        <f t="shared" si="43"/>
        <v>Valid</v>
      </c>
      <c r="AJ248" t="str">
        <f t="shared" si="44"/>
        <v>Valid</v>
      </c>
      <c r="AK248" t="str">
        <f t="shared" si="51"/>
        <v xml:space="preserve">Valid </v>
      </c>
      <c r="AL248" t="str">
        <f>IF(AND(Audit_Data[[#This Row],[Recency]]&gt;=0,Audit_Data[[#This Row],[Recency]]&lt;=100),"Valid","Invalid")</f>
        <v>Valid</v>
      </c>
      <c r="AM248" t="str">
        <f t="shared" si="45"/>
        <v>Valid</v>
      </c>
      <c r="AN248" t="str">
        <f t="shared" si="46"/>
        <v>Valid</v>
      </c>
      <c r="AO248" t="str">
        <f t="shared" si="47"/>
        <v>Valid</v>
      </c>
      <c r="AP248" t="str">
        <f t="shared" si="48"/>
        <v>Valid</v>
      </c>
      <c r="AQ248" t="str">
        <f>IF(Audit_Data[[#This Row],[Z_CostContact]]=3,"Valid","Invalid")</f>
        <v>Valid</v>
      </c>
      <c r="AR248" t="str">
        <f t="shared" si="49"/>
        <v>Valid</v>
      </c>
      <c r="AS248" t="str">
        <f t="shared" si="50"/>
        <v>Valid</v>
      </c>
    </row>
    <row r="249" spans="1:45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 t="str">
        <f t="shared" si="39"/>
        <v>Ok</v>
      </c>
      <c r="AE249" t="str">
        <f>IF(AND(Audit_Data[[#This Row],[Year_Birth]]&gt;=1900,Audit_Data[[#This Row],[Year_Birth]]&lt;=2010),"OK","Invalid")</f>
        <v>OK</v>
      </c>
      <c r="AF249" t="str">
        <f t="shared" si="40"/>
        <v>Valid</v>
      </c>
      <c r="AG249" t="str">
        <f t="shared" si="41"/>
        <v>Valid</v>
      </c>
      <c r="AH249" t="str">
        <f t="shared" si="42"/>
        <v>Valid</v>
      </c>
      <c r="AI249" t="str">
        <f t="shared" si="43"/>
        <v>Valid</v>
      </c>
      <c r="AJ249" t="str">
        <f t="shared" si="44"/>
        <v>Valid</v>
      </c>
      <c r="AK249" t="str">
        <f t="shared" si="51"/>
        <v xml:space="preserve">Valid </v>
      </c>
      <c r="AL249" t="str">
        <f>IF(AND(Audit_Data[[#This Row],[Recency]]&gt;=0,Audit_Data[[#This Row],[Recency]]&lt;=100),"Valid","Invalid")</f>
        <v>Valid</v>
      </c>
      <c r="AM249" t="str">
        <f t="shared" si="45"/>
        <v>Valid</v>
      </c>
      <c r="AN249" t="str">
        <f t="shared" si="46"/>
        <v>Valid</v>
      </c>
      <c r="AO249" t="str">
        <f t="shared" si="47"/>
        <v>Valid</v>
      </c>
      <c r="AP249" t="str">
        <f t="shared" si="48"/>
        <v>Valid</v>
      </c>
      <c r="AQ249" t="str">
        <f>IF(Audit_Data[[#This Row],[Z_CostContact]]=3,"Valid","Invalid")</f>
        <v>Valid</v>
      </c>
      <c r="AR249" t="str">
        <f t="shared" si="49"/>
        <v>Valid</v>
      </c>
      <c r="AS249" t="str">
        <f t="shared" si="50"/>
        <v>Valid</v>
      </c>
    </row>
    <row r="250" spans="1:45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 t="str">
        <f t="shared" si="39"/>
        <v>Ok</v>
      </c>
      <c r="AE250" t="str">
        <f>IF(AND(Audit_Data[[#This Row],[Year_Birth]]&gt;=1900,Audit_Data[[#This Row],[Year_Birth]]&lt;=2010),"OK","Invalid")</f>
        <v>OK</v>
      </c>
      <c r="AF250" t="str">
        <f t="shared" si="40"/>
        <v>Valid</v>
      </c>
      <c r="AG250" t="str">
        <f t="shared" si="41"/>
        <v>Valid</v>
      </c>
      <c r="AH250" t="str">
        <f t="shared" si="42"/>
        <v>Valid</v>
      </c>
      <c r="AI250" t="str">
        <f t="shared" si="43"/>
        <v>Valid</v>
      </c>
      <c r="AJ250" t="str">
        <f t="shared" si="44"/>
        <v>Valid</v>
      </c>
      <c r="AK250" t="str">
        <f t="shared" si="51"/>
        <v xml:space="preserve">Valid </v>
      </c>
      <c r="AL250" t="str">
        <f>IF(AND(Audit_Data[[#This Row],[Recency]]&gt;=0,Audit_Data[[#This Row],[Recency]]&lt;=100),"Valid","Invalid")</f>
        <v>Valid</v>
      </c>
      <c r="AM250" t="str">
        <f t="shared" si="45"/>
        <v>Valid</v>
      </c>
      <c r="AN250" t="str">
        <f t="shared" si="46"/>
        <v>Valid</v>
      </c>
      <c r="AO250" t="str">
        <f t="shared" si="47"/>
        <v>Valid</v>
      </c>
      <c r="AP250" t="str">
        <f t="shared" si="48"/>
        <v>Valid</v>
      </c>
      <c r="AQ250" t="str">
        <f>IF(Audit_Data[[#This Row],[Z_CostContact]]=3,"Valid","Invalid")</f>
        <v>Valid</v>
      </c>
      <c r="AR250" t="str">
        <f t="shared" si="49"/>
        <v>Valid</v>
      </c>
      <c r="AS250" t="str">
        <f t="shared" si="50"/>
        <v>Valid</v>
      </c>
    </row>
    <row r="251" spans="1:45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 t="str">
        <f t="shared" si="39"/>
        <v>Ok</v>
      </c>
      <c r="AE251" t="str">
        <f>IF(AND(Audit_Data[[#This Row],[Year_Birth]]&gt;=1900,Audit_Data[[#This Row],[Year_Birth]]&lt;=2010),"OK","Invalid")</f>
        <v>OK</v>
      </c>
      <c r="AF251" t="str">
        <f t="shared" si="40"/>
        <v>Valid</v>
      </c>
      <c r="AG251" t="str">
        <f t="shared" si="41"/>
        <v>Valid</v>
      </c>
      <c r="AH251" t="str">
        <f t="shared" si="42"/>
        <v>Valid</v>
      </c>
      <c r="AI251" t="str">
        <f t="shared" si="43"/>
        <v>Valid</v>
      </c>
      <c r="AJ251" t="str">
        <f t="shared" si="44"/>
        <v>Valid</v>
      </c>
      <c r="AK251" t="str">
        <f t="shared" si="51"/>
        <v xml:space="preserve">Valid </v>
      </c>
      <c r="AL251" t="str">
        <f>IF(AND(Audit_Data[[#This Row],[Recency]]&gt;=0,Audit_Data[[#This Row],[Recency]]&lt;=100),"Valid","Invalid")</f>
        <v>Valid</v>
      </c>
      <c r="AM251" t="str">
        <f t="shared" si="45"/>
        <v>Valid</v>
      </c>
      <c r="AN251" t="str">
        <f t="shared" si="46"/>
        <v>Valid</v>
      </c>
      <c r="AO251" t="str">
        <f t="shared" si="47"/>
        <v>Valid</v>
      </c>
      <c r="AP251" t="str">
        <f t="shared" si="48"/>
        <v>Valid</v>
      </c>
      <c r="AQ251" t="str">
        <f>IF(Audit_Data[[#This Row],[Z_CostContact]]=3,"Valid","Invalid")</f>
        <v>Valid</v>
      </c>
      <c r="AR251" t="str">
        <f t="shared" si="49"/>
        <v>Valid</v>
      </c>
      <c r="AS251" t="str">
        <f t="shared" si="50"/>
        <v>Valid</v>
      </c>
    </row>
    <row r="252" spans="1:45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 t="str">
        <f t="shared" si="39"/>
        <v>Ok</v>
      </c>
      <c r="AE252" t="str">
        <f>IF(AND(Audit_Data[[#This Row],[Year_Birth]]&gt;=1900,Audit_Data[[#This Row],[Year_Birth]]&lt;=2010),"OK","Invalid")</f>
        <v>OK</v>
      </c>
      <c r="AF252" t="str">
        <f t="shared" si="40"/>
        <v>Valid</v>
      </c>
      <c r="AG252" t="str">
        <f t="shared" si="41"/>
        <v>Valid</v>
      </c>
      <c r="AH252" t="str">
        <f t="shared" si="42"/>
        <v>Valid</v>
      </c>
      <c r="AI252" t="str">
        <f t="shared" si="43"/>
        <v>Valid</v>
      </c>
      <c r="AJ252" t="str">
        <f t="shared" si="44"/>
        <v>Valid</v>
      </c>
      <c r="AK252" t="str">
        <f t="shared" si="51"/>
        <v xml:space="preserve">Valid </v>
      </c>
      <c r="AL252" t="str">
        <f>IF(AND(Audit_Data[[#This Row],[Recency]]&gt;=0,Audit_Data[[#This Row],[Recency]]&lt;=100),"Valid","Invalid")</f>
        <v>Valid</v>
      </c>
      <c r="AM252" t="str">
        <f t="shared" si="45"/>
        <v>Valid</v>
      </c>
      <c r="AN252" t="str">
        <f t="shared" si="46"/>
        <v>Valid</v>
      </c>
      <c r="AO252" t="str">
        <f t="shared" si="47"/>
        <v>Valid</v>
      </c>
      <c r="AP252" t="str">
        <f t="shared" si="48"/>
        <v>Valid</v>
      </c>
      <c r="AQ252" t="str">
        <f>IF(Audit_Data[[#This Row],[Z_CostContact]]=3,"Valid","Invalid")</f>
        <v>Valid</v>
      </c>
      <c r="AR252" t="str">
        <f t="shared" si="49"/>
        <v>Valid</v>
      </c>
      <c r="AS252" t="str">
        <f t="shared" si="50"/>
        <v>Valid</v>
      </c>
    </row>
    <row r="253" spans="1:45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 t="str">
        <f t="shared" si="39"/>
        <v>Ok</v>
      </c>
      <c r="AE253" t="str">
        <f>IF(AND(Audit_Data[[#This Row],[Year_Birth]]&gt;=1900,Audit_Data[[#This Row],[Year_Birth]]&lt;=2010),"OK","Invalid")</f>
        <v>OK</v>
      </c>
      <c r="AF253" t="str">
        <f t="shared" si="40"/>
        <v>Valid</v>
      </c>
      <c r="AG253" t="str">
        <f t="shared" si="41"/>
        <v>Valid</v>
      </c>
      <c r="AH253" t="str">
        <f t="shared" si="42"/>
        <v>Valid</v>
      </c>
      <c r="AI253" t="str">
        <f t="shared" si="43"/>
        <v>Valid</v>
      </c>
      <c r="AJ253" t="str">
        <f t="shared" si="44"/>
        <v>Valid</v>
      </c>
      <c r="AK253" t="str">
        <f t="shared" si="51"/>
        <v xml:space="preserve">Valid </v>
      </c>
      <c r="AL253" t="str">
        <f>IF(AND(Audit_Data[[#This Row],[Recency]]&gt;=0,Audit_Data[[#This Row],[Recency]]&lt;=100),"Valid","Invalid")</f>
        <v>Valid</v>
      </c>
      <c r="AM253" t="str">
        <f t="shared" si="45"/>
        <v>Valid</v>
      </c>
      <c r="AN253" t="str">
        <f t="shared" si="46"/>
        <v>Valid</v>
      </c>
      <c r="AO253" t="str">
        <f t="shared" si="47"/>
        <v>Valid</v>
      </c>
      <c r="AP253" t="str">
        <f t="shared" si="48"/>
        <v>Valid</v>
      </c>
      <c r="AQ253" t="str">
        <f>IF(Audit_Data[[#This Row],[Z_CostContact]]=3,"Valid","Invalid")</f>
        <v>Valid</v>
      </c>
      <c r="AR253" t="str">
        <f t="shared" si="49"/>
        <v>Valid</v>
      </c>
      <c r="AS253" t="str">
        <f t="shared" si="50"/>
        <v>Valid</v>
      </c>
    </row>
    <row r="254" spans="1:45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 t="str">
        <f t="shared" si="39"/>
        <v>Ok</v>
      </c>
      <c r="AE254" t="str">
        <f>IF(AND(Audit_Data[[#This Row],[Year_Birth]]&gt;=1900,Audit_Data[[#This Row],[Year_Birth]]&lt;=2010),"OK","Invalid")</f>
        <v>OK</v>
      </c>
      <c r="AF254" t="str">
        <f t="shared" si="40"/>
        <v>Valid</v>
      </c>
      <c r="AG254" t="str">
        <f t="shared" si="41"/>
        <v>Valid</v>
      </c>
      <c r="AH254" t="str">
        <f t="shared" si="42"/>
        <v>Valid</v>
      </c>
      <c r="AI254" t="str">
        <f t="shared" si="43"/>
        <v>Valid</v>
      </c>
      <c r="AJ254" t="str">
        <f t="shared" si="44"/>
        <v>Valid</v>
      </c>
      <c r="AK254" t="str">
        <f t="shared" si="51"/>
        <v xml:space="preserve">Valid </v>
      </c>
      <c r="AL254" t="str">
        <f>IF(AND(Audit_Data[[#This Row],[Recency]]&gt;=0,Audit_Data[[#This Row],[Recency]]&lt;=100),"Valid","Invalid")</f>
        <v>Valid</v>
      </c>
      <c r="AM254" t="str">
        <f t="shared" si="45"/>
        <v>Valid</v>
      </c>
      <c r="AN254" t="str">
        <f t="shared" si="46"/>
        <v>Valid</v>
      </c>
      <c r="AO254" t="str">
        <f t="shared" si="47"/>
        <v>Valid</v>
      </c>
      <c r="AP254" t="str">
        <f t="shared" si="48"/>
        <v>Valid</v>
      </c>
      <c r="AQ254" t="str">
        <f>IF(Audit_Data[[#This Row],[Z_CostContact]]=3,"Valid","Invalid")</f>
        <v>Valid</v>
      </c>
      <c r="AR254" t="str">
        <f t="shared" si="49"/>
        <v>Valid</v>
      </c>
      <c r="AS254" t="str">
        <f t="shared" si="50"/>
        <v>Valid</v>
      </c>
    </row>
    <row r="255" spans="1:45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 t="str">
        <f t="shared" si="39"/>
        <v>Ok</v>
      </c>
      <c r="AE255" t="str">
        <f>IF(AND(Audit_Data[[#This Row],[Year_Birth]]&gt;=1900,Audit_Data[[#This Row],[Year_Birth]]&lt;=2010),"OK","Invalid")</f>
        <v>OK</v>
      </c>
      <c r="AF255" t="str">
        <f t="shared" si="40"/>
        <v>Valid</v>
      </c>
      <c r="AG255" t="str">
        <f t="shared" si="41"/>
        <v>Valid</v>
      </c>
      <c r="AH255" t="str">
        <f t="shared" si="42"/>
        <v>Valid</v>
      </c>
      <c r="AI255" t="str">
        <f t="shared" si="43"/>
        <v>Valid</v>
      </c>
      <c r="AJ255" t="str">
        <f t="shared" si="44"/>
        <v>Valid</v>
      </c>
      <c r="AK255" t="str">
        <f t="shared" si="51"/>
        <v xml:space="preserve">Valid </v>
      </c>
      <c r="AL255" t="str">
        <f>IF(AND(Audit_Data[[#This Row],[Recency]]&gt;=0,Audit_Data[[#This Row],[Recency]]&lt;=100),"Valid","Invalid")</f>
        <v>Valid</v>
      </c>
      <c r="AM255" t="str">
        <f t="shared" si="45"/>
        <v>Valid</v>
      </c>
      <c r="AN255" t="str">
        <f t="shared" si="46"/>
        <v>Valid</v>
      </c>
      <c r="AO255" t="str">
        <f t="shared" si="47"/>
        <v>Valid</v>
      </c>
      <c r="AP255" t="str">
        <f t="shared" si="48"/>
        <v>Valid</v>
      </c>
      <c r="AQ255" t="str">
        <f>IF(Audit_Data[[#This Row],[Z_CostContact]]=3,"Valid","Invalid")</f>
        <v>Valid</v>
      </c>
      <c r="AR255" t="str">
        <f t="shared" si="49"/>
        <v>Valid</v>
      </c>
      <c r="AS255" t="str">
        <f t="shared" si="50"/>
        <v>Valid</v>
      </c>
    </row>
    <row r="256" spans="1:45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 t="str">
        <f t="shared" si="39"/>
        <v>Ok</v>
      </c>
      <c r="AE256" t="str">
        <f>IF(AND(Audit_Data[[#This Row],[Year_Birth]]&gt;=1900,Audit_Data[[#This Row],[Year_Birth]]&lt;=2010),"OK","Invalid")</f>
        <v>OK</v>
      </c>
      <c r="AF256" t="str">
        <f t="shared" si="40"/>
        <v>Valid</v>
      </c>
      <c r="AG256" t="str">
        <f t="shared" si="41"/>
        <v>Valid</v>
      </c>
      <c r="AH256" t="str">
        <f t="shared" si="42"/>
        <v>Valid</v>
      </c>
      <c r="AI256" t="str">
        <f t="shared" si="43"/>
        <v>Valid</v>
      </c>
      <c r="AJ256" t="str">
        <f t="shared" si="44"/>
        <v>Valid</v>
      </c>
      <c r="AK256" t="str">
        <f t="shared" si="51"/>
        <v xml:space="preserve">Valid </v>
      </c>
      <c r="AL256" t="str">
        <f>IF(AND(Audit_Data[[#This Row],[Recency]]&gt;=0,Audit_Data[[#This Row],[Recency]]&lt;=100),"Valid","Invalid")</f>
        <v>Valid</v>
      </c>
      <c r="AM256" t="str">
        <f t="shared" si="45"/>
        <v>Valid</v>
      </c>
      <c r="AN256" t="str">
        <f t="shared" si="46"/>
        <v>Valid</v>
      </c>
      <c r="AO256" t="str">
        <f t="shared" si="47"/>
        <v>Valid</v>
      </c>
      <c r="AP256" t="str">
        <f t="shared" si="48"/>
        <v>Valid</v>
      </c>
      <c r="AQ256" t="str">
        <f>IF(Audit_Data[[#This Row],[Z_CostContact]]=3,"Valid","Invalid")</f>
        <v>Valid</v>
      </c>
      <c r="AR256" t="str">
        <f t="shared" si="49"/>
        <v>Valid</v>
      </c>
      <c r="AS256" t="str">
        <f t="shared" si="50"/>
        <v>Valid</v>
      </c>
    </row>
    <row r="257" spans="1:45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 t="str">
        <f t="shared" si="39"/>
        <v>Ok</v>
      </c>
      <c r="AE257" t="str">
        <f>IF(AND(Audit_Data[[#This Row],[Year_Birth]]&gt;=1900,Audit_Data[[#This Row],[Year_Birth]]&lt;=2010),"OK","Invalid")</f>
        <v>OK</v>
      </c>
      <c r="AF257" t="str">
        <f t="shared" si="40"/>
        <v>Valid</v>
      </c>
      <c r="AG257" t="str">
        <f t="shared" si="41"/>
        <v>Valid</v>
      </c>
      <c r="AH257" t="str">
        <f t="shared" si="42"/>
        <v>Valid</v>
      </c>
      <c r="AI257" t="str">
        <f t="shared" si="43"/>
        <v>Valid</v>
      </c>
      <c r="AJ257" t="str">
        <f t="shared" si="44"/>
        <v>Valid</v>
      </c>
      <c r="AK257" t="str">
        <f t="shared" si="51"/>
        <v xml:space="preserve">Valid </v>
      </c>
      <c r="AL257" t="str">
        <f>IF(AND(Audit_Data[[#This Row],[Recency]]&gt;=0,Audit_Data[[#This Row],[Recency]]&lt;=100),"Valid","Invalid")</f>
        <v>Valid</v>
      </c>
      <c r="AM257" t="str">
        <f t="shared" si="45"/>
        <v>Valid</v>
      </c>
      <c r="AN257" t="str">
        <f t="shared" si="46"/>
        <v>Valid</v>
      </c>
      <c r="AO257" t="str">
        <f t="shared" si="47"/>
        <v>Valid</v>
      </c>
      <c r="AP257" t="str">
        <f t="shared" si="48"/>
        <v>Valid</v>
      </c>
      <c r="AQ257" t="str">
        <f>IF(Audit_Data[[#This Row],[Z_CostContact]]=3,"Valid","Invalid")</f>
        <v>Valid</v>
      </c>
      <c r="AR257" t="str">
        <f t="shared" si="49"/>
        <v>Valid</v>
      </c>
      <c r="AS257" t="str">
        <f t="shared" si="50"/>
        <v>Valid</v>
      </c>
    </row>
    <row r="258" spans="1:45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 t="str">
        <f t="shared" ref="AD258:AD321" si="52">IF(COUNTIF(A:A,A258)&gt;1,"Duplicate","Ok")</f>
        <v>Ok</v>
      </c>
      <c r="AE258" t="str">
        <f>IF(AND(Audit_Data[[#This Row],[Year_Birth]]&gt;=1900,Audit_Data[[#This Row],[Year_Birth]]&lt;=2010),"OK","Invalid")</f>
        <v>OK</v>
      </c>
      <c r="AF258" t="str">
        <f t="shared" ref="AF258:AF321" si="53">IF(OR(C258="Graduation",C258="phD",C258="Master",C258="Basic",C258="2n Cycle"),"Valid","Invalid")</f>
        <v>Valid</v>
      </c>
      <c r="AG258" t="str">
        <f t="shared" ref="AG258:AG321" si="54">IF(OR(D258="Single",D258="Married",D258="Divorced",D258="Together",D258="Widow",D258="Alone"),"Valid","Invalid")</f>
        <v>Valid</v>
      </c>
      <c r="AH258" t="str">
        <f t="shared" ref="AH258:AH321" si="55">IF(AND(ISNUMBER(E258),E258&lt;&gt;""),"Valid","Invalid")</f>
        <v>Valid</v>
      </c>
      <c r="AI258" t="str">
        <f t="shared" ref="AI258:AI321" si="56">IF(AND(F258&gt;=0,F258&lt;=2),"Valid","Invalid")</f>
        <v>Valid</v>
      </c>
      <c r="AJ258" t="str">
        <f t="shared" ref="AJ258:AJ321" si="57">IF(AND(G258&gt;=0,G258&lt;=2),"Valid","Invalid")</f>
        <v>Valid</v>
      </c>
      <c r="AK258" t="str">
        <f t="shared" si="51"/>
        <v xml:space="preserve">Valid </v>
      </c>
      <c r="AL258" t="str">
        <f>IF(AND(Audit_Data[[#This Row],[Recency]]&gt;=0,Audit_Data[[#This Row],[Recency]]&lt;=100),"Valid","Invalid")</f>
        <v>Valid</v>
      </c>
      <c r="AM258" t="str">
        <f t="shared" ref="AM258:AM321" si="58">IF(AND(ISNUMBER(J258),J258&gt;=0,ISNUMBER(K258),K258&gt;=0,ISNUMBER(L258),L258&gt;=0,ISNUMBER(M258),M258&gt;=0,ISNUMBER(N258),N258&gt;=0,ISNUMBER(O258),O258&gt;=0),"Valid","Invalid")</f>
        <v>Valid</v>
      </c>
      <c r="AN258" t="str">
        <f t="shared" ref="AN258:AN321" si="59">IF(AND(ISNUMBER(P258),P258&gt;=0,ISNUMBER(Q258),Q258&gt;=0,ISNUMBER(R258),R258&gt;=0,ISNUMBER(S258),S258&gt;=0,ISNUMBER(T258),T258&gt;=0),"Valid","Invalid")</f>
        <v>Valid</v>
      </c>
      <c r="AO258" t="str">
        <f t="shared" ref="AO258:AO321" si="60">IF(AND(U258&lt;=1,V258&lt;=1,W258&lt;=1,X258&lt;=1,Y258&lt;=1),"Valid","Invalid")</f>
        <v>Valid</v>
      </c>
      <c r="AP258" t="str">
        <f t="shared" ref="AP258:AP321" si="61">IF(OR(Z258=0,Z258=1),"Valid","Invalid")</f>
        <v>Valid</v>
      </c>
      <c r="AQ258" t="str">
        <f>IF(Audit_Data[[#This Row],[Z_CostContact]]=3,"Valid","Invalid")</f>
        <v>Valid</v>
      </c>
      <c r="AR258" t="str">
        <f t="shared" ref="AR258:AR321" si="62">IF(AB258=11,"Valid","Invalid")</f>
        <v>Valid</v>
      </c>
      <c r="AS258" t="str">
        <f t="shared" ref="AS258:AS321" si="63">IF(OR(AC258=0,AC258=1),"Valid","Invalid")</f>
        <v>Valid</v>
      </c>
    </row>
    <row r="259" spans="1:45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 t="str">
        <f t="shared" si="52"/>
        <v>Ok</v>
      </c>
      <c r="AE259" t="str">
        <f>IF(AND(Audit_Data[[#This Row],[Year_Birth]]&gt;=1900,Audit_Data[[#This Row],[Year_Birth]]&lt;=2010),"OK","Invalid")</f>
        <v>OK</v>
      </c>
      <c r="AF259" t="str">
        <f t="shared" si="53"/>
        <v>Valid</v>
      </c>
      <c r="AG259" t="str">
        <f t="shared" si="54"/>
        <v>Valid</v>
      </c>
      <c r="AH259" t="str">
        <f t="shared" si="55"/>
        <v>Valid</v>
      </c>
      <c r="AI259" t="str">
        <f t="shared" si="56"/>
        <v>Valid</v>
      </c>
      <c r="AJ259" t="str">
        <f t="shared" si="57"/>
        <v>Valid</v>
      </c>
      <c r="AK259" t="str">
        <f t="shared" ref="AK259:AK322" si="64">IF(AND(ISNUMBER(H259),H259&gt;=DATE(2012,1,1),H259&lt;=DATE(2014,12,31)),"Valid ","Invalid")</f>
        <v xml:space="preserve">Valid </v>
      </c>
      <c r="AL259" t="str">
        <f>IF(AND(Audit_Data[[#This Row],[Recency]]&gt;=0,Audit_Data[[#This Row],[Recency]]&lt;=100),"Valid","Invalid")</f>
        <v>Valid</v>
      </c>
      <c r="AM259" t="str">
        <f t="shared" si="58"/>
        <v>Valid</v>
      </c>
      <c r="AN259" t="str">
        <f t="shared" si="59"/>
        <v>Valid</v>
      </c>
      <c r="AO259" t="str">
        <f t="shared" si="60"/>
        <v>Valid</v>
      </c>
      <c r="AP259" t="str">
        <f t="shared" si="61"/>
        <v>Valid</v>
      </c>
      <c r="AQ259" t="str">
        <f>IF(Audit_Data[[#This Row],[Z_CostContact]]=3,"Valid","Invalid")</f>
        <v>Valid</v>
      </c>
      <c r="AR259" t="str">
        <f t="shared" si="62"/>
        <v>Valid</v>
      </c>
      <c r="AS259" t="str">
        <f t="shared" si="63"/>
        <v>Valid</v>
      </c>
    </row>
    <row r="260" spans="1:45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 t="str">
        <f t="shared" si="52"/>
        <v>Ok</v>
      </c>
      <c r="AE260" t="str">
        <f>IF(AND(Audit_Data[[#This Row],[Year_Birth]]&gt;=1900,Audit_Data[[#This Row],[Year_Birth]]&lt;=2010),"OK","Invalid")</f>
        <v>OK</v>
      </c>
      <c r="AF260" t="str">
        <f t="shared" si="53"/>
        <v>Valid</v>
      </c>
      <c r="AG260" t="str">
        <f t="shared" si="54"/>
        <v>Valid</v>
      </c>
      <c r="AH260" t="str">
        <f t="shared" si="55"/>
        <v>Valid</v>
      </c>
      <c r="AI260" t="str">
        <f t="shared" si="56"/>
        <v>Valid</v>
      </c>
      <c r="AJ260" t="str">
        <f t="shared" si="57"/>
        <v>Valid</v>
      </c>
      <c r="AK260" t="str">
        <f t="shared" si="64"/>
        <v xml:space="preserve">Valid </v>
      </c>
      <c r="AL260" t="str">
        <f>IF(AND(Audit_Data[[#This Row],[Recency]]&gt;=0,Audit_Data[[#This Row],[Recency]]&lt;=100),"Valid","Invalid")</f>
        <v>Valid</v>
      </c>
      <c r="AM260" t="str">
        <f t="shared" si="58"/>
        <v>Valid</v>
      </c>
      <c r="AN260" t="str">
        <f t="shared" si="59"/>
        <v>Valid</v>
      </c>
      <c r="AO260" t="str">
        <f t="shared" si="60"/>
        <v>Valid</v>
      </c>
      <c r="AP260" t="str">
        <f t="shared" si="61"/>
        <v>Valid</v>
      </c>
      <c r="AQ260" t="str">
        <f>IF(Audit_Data[[#This Row],[Z_CostContact]]=3,"Valid","Invalid")</f>
        <v>Valid</v>
      </c>
      <c r="AR260" t="str">
        <f t="shared" si="62"/>
        <v>Valid</v>
      </c>
      <c r="AS260" t="str">
        <f t="shared" si="63"/>
        <v>Valid</v>
      </c>
    </row>
    <row r="261" spans="1:45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 t="str">
        <f t="shared" si="52"/>
        <v>Ok</v>
      </c>
      <c r="AE261" t="str">
        <f>IF(AND(Audit_Data[[#This Row],[Year_Birth]]&gt;=1900,Audit_Data[[#This Row],[Year_Birth]]&lt;=2010),"OK","Invalid")</f>
        <v>OK</v>
      </c>
      <c r="AF261" t="str">
        <f t="shared" si="53"/>
        <v>Valid</v>
      </c>
      <c r="AG261" t="str">
        <f t="shared" si="54"/>
        <v>Valid</v>
      </c>
      <c r="AH261" t="str">
        <f t="shared" si="55"/>
        <v>Valid</v>
      </c>
      <c r="AI261" t="str">
        <f t="shared" si="56"/>
        <v>Valid</v>
      </c>
      <c r="AJ261" t="str">
        <f t="shared" si="57"/>
        <v>Valid</v>
      </c>
      <c r="AK261" t="str">
        <f t="shared" si="64"/>
        <v xml:space="preserve">Valid </v>
      </c>
      <c r="AL261" t="str">
        <f>IF(AND(Audit_Data[[#This Row],[Recency]]&gt;=0,Audit_Data[[#This Row],[Recency]]&lt;=100),"Valid","Invalid")</f>
        <v>Valid</v>
      </c>
      <c r="AM261" t="str">
        <f t="shared" si="58"/>
        <v>Valid</v>
      </c>
      <c r="AN261" t="str">
        <f t="shared" si="59"/>
        <v>Valid</v>
      </c>
      <c r="AO261" t="str">
        <f t="shared" si="60"/>
        <v>Valid</v>
      </c>
      <c r="AP261" t="str">
        <f t="shared" si="61"/>
        <v>Valid</v>
      </c>
      <c r="AQ261" t="str">
        <f>IF(Audit_Data[[#This Row],[Z_CostContact]]=3,"Valid","Invalid")</f>
        <v>Valid</v>
      </c>
      <c r="AR261" t="str">
        <f t="shared" si="62"/>
        <v>Valid</v>
      </c>
      <c r="AS261" t="str">
        <f t="shared" si="63"/>
        <v>Valid</v>
      </c>
    </row>
    <row r="262" spans="1:45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 t="str">
        <f t="shared" si="52"/>
        <v>Ok</v>
      </c>
      <c r="AE262" t="str">
        <f>IF(AND(Audit_Data[[#This Row],[Year_Birth]]&gt;=1900,Audit_Data[[#This Row],[Year_Birth]]&lt;=2010),"OK","Invalid")</f>
        <v>OK</v>
      </c>
      <c r="AF262" t="str">
        <f t="shared" si="53"/>
        <v>Valid</v>
      </c>
      <c r="AG262" t="str">
        <f t="shared" si="54"/>
        <v>Valid</v>
      </c>
      <c r="AH262" t="str">
        <f t="shared" si="55"/>
        <v>Valid</v>
      </c>
      <c r="AI262" t="str">
        <f t="shared" si="56"/>
        <v>Valid</v>
      </c>
      <c r="AJ262" t="str">
        <f t="shared" si="57"/>
        <v>Valid</v>
      </c>
      <c r="AK262" t="str">
        <f t="shared" si="64"/>
        <v xml:space="preserve">Valid </v>
      </c>
      <c r="AL262" t="str">
        <f>IF(AND(Audit_Data[[#This Row],[Recency]]&gt;=0,Audit_Data[[#This Row],[Recency]]&lt;=100),"Valid","Invalid")</f>
        <v>Valid</v>
      </c>
      <c r="AM262" t="str">
        <f t="shared" si="58"/>
        <v>Valid</v>
      </c>
      <c r="AN262" t="str">
        <f t="shared" si="59"/>
        <v>Valid</v>
      </c>
      <c r="AO262" t="str">
        <f t="shared" si="60"/>
        <v>Valid</v>
      </c>
      <c r="AP262" t="str">
        <f t="shared" si="61"/>
        <v>Valid</v>
      </c>
      <c r="AQ262" t="str">
        <f>IF(Audit_Data[[#This Row],[Z_CostContact]]=3,"Valid","Invalid")</f>
        <v>Valid</v>
      </c>
      <c r="AR262" t="str">
        <f t="shared" si="62"/>
        <v>Valid</v>
      </c>
      <c r="AS262" t="str">
        <f t="shared" si="63"/>
        <v>Valid</v>
      </c>
    </row>
    <row r="263" spans="1:45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 t="str">
        <f t="shared" si="52"/>
        <v>Ok</v>
      </c>
      <c r="AE263" t="str">
        <f>IF(AND(Audit_Data[[#This Row],[Year_Birth]]&gt;=1900,Audit_Data[[#This Row],[Year_Birth]]&lt;=2010),"OK","Invalid")</f>
        <v>OK</v>
      </c>
      <c r="AF263" t="str">
        <f t="shared" si="53"/>
        <v>Valid</v>
      </c>
      <c r="AG263" t="str">
        <f t="shared" si="54"/>
        <v>Valid</v>
      </c>
      <c r="AH263" t="str">
        <f t="shared" si="55"/>
        <v>Valid</v>
      </c>
      <c r="AI263" t="str">
        <f t="shared" si="56"/>
        <v>Valid</v>
      </c>
      <c r="AJ263" t="str">
        <f t="shared" si="57"/>
        <v>Valid</v>
      </c>
      <c r="AK263" t="str">
        <f t="shared" si="64"/>
        <v xml:space="preserve">Valid </v>
      </c>
      <c r="AL263" t="str">
        <f>IF(AND(Audit_Data[[#This Row],[Recency]]&gt;=0,Audit_Data[[#This Row],[Recency]]&lt;=100),"Valid","Invalid")</f>
        <v>Valid</v>
      </c>
      <c r="AM263" t="str">
        <f t="shared" si="58"/>
        <v>Valid</v>
      </c>
      <c r="AN263" t="str">
        <f t="shared" si="59"/>
        <v>Valid</v>
      </c>
      <c r="AO263" t="str">
        <f t="shared" si="60"/>
        <v>Valid</v>
      </c>
      <c r="AP263" t="str">
        <f t="shared" si="61"/>
        <v>Valid</v>
      </c>
      <c r="AQ263" t="str">
        <f>IF(Audit_Data[[#This Row],[Z_CostContact]]=3,"Valid","Invalid")</f>
        <v>Valid</v>
      </c>
      <c r="AR263" t="str">
        <f t="shared" si="62"/>
        <v>Valid</v>
      </c>
      <c r="AS263" t="str">
        <f t="shared" si="63"/>
        <v>Valid</v>
      </c>
    </row>
    <row r="264" spans="1:45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 t="str">
        <f t="shared" si="52"/>
        <v>Ok</v>
      </c>
      <c r="AE264" t="str">
        <f>IF(AND(Audit_Data[[#This Row],[Year_Birth]]&gt;=1900,Audit_Data[[#This Row],[Year_Birth]]&lt;=2010),"OK","Invalid")</f>
        <v>OK</v>
      </c>
      <c r="AF264" t="str">
        <f t="shared" si="53"/>
        <v>Valid</v>
      </c>
      <c r="AG264" t="str">
        <f t="shared" si="54"/>
        <v>Valid</v>
      </c>
      <c r="AH264" t="str">
        <f t="shared" si="55"/>
        <v>Valid</v>
      </c>
      <c r="AI264" t="str">
        <f t="shared" si="56"/>
        <v>Valid</v>
      </c>
      <c r="AJ264" t="str">
        <f t="shared" si="57"/>
        <v>Valid</v>
      </c>
      <c r="AK264" t="str">
        <f t="shared" si="64"/>
        <v xml:space="preserve">Valid </v>
      </c>
      <c r="AL264" t="str">
        <f>IF(AND(Audit_Data[[#This Row],[Recency]]&gt;=0,Audit_Data[[#This Row],[Recency]]&lt;=100),"Valid","Invalid")</f>
        <v>Valid</v>
      </c>
      <c r="AM264" t="str">
        <f t="shared" si="58"/>
        <v>Valid</v>
      </c>
      <c r="AN264" t="str">
        <f t="shared" si="59"/>
        <v>Valid</v>
      </c>
      <c r="AO264" t="str">
        <f t="shared" si="60"/>
        <v>Valid</v>
      </c>
      <c r="AP264" t="str">
        <f t="shared" si="61"/>
        <v>Valid</v>
      </c>
      <c r="AQ264" t="str">
        <f>IF(Audit_Data[[#This Row],[Z_CostContact]]=3,"Valid","Invalid")</f>
        <v>Valid</v>
      </c>
      <c r="AR264" t="str">
        <f t="shared" si="62"/>
        <v>Valid</v>
      </c>
      <c r="AS264" t="str">
        <f t="shared" si="63"/>
        <v>Valid</v>
      </c>
    </row>
    <row r="265" spans="1:45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 t="str">
        <f t="shared" si="52"/>
        <v>Ok</v>
      </c>
      <c r="AE265" t="str">
        <f>IF(AND(Audit_Data[[#This Row],[Year_Birth]]&gt;=1900,Audit_Data[[#This Row],[Year_Birth]]&lt;=2010),"OK","Invalid")</f>
        <v>OK</v>
      </c>
      <c r="AF265" t="str">
        <f t="shared" si="53"/>
        <v>Valid</v>
      </c>
      <c r="AG265" t="str">
        <f t="shared" si="54"/>
        <v>Valid</v>
      </c>
      <c r="AH265" t="str">
        <f t="shared" si="55"/>
        <v>Valid</v>
      </c>
      <c r="AI265" t="str">
        <f t="shared" si="56"/>
        <v>Valid</v>
      </c>
      <c r="AJ265" t="str">
        <f t="shared" si="57"/>
        <v>Valid</v>
      </c>
      <c r="AK265" t="str">
        <f t="shared" si="64"/>
        <v xml:space="preserve">Valid </v>
      </c>
      <c r="AL265" t="str">
        <f>IF(AND(Audit_Data[[#This Row],[Recency]]&gt;=0,Audit_Data[[#This Row],[Recency]]&lt;=100),"Valid","Invalid")</f>
        <v>Valid</v>
      </c>
      <c r="AM265" t="str">
        <f t="shared" si="58"/>
        <v>Valid</v>
      </c>
      <c r="AN265" t="str">
        <f t="shared" si="59"/>
        <v>Valid</v>
      </c>
      <c r="AO265" t="str">
        <f t="shared" si="60"/>
        <v>Valid</v>
      </c>
      <c r="AP265" t="str">
        <f t="shared" si="61"/>
        <v>Valid</v>
      </c>
      <c r="AQ265" t="str">
        <f>IF(Audit_Data[[#This Row],[Z_CostContact]]=3,"Valid","Invalid")</f>
        <v>Valid</v>
      </c>
      <c r="AR265" t="str">
        <f t="shared" si="62"/>
        <v>Valid</v>
      </c>
      <c r="AS265" t="str">
        <f t="shared" si="63"/>
        <v>Valid</v>
      </c>
    </row>
    <row r="266" spans="1:45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 t="str">
        <f t="shared" si="52"/>
        <v>Ok</v>
      </c>
      <c r="AE266" t="str">
        <f>IF(AND(Audit_Data[[#This Row],[Year_Birth]]&gt;=1900,Audit_Data[[#This Row],[Year_Birth]]&lt;=2010),"OK","Invalid")</f>
        <v>OK</v>
      </c>
      <c r="AF266" t="str">
        <f t="shared" si="53"/>
        <v>Valid</v>
      </c>
      <c r="AG266" t="str">
        <f t="shared" si="54"/>
        <v>Valid</v>
      </c>
      <c r="AH266" t="str">
        <f t="shared" si="55"/>
        <v>Valid</v>
      </c>
      <c r="AI266" t="str">
        <f t="shared" si="56"/>
        <v>Valid</v>
      </c>
      <c r="AJ266" t="str">
        <f t="shared" si="57"/>
        <v>Valid</v>
      </c>
      <c r="AK266" t="str">
        <f t="shared" si="64"/>
        <v xml:space="preserve">Valid </v>
      </c>
      <c r="AL266" t="str">
        <f>IF(AND(Audit_Data[[#This Row],[Recency]]&gt;=0,Audit_Data[[#This Row],[Recency]]&lt;=100),"Valid","Invalid")</f>
        <v>Valid</v>
      </c>
      <c r="AM266" t="str">
        <f t="shared" si="58"/>
        <v>Valid</v>
      </c>
      <c r="AN266" t="str">
        <f t="shared" si="59"/>
        <v>Valid</v>
      </c>
      <c r="AO266" t="str">
        <f t="shared" si="60"/>
        <v>Valid</v>
      </c>
      <c r="AP266" t="str">
        <f t="shared" si="61"/>
        <v>Valid</v>
      </c>
      <c r="AQ266" t="str">
        <f>IF(Audit_Data[[#This Row],[Z_CostContact]]=3,"Valid","Invalid")</f>
        <v>Valid</v>
      </c>
      <c r="AR266" t="str">
        <f t="shared" si="62"/>
        <v>Valid</v>
      </c>
      <c r="AS266" t="str">
        <f t="shared" si="63"/>
        <v>Valid</v>
      </c>
    </row>
    <row r="267" spans="1:45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 t="str">
        <f t="shared" si="52"/>
        <v>Ok</v>
      </c>
      <c r="AE267" t="str">
        <f>IF(AND(Audit_Data[[#This Row],[Year_Birth]]&gt;=1900,Audit_Data[[#This Row],[Year_Birth]]&lt;=2010),"OK","Invalid")</f>
        <v>OK</v>
      </c>
      <c r="AF267" t="str">
        <f t="shared" si="53"/>
        <v>Valid</v>
      </c>
      <c r="AG267" t="str">
        <f t="shared" si="54"/>
        <v>Valid</v>
      </c>
      <c r="AH267" t="str">
        <f t="shared" si="55"/>
        <v>Valid</v>
      </c>
      <c r="AI267" t="str">
        <f t="shared" si="56"/>
        <v>Valid</v>
      </c>
      <c r="AJ267" t="str">
        <f t="shared" si="57"/>
        <v>Valid</v>
      </c>
      <c r="AK267" t="str">
        <f t="shared" si="64"/>
        <v xml:space="preserve">Valid </v>
      </c>
      <c r="AL267" t="str">
        <f>IF(AND(Audit_Data[[#This Row],[Recency]]&gt;=0,Audit_Data[[#This Row],[Recency]]&lt;=100),"Valid","Invalid")</f>
        <v>Valid</v>
      </c>
      <c r="AM267" t="str">
        <f t="shared" si="58"/>
        <v>Valid</v>
      </c>
      <c r="AN267" t="str">
        <f t="shared" si="59"/>
        <v>Valid</v>
      </c>
      <c r="AO267" t="str">
        <f t="shared" si="60"/>
        <v>Valid</v>
      </c>
      <c r="AP267" t="str">
        <f t="shared" si="61"/>
        <v>Valid</v>
      </c>
      <c r="AQ267" t="str">
        <f>IF(Audit_Data[[#This Row],[Z_CostContact]]=3,"Valid","Invalid")</f>
        <v>Valid</v>
      </c>
      <c r="AR267" t="str">
        <f t="shared" si="62"/>
        <v>Valid</v>
      </c>
      <c r="AS267" t="str">
        <f t="shared" si="63"/>
        <v>Valid</v>
      </c>
    </row>
    <row r="268" spans="1:45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 t="str">
        <f t="shared" si="52"/>
        <v>Ok</v>
      </c>
      <c r="AE268" t="str">
        <f>IF(AND(Audit_Data[[#This Row],[Year_Birth]]&gt;=1900,Audit_Data[[#This Row],[Year_Birth]]&lt;=2010),"OK","Invalid")</f>
        <v>OK</v>
      </c>
      <c r="AF268" t="str">
        <f t="shared" si="53"/>
        <v>Valid</v>
      </c>
      <c r="AG268" t="str">
        <f t="shared" si="54"/>
        <v>Valid</v>
      </c>
      <c r="AH268" t="str">
        <f t="shared" si="55"/>
        <v>Valid</v>
      </c>
      <c r="AI268" t="str">
        <f t="shared" si="56"/>
        <v>Valid</v>
      </c>
      <c r="AJ268" t="str">
        <f t="shared" si="57"/>
        <v>Valid</v>
      </c>
      <c r="AK268" t="str">
        <f t="shared" si="64"/>
        <v xml:space="preserve">Valid </v>
      </c>
      <c r="AL268" t="str">
        <f>IF(AND(Audit_Data[[#This Row],[Recency]]&gt;=0,Audit_Data[[#This Row],[Recency]]&lt;=100),"Valid","Invalid")</f>
        <v>Valid</v>
      </c>
      <c r="AM268" t="str">
        <f t="shared" si="58"/>
        <v>Valid</v>
      </c>
      <c r="AN268" t="str">
        <f t="shared" si="59"/>
        <v>Valid</v>
      </c>
      <c r="AO268" t="str">
        <f t="shared" si="60"/>
        <v>Valid</v>
      </c>
      <c r="AP268" t="str">
        <f t="shared" si="61"/>
        <v>Valid</v>
      </c>
      <c r="AQ268" t="str">
        <f>IF(Audit_Data[[#This Row],[Z_CostContact]]=3,"Valid","Invalid")</f>
        <v>Valid</v>
      </c>
      <c r="AR268" t="str">
        <f t="shared" si="62"/>
        <v>Valid</v>
      </c>
      <c r="AS268" t="str">
        <f t="shared" si="63"/>
        <v>Valid</v>
      </c>
    </row>
    <row r="269" spans="1:45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 t="str">
        <f t="shared" si="52"/>
        <v>Ok</v>
      </c>
      <c r="AE269" t="str">
        <f>IF(AND(Audit_Data[[#This Row],[Year_Birth]]&gt;=1900,Audit_Data[[#This Row],[Year_Birth]]&lt;=2010),"OK","Invalid")</f>
        <v>OK</v>
      </c>
      <c r="AF269" t="str">
        <f t="shared" si="53"/>
        <v>Valid</v>
      </c>
      <c r="AG269" t="str">
        <f t="shared" si="54"/>
        <v>Valid</v>
      </c>
      <c r="AH269" t="str">
        <f t="shared" si="55"/>
        <v>Valid</v>
      </c>
      <c r="AI269" t="str">
        <f t="shared" si="56"/>
        <v>Valid</v>
      </c>
      <c r="AJ269" t="str">
        <f t="shared" si="57"/>
        <v>Valid</v>
      </c>
      <c r="AK269" t="str">
        <f t="shared" si="64"/>
        <v xml:space="preserve">Valid </v>
      </c>
      <c r="AL269" t="str">
        <f>IF(AND(Audit_Data[[#This Row],[Recency]]&gt;=0,Audit_Data[[#This Row],[Recency]]&lt;=100),"Valid","Invalid")</f>
        <v>Valid</v>
      </c>
      <c r="AM269" t="str">
        <f t="shared" si="58"/>
        <v>Valid</v>
      </c>
      <c r="AN269" t="str">
        <f t="shared" si="59"/>
        <v>Valid</v>
      </c>
      <c r="AO269" t="str">
        <f t="shared" si="60"/>
        <v>Valid</v>
      </c>
      <c r="AP269" t="str">
        <f t="shared" si="61"/>
        <v>Valid</v>
      </c>
      <c r="AQ269" t="str">
        <f>IF(Audit_Data[[#This Row],[Z_CostContact]]=3,"Valid","Invalid")</f>
        <v>Valid</v>
      </c>
      <c r="AR269" t="str">
        <f t="shared" si="62"/>
        <v>Valid</v>
      </c>
      <c r="AS269" t="str">
        <f t="shared" si="63"/>
        <v>Valid</v>
      </c>
    </row>
    <row r="270" spans="1:45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 t="str">
        <f t="shared" si="52"/>
        <v>Ok</v>
      </c>
      <c r="AE270" t="str">
        <f>IF(AND(Audit_Data[[#This Row],[Year_Birth]]&gt;=1900,Audit_Data[[#This Row],[Year_Birth]]&lt;=2010),"OK","Invalid")</f>
        <v>OK</v>
      </c>
      <c r="AF270" t="str">
        <f t="shared" si="53"/>
        <v>Valid</v>
      </c>
      <c r="AG270" t="str">
        <f t="shared" si="54"/>
        <v>Valid</v>
      </c>
      <c r="AH270" t="str">
        <f t="shared" si="55"/>
        <v>Valid</v>
      </c>
      <c r="AI270" t="str">
        <f t="shared" si="56"/>
        <v>Valid</v>
      </c>
      <c r="AJ270" t="str">
        <f t="shared" si="57"/>
        <v>Valid</v>
      </c>
      <c r="AK270" t="str">
        <f t="shared" si="64"/>
        <v xml:space="preserve">Valid </v>
      </c>
      <c r="AL270" t="str">
        <f>IF(AND(Audit_Data[[#This Row],[Recency]]&gt;=0,Audit_Data[[#This Row],[Recency]]&lt;=100),"Valid","Invalid")</f>
        <v>Valid</v>
      </c>
      <c r="AM270" t="str">
        <f t="shared" si="58"/>
        <v>Valid</v>
      </c>
      <c r="AN270" t="str">
        <f t="shared" si="59"/>
        <v>Valid</v>
      </c>
      <c r="AO270" t="str">
        <f t="shared" si="60"/>
        <v>Valid</v>
      </c>
      <c r="AP270" t="str">
        <f t="shared" si="61"/>
        <v>Valid</v>
      </c>
      <c r="AQ270" t="str">
        <f>IF(Audit_Data[[#This Row],[Z_CostContact]]=3,"Valid","Invalid")</f>
        <v>Valid</v>
      </c>
      <c r="AR270" t="str">
        <f t="shared" si="62"/>
        <v>Valid</v>
      </c>
      <c r="AS270" t="str">
        <f t="shared" si="63"/>
        <v>Valid</v>
      </c>
    </row>
    <row r="271" spans="1:45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 t="str">
        <f t="shared" si="52"/>
        <v>Ok</v>
      </c>
      <c r="AE271" t="str">
        <f>IF(AND(Audit_Data[[#This Row],[Year_Birth]]&gt;=1900,Audit_Data[[#This Row],[Year_Birth]]&lt;=2010),"OK","Invalid")</f>
        <v>OK</v>
      </c>
      <c r="AF271" t="str">
        <f t="shared" si="53"/>
        <v>Valid</v>
      </c>
      <c r="AG271" t="str">
        <f t="shared" si="54"/>
        <v>Valid</v>
      </c>
      <c r="AH271" t="str">
        <f t="shared" si="55"/>
        <v>Valid</v>
      </c>
      <c r="AI271" t="str">
        <f t="shared" si="56"/>
        <v>Valid</v>
      </c>
      <c r="AJ271" t="str">
        <f t="shared" si="57"/>
        <v>Valid</v>
      </c>
      <c r="AK271" t="str">
        <f t="shared" si="64"/>
        <v xml:space="preserve">Valid </v>
      </c>
      <c r="AL271" t="str">
        <f>IF(AND(Audit_Data[[#This Row],[Recency]]&gt;=0,Audit_Data[[#This Row],[Recency]]&lt;=100),"Valid","Invalid")</f>
        <v>Valid</v>
      </c>
      <c r="AM271" t="str">
        <f t="shared" si="58"/>
        <v>Valid</v>
      </c>
      <c r="AN271" t="str">
        <f t="shared" si="59"/>
        <v>Valid</v>
      </c>
      <c r="AO271" t="str">
        <f t="shared" si="60"/>
        <v>Valid</v>
      </c>
      <c r="AP271" t="str">
        <f t="shared" si="61"/>
        <v>Valid</v>
      </c>
      <c r="AQ271" t="str">
        <f>IF(Audit_Data[[#This Row],[Z_CostContact]]=3,"Valid","Invalid")</f>
        <v>Valid</v>
      </c>
      <c r="AR271" t="str">
        <f t="shared" si="62"/>
        <v>Valid</v>
      </c>
      <c r="AS271" t="str">
        <f t="shared" si="63"/>
        <v>Valid</v>
      </c>
    </row>
    <row r="272" spans="1:45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 t="str">
        <f t="shared" si="52"/>
        <v>Ok</v>
      </c>
      <c r="AE272" t="str">
        <f>IF(AND(Audit_Data[[#This Row],[Year_Birth]]&gt;=1900,Audit_Data[[#This Row],[Year_Birth]]&lt;=2010),"OK","Invalid")</f>
        <v>OK</v>
      </c>
      <c r="AF272" t="str">
        <f t="shared" si="53"/>
        <v>Valid</v>
      </c>
      <c r="AG272" t="str">
        <f t="shared" si="54"/>
        <v>Valid</v>
      </c>
      <c r="AH272" t="str">
        <f t="shared" si="55"/>
        <v>Valid</v>
      </c>
      <c r="AI272" t="str">
        <f t="shared" si="56"/>
        <v>Valid</v>
      </c>
      <c r="AJ272" t="str">
        <f t="shared" si="57"/>
        <v>Valid</v>
      </c>
      <c r="AK272" t="str">
        <f t="shared" si="64"/>
        <v xml:space="preserve">Valid </v>
      </c>
      <c r="AL272" t="str">
        <f>IF(AND(Audit_Data[[#This Row],[Recency]]&gt;=0,Audit_Data[[#This Row],[Recency]]&lt;=100),"Valid","Invalid")</f>
        <v>Valid</v>
      </c>
      <c r="AM272" t="str">
        <f t="shared" si="58"/>
        <v>Valid</v>
      </c>
      <c r="AN272" t="str">
        <f t="shared" si="59"/>
        <v>Valid</v>
      </c>
      <c r="AO272" t="str">
        <f t="shared" si="60"/>
        <v>Valid</v>
      </c>
      <c r="AP272" t="str">
        <f t="shared" si="61"/>
        <v>Valid</v>
      </c>
      <c r="AQ272" t="str">
        <f>IF(Audit_Data[[#This Row],[Z_CostContact]]=3,"Valid","Invalid")</f>
        <v>Valid</v>
      </c>
      <c r="AR272" t="str">
        <f t="shared" si="62"/>
        <v>Valid</v>
      </c>
      <c r="AS272" t="str">
        <f t="shared" si="63"/>
        <v>Valid</v>
      </c>
    </row>
    <row r="273" spans="1:45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 t="str">
        <f t="shared" si="52"/>
        <v>Ok</v>
      </c>
      <c r="AE273" t="str">
        <f>IF(AND(Audit_Data[[#This Row],[Year_Birth]]&gt;=1900,Audit_Data[[#This Row],[Year_Birth]]&lt;=2010),"OK","Invalid")</f>
        <v>OK</v>
      </c>
      <c r="AF273" t="str">
        <f t="shared" si="53"/>
        <v>Valid</v>
      </c>
      <c r="AG273" t="str">
        <f t="shared" si="54"/>
        <v>Valid</v>
      </c>
      <c r="AH273" t="str">
        <f t="shared" si="55"/>
        <v>Valid</v>
      </c>
      <c r="AI273" t="str">
        <f t="shared" si="56"/>
        <v>Valid</v>
      </c>
      <c r="AJ273" t="str">
        <f t="shared" si="57"/>
        <v>Valid</v>
      </c>
      <c r="AK273" t="str">
        <f t="shared" si="64"/>
        <v xml:space="preserve">Valid </v>
      </c>
      <c r="AL273" t="str">
        <f>IF(AND(Audit_Data[[#This Row],[Recency]]&gt;=0,Audit_Data[[#This Row],[Recency]]&lt;=100),"Valid","Invalid")</f>
        <v>Valid</v>
      </c>
      <c r="AM273" t="str">
        <f t="shared" si="58"/>
        <v>Valid</v>
      </c>
      <c r="AN273" t="str">
        <f t="shared" si="59"/>
        <v>Valid</v>
      </c>
      <c r="AO273" t="str">
        <f t="shared" si="60"/>
        <v>Valid</v>
      </c>
      <c r="AP273" t="str">
        <f t="shared" si="61"/>
        <v>Valid</v>
      </c>
      <c r="AQ273" t="str">
        <f>IF(Audit_Data[[#This Row],[Z_CostContact]]=3,"Valid","Invalid")</f>
        <v>Valid</v>
      </c>
      <c r="AR273" t="str">
        <f t="shared" si="62"/>
        <v>Valid</v>
      </c>
      <c r="AS273" t="str">
        <f t="shared" si="63"/>
        <v>Valid</v>
      </c>
    </row>
    <row r="274" spans="1:45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 t="str">
        <f t="shared" si="52"/>
        <v>Ok</v>
      </c>
      <c r="AE274" t="str">
        <f>IF(AND(Audit_Data[[#This Row],[Year_Birth]]&gt;=1900,Audit_Data[[#This Row],[Year_Birth]]&lt;=2010),"OK","Invalid")</f>
        <v>OK</v>
      </c>
      <c r="AF274" t="str">
        <f t="shared" si="53"/>
        <v>Valid</v>
      </c>
      <c r="AG274" t="str">
        <f t="shared" si="54"/>
        <v>Valid</v>
      </c>
      <c r="AH274" t="str">
        <f t="shared" si="55"/>
        <v>Valid</v>
      </c>
      <c r="AI274" t="str">
        <f t="shared" si="56"/>
        <v>Valid</v>
      </c>
      <c r="AJ274" t="str">
        <f t="shared" si="57"/>
        <v>Valid</v>
      </c>
      <c r="AK274" t="str">
        <f t="shared" si="64"/>
        <v xml:space="preserve">Valid </v>
      </c>
      <c r="AL274" t="str">
        <f>IF(AND(Audit_Data[[#This Row],[Recency]]&gt;=0,Audit_Data[[#This Row],[Recency]]&lt;=100),"Valid","Invalid")</f>
        <v>Valid</v>
      </c>
      <c r="AM274" t="str">
        <f t="shared" si="58"/>
        <v>Valid</v>
      </c>
      <c r="AN274" t="str">
        <f t="shared" si="59"/>
        <v>Valid</v>
      </c>
      <c r="AO274" t="str">
        <f t="shared" si="60"/>
        <v>Valid</v>
      </c>
      <c r="AP274" t="str">
        <f t="shared" si="61"/>
        <v>Valid</v>
      </c>
      <c r="AQ274" t="str">
        <f>IF(Audit_Data[[#This Row],[Z_CostContact]]=3,"Valid","Invalid")</f>
        <v>Valid</v>
      </c>
      <c r="AR274" t="str">
        <f t="shared" si="62"/>
        <v>Valid</v>
      </c>
      <c r="AS274" t="str">
        <f t="shared" si="63"/>
        <v>Valid</v>
      </c>
    </row>
    <row r="275" spans="1:45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 t="str">
        <f t="shared" si="52"/>
        <v>Ok</v>
      </c>
      <c r="AE275" t="str">
        <f>IF(AND(Audit_Data[[#This Row],[Year_Birth]]&gt;=1900,Audit_Data[[#This Row],[Year_Birth]]&lt;=2010),"OK","Invalid")</f>
        <v>OK</v>
      </c>
      <c r="AF275" t="str">
        <f t="shared" si="53"/>
        <v>Valid</v>
      </c>
      <c r="AG275" t="str">
        <f t="shared" si="54"/>
        <v>Valid</v>
      </c>
      <c r="AH275" t="str">
        <f t="shared" si="55"/>
        <v>Valid</v>
      </c>
      <c r="AI275" t="str">
        <f t="shared" si="56"/>
        <v>Valid</v>
      </c>
      <c r="AJ275" t="str">
        <f t="shared" si="57"/>
        <v>Valid</v>
      </c>
      <c r="AK275" t="str">
        <f t="shared" si="64"/>
        <v xml:space="preserve">Valid </v>
      </c>
      <c r="AL275" t="str">
        <f>IF(AND(Audit_Data[[#This Row],[Recency]]&gt;=0,Audit_Data[[#This Row],[Recency]]&lt;=100),"Valid","Invalid")</f>
        <v>Valid</v>
      </c>
      <c r="AM275" t="str">
        <f t="shared" si="58"/>
        <v>Valid</v>
      </c>
      <c r="AN275" t="str">
        <f t="shared" si="59"/>
        <v>Valid</v>
      </c>
      <c r="AO275" t="str">
        <f t="shared" si="60"/>
        <v>Valid</v>
      </c>
      <c r="AP275" t="str">
        <f t="shared" si="61"/>
        <v>Valid</v>
      </c>
      <c r="AQ275" t="str">
        <f>IF(Audit_Data[[#This Row],[Z_CostContact]]=3,"Valid","Invalid")</f>
        <v>Valid</v>
      </c>
      <c r="AR275" t="str">
        <f t="shared" si="62"/>
        <v>Valid</v>
      </c>
      <c r="AS275" t="str">
        <f t="shared" si="63"/>
        <v>Valid</v>
      </c>
    </row>
    <row r="276" spans="1:45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 t="str">
        <f t="shared" si="52"/>
        <v>Ok</v>
      </c>
      <c r="AE276" t="str">
        <f>IF(AND(Audit_Data[[#This Row],[Year_Birth]]&gt;=1900,Audit_Data[[#This Row],[Year_Birth]]&lt;=2010),"OK","Invalid")</f>
        <v>OK</v>
      </c>
      <c r="AF276" t="str">
        <f t="shared" si="53"/>
        <v>Valid</v>
      </c>
      <c r="AG276" t="str">
        <f t="shared" si="54"/>
        <v>Valid</v>
      </c>
      <c r="AH276" t="str">
        <f t="shared" si="55"/>
        <v>Valid</v>
      </c>
      <c r="AI276" t="str">
        <f t="shared" si="56"/>
        <v>Valid</v>
      </c>
      <c r="AJ276" t="str">
        <f t="shared" si="57"/>
        <v>Valid</v>
      </c>
      <c r="AK276" t="str">
        <f t="shared" si="64"/>
        <v xml:space="preserve">Valid </v>
      </c>
      <c r="AL276" t="str">
        <f>IF(AND(Audit_Data[[#This Row],[Recency]]&gt;=0,Audit_Data[[#This Row],[Recency]]&lt;=100),"Valid","Invalid")</f>
        <v>Valid</v>
      </c>
      <c r="AM276" t="str">
        <f t="shared" si="58"/>
        <v>Valid</v>
      </c>
      <c r="AN276" t="str">
        <f t="shared" si="59"/>
        <v>Valid</v>
      </c>
      <c r="AO276" t="str">
        <f t="shared" si="60"/>
        <v>Valid</v>
      </c>
      <c r="AP276" t="str">
        <f t="shared" si="61"/>
        <v>Valid</v>
      </c>
      <c r="AQ276" t="str">
        <f>IF(Audit_Data[[#This Row],[Z_CostContact]]=3,"Valid","Invalid")</f>
        <v>Valid</v>
      </c>
      <c r="AR276" t="str">
        <f t="shared" si="62"/>
        <v>Valid</v>
      </c>
      <c r="AS276" t="str">
        <f t="shared" si="63"/>
        <v>Valid</v>
      </c>
    </row>
    <row r="277" spans="1:45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 t="str">
        <f t="shared" si="52"/>
        <v>Ok</v>
      </c>
      <c r="AE277" t="str">
        <f>IF(AND(Audit_Data[[#This Row],[Year_Birth]]&gt;=1900,Audit_Data[[#This Row],[Year_Birth]]&lt;=2010),"OK","Invalid")</f>
        <v>OK</v>
      </c>
      <c r="AF277" t="str">
        <f t="shared" si="53"/>
        <v>Valid</v>
      </c>
      <c r="AG277" t="str">
        <f t="shared" si="54"/>
        <v>Valid</v>
      </c>
      <c r="AH277" t="str">
        <f t="shared" si="55"/>
        <v>Valid</v>
      </c>
      <c r="AI277" t="str">
        <f t="shared" si="56"/>
        <v>Valid</v>
      </c>
      <c r="AJ277" t="str">
        <f t="shared" si="57"/>
        <v>Valid</v>
      </c>
      <c r="AK277" t="str">
        <f t="shared" si="64"/>
        <v xml:space="preserve">Valid </v>
      </c>
      <c r="AL277" t="str">
        <f>IF(AND(Audit_Data[[#This Row],[Recency]]&gt;=0,Audit_Data[[#This Row],[Recency]]&lt;=100),"Valid","Invalid")</f>
        <v>Valid</v>
      </c>
      <c r="AM277" t="str">
        <f t="shared" si="58"/>
        <v>Valid</v>
      </c>
      <c r="AN277" t="str">
        <f t="shared" si="59"/>
        <v>Valid</v>
      </c>
      <c r="AO277" t="str">
        <f t="shared" si="60"/>
        <v>Valid</v>
      </c>
      <c r="AP277" t="str">
        <f t="shared" si="61"/>
        <v>Valid</v>
      </c>
      <c r="AQ277" t="str">
        <f>IF(Audit_Data[[#This Row],[Z_CostContact]]=3,"Valid","Invalid")</f>
        <v>Valid</v>
      </c>
      <c r="AR277" t="str">
        <f t="shared" si="62"/>
        <v>Valid</v>
      </c>
      <c r="AS277" t="str">
        <f t="shared" si="63"/>
        <v>Valid</v>
      </c>
    </row>
    <row r="278" spans="1:45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 t="str">
        <f t="shared" si="52"/>
        <v>Ok</v>
      </c>
      <c r="AE278" t="str">
        <f>IF(AND(Audit_Data[[#This Row],[Year_Birth]]&gt;=1900,Audit_Data[[#This Row],[Year_Birth]]&lt;=2010),"OK","Invalid")</f>
        <v>OK</v>
      </c>
      <c r="AF278" t="str">
        <f t="shared" si="53"/>
        <v>Valid</v>
      </c>
      <c r="AG278" t="str">
        <f t="shared" si="54"/>
        <v>Valid</v>
      </c>
      <c r="AH278" t="str">
        <f t="shared" si="55"/>
        <v>Valid</v>
      </c>
      <c r="AI278" t="str">
        <f t="shared" si="56"/>
        <v>Valid</v>
      </c>
      <c r="AJ278" t="str">
        <f t="shared" si="57"/>
        <v>Valid</v>
      </c>
      <c r="AK278" t="str">
        <f t="shared" si="64"/>
        <v xml:space="preserve">Valid </v>
      </c>
      <c r="AL278" t="str">
        <f>IF(AND(Audit_Data[[#This Row],[Recency]]&gt;=0,Audit_Data[[#This Row],[Recency]]&lt;=100),"Valid","Invalid")</f>
        <v>Valid</v>
      </c>
      <c r="AM278" t="str">
        <f t="shared" si="58"/>
        <v>Valid</v>
      </c>
      <c r="AN278" t="str">
        <f t="shared" si="59"/>
        <v>Valid</v>
      </c>
      <c r="AO278" t="str">
        <f t="shared" si="60"/>
        <v>Valid</v>
      </c>
      <c r="AP278" t="str">
        <f t="shared" si="61"/>
        <v>Valid</v>
      </c>
      <c r="AQ278" t="str">
        <f>IF(Audit_Data[[#This Row],[Z_CostContact]]=3,"Valid","Invalid")</f>
        <v>Valid</v>
      </c>
      <c r="AR278" t="str">
        <f t="shared" si="62"/>
        <v>Valid</v>
      </c>
      <c r="AS278" t="str">
        <f t="shared" si="63"/>
        <v>Valid</v>
      </c>
    </row>
    <row r="279" spans="1:45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 t="str">
        <f t="shared" si="52"/>
        <v>Ok</v>
      </c>
      <c r="AE279" t="str">
        <f>IF(AND(Audit_Data[[#This Row],[Year_Birth]]&gt;=1900,Audit_Data[[#This Row],[Year_Birth]]&lt;=2010),"OK","Invalid")</f>
        <v>OK</v>
      </c>
      <c r="AF279" t="str">
        <f t="shared" si="53"/>
        <v>Valid</v>
      </c>
      <c r="AG279" t="str">
        <f t="shared" si="54"/>
        <v>Valid</v>
      </c>
      <c r="AH279" t="str">
        <f t="shared" si="55"/>
        <v>Valid</v>
      </c>
      <c r="AI279" t="str">
        <f t="shared" si="56"/>
        <v>Valid</v>
      </c>
      <c r="AJ279" t="str">
        <f t="shared" si="57"/>
        <v>Valid</v>
      </c>
      <c r="AK279" t="str">
        <f t="shared" si="64"/>
        <v xml:space="preserve">Valid </v>
      </c>
      <c r="AL279" t="str">
        <f>IF(AND(Audit_Data[[#This Row],[Recency]]&gt;=0,Audit_Data[[#This Row],[Recency]]&lt;=100),"Valid","Invalid")</f>
        <v>Valid</v>
      </c>
      <c r="AM279" t="str">
        <f t="shared" si="58"/>
        <v>Valid</v>
      </c>
      <c r="AN279" t="str">
        <f t="shared" si="59"/>
        <v>Valid</v>
      </c>
      <c r="AO279" t="str">
        <f t="shared" si="60"/>
        <v>Valid</v>
      </c>
      <c r="AP279" t="str">
        <f t="shared" si="61"/>
        <v>Valid</v>
      </c>
      <c r="AQ279" t="str">
        <f>IF(Audit_Data[[#This Row],[Z_CostContact]]=3,"Valid","Invalid")</f>
        <v>Valid</v>
      </c>
      <c r="AR279" t="str">
        <f t="shared" si="62"/>
        <v>Valid</v>
      </c>
      <c r="AS279" t="str">
        <f t="shared" si="63"/>
        <v>Valid</v>
      </c>
    </row>
    <row r="280" spans="1:45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 t="str">
        <f t="shared" si="52"/>
        <v>Ok</v>
      </c>
      <c r="AE280" t="str">
        <f>IF(AND(Audit_Data[[#This Row],[Year_Birth]]&gt;=1900,Audit_Data[[#This Row],[Year_Birth]]&lt;=2010),"OK","Invalid")</f>
        <v>OK</v>
      </c>
      <c r="AF280" t="str">
        <f t="shared" si="53"/>
        <v>Valid</v>
      </c>
      <c r="AG280" t="str">
        <f t="shared" si="54"/>
        <v>Valid</v>
      </c>
      <c r="AH280" t="str">
        <f t="shared" si="55"/>
        <v>Valid</v>
      </c>
      <c r="AI280" t="str">
        <f t="shared" si="56"/>
        <v>Valid</v>
      </c>
      <c r="AJ280" t="str">
        <f t="shared" si="57"/>
        <v>Valid</v>
      </c>
      <c r="AK280" t="str">
        <f t="shared" si="64"/>
        <v xml:space="preserve">Valid </v>
      </c>
      <c r="AL280" t="str">
        <f>IF(AND(Audit_Data[[#This Row],[Recency]]&gt;=0,Audit_Data[[#This Row],[Recency]]&lt;=100),"Valid","Invalid")</f>
        <v>Valid</v>
      </c>
      <c r="AM280" t="str">
        <f t="shared" si="58"/>
        <v>Valid</v>
      </c>
      <c r="AN280" t="str">
        <f t="shared" si="59"/>
        <v>Valid</v>
      </c>
      <c r="AO280" t="str">
        <f t="shared" si="60"/>
        <v>Valid</v>
      </c>
      <c r="AP280" t="str">
        <f t="shared" si="61"/>
        <v>Valid</v>
      </c>
      <c r="AQ280" t="str">
        <f>IF(Audit_Data[[#This Row],[Z_CostContact]]=3,"Valid","Invalid")</f>
        <v>Valid</v>
      </c>
      <c r="AR280" t="str">
        <f t="shared" si="62"/>
        <v>Valid</v>
      </c>
      <c r="AS280" t="str">
        <f t="shared" si="63"/>
        <v>Valid</v>
      </c>
    </row>
    <row r="281" spans="1:45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 t="str">
        <f t="shared" si="52"/>
        <v>Ok</v>
      </c>
      <c r="AE281" t="str">
        <f>IF(AND(Audit_Data[[#This Row],[Year_Birth]]&gt;=1900,Audit_Data[[#This Row],[Year_Birth]]&lt;=2010),"OK","Invalid")</f>
        <v>OK</v>
      </c>
      <c r="AF281" t="str">
        <f t="shared" si="53"/>
        <v>Valid</v>
      </c>
      <c r="AG281" t="str">
        <f t="shared" si="54"/>
        <v>Valid</v>
      </c>
      <c r="AH281" t="str">
        <f t="shared" si="55"/>
        <v>Valid</v>
      </c>
      <c r="AI281" t="str">
        <f t="shared" si="56"/>
        <v>Valid</v>
      </c>
      <c r="AJ281" t="str">
        <f t="shared" si="57"/>
        <v>Valid</v>
      </c>
      <c r="AK281" t="str">
        <f t="shared" si="64"/>
        <v xml:space="preserve">Valid </v>
      </c>
      <c r="AL281" t="str">
        <f>IF(AND(Audit_Data[[#This Row],[Recency]]&gt;=0,Audit_Data[[#This Row],[Recency]]&lt;=100),"Valid","Invalid")</f>
        <v>Valid</v>
      </c>
      <c r="AM281" t="str">
        <f t="shared" si="58"/>
        <v>Valid</v>
      </c>
      <c r="AN281" t="str">
        <f t="shared" si="59"/>
        <v>Valid</v>
      </c>
      <c r="AO281" t="str">
        <f t="shared" si="60"/>
        <v>Valid</v>
      </c>
      <c r="AP281" t="str">
        <f t="shared" si="61"/>
        <v>Valid</v>
      </c>
      <c r="AQ281" t="str">
        <f>IF(Audit_Data[[#This Row],[Z_CostContact]]=3,"Valid","Invalid")</f>
        <v>Valid</v>
      </c>
      <c r="AR281" t="str">
        <f t="shared" si="62"/>
        <v>Valid</v>
      </c>
      <c r="AS281" t="str">
        <f t="shared" si="63"/>
        <v>Valid</v>
      </c>
    </row>
    <row r="282" spans="1:45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 t="str">
        <f t="shared" si="52"/>
        <v>Ok</v>
      </c>
      <c r="AE282" t="str">
        <f>IF(AND(Audit_Data[[#This Row],[Year_Birth]]&gt;=1900,Audit_Data[[#This Row],[Year_Birth]]&lt;=2010),"OK","Invalid")</f>
        <v>OK</v>
      </c>
      <c r="AF282" t="str">
        <f t="shared" si="53"/>
        <v>Valid</v>
      </c>
      <c r="AG282" t="str">
        <f t="shared" si="54"/>
        <v>Valid</v>
      </c>
      <c r="AH282" t="str">
        <f t="shared" si="55"/>
        <v>Valid</v>
      </c>
      <c r="AI282" t="str">
        <f t="shared" si="56"/>
        <v>Valid</v>
      </c>
      <c r="AJ282" t="str">
        <f t="shared" si="57"/>
        <v>Valid</v>
      </c>
      <c r="AK282" t="str">
        <f t="shared" si="64"/>
        <v xml:space="preserve">Valid </v>
      </c>
      <c r="AL282" t="str">
        <f>IF(AND(Audit_Data[[#This Row],[Recency]]&gt;=0,Audit_Data[[#This Row],[Recency]]&lt;=100),"Valid","Invalid")</f>
        <v>Valid</v>
      </c>
      <c r="AM282" t="str">
        <f t="shared" si="58"/>
        <v>Valid</v>
      </c>
      <c r="AN282" t="str">
        <f t="shared" si="59"/>
        <v>Valid</v>
      </c>
      <c r="AO282" t="str">
        <f t="shared" si="60"/>
        <v>Valid</v>
      </c>
      <c r="AP282" t="str">
        <f t="shared" si="61"/>
        <v>Valid</v>
      </c>
      <c r="AQ282" t="str">
        <f>IF(Audit_Data[[#This Row],[Z_CostContact]]=3,"Valid","Invalid")</f>
        <v>Valid</v>
      </c>
      <c r="AR282" t="str">
        <f t="shared" si="62"/>
        <v>Valid</v>
      </c>
      <c r="AS282" t="str">
        <f t="shared" si="63"/>
        <v>Valid</v>
      </c>
    </row>
    <row r="283" spans="1:45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 t="str">
        <f t="shared" si="52"/>
        <v>Ok</v>
      </c>
      <c r="AE283" t="str">
        <f>IF(AND(Audit_Data[[#This Row],[Year_Birth]]&gt;=1900,Audit_Data[[#This Row],[Year_Birth]]&lt;=2010),"OK","Invalid")</f>
        <v>OK</v>
      </c>
      <c r="AF283" t="str">
        <f t="shared" si="53"/>
        <v>Valid</v>
      </c>
      <c r="AG283" t="str">
        <f t="shared" si="54"/>
        <v>Valid</v>
      </c>
      <c r="AH283" t="str">
        <f t="shared" si="55"/>
        <v>Valid</v>
      </c>
      <c r="AI283" t="str">
        <f t="shared" si="56"/>
        <v>Valid</v>
      </c>
      <c r="AJ283" t="str">
        <f t="shared" si="57"/>
        <v>Valid</v>
      </c>
      <c r="AK283" t="str">
        <f t="shared" si="64"/>
        <v xml:space="preserve">Valid </v>
      </c>
      <c r="AL283" t="str">
        <f>IF(AND(Audit_Data[[#This Row],[Recency]]&gt;=0,Audit_Data[[#This Row],[Recency]]&lt;=100),"Valid","Invalid")</f>
        <v>Valid</v>
      </c>
      <c r="AM283" t="str">
        <f t="shared" si="58"/>
        <v>Valid</v>
      </c>
      <c r="AN283" t="str">
        <f t="shared" si="59"/>
        <v>Valid</v>
      </c>
      <c r="AO283" t="str">
        <f t="shared" si="60"/>
        <v>Valid</v>
      </c>
      <c r="AP283" t="str">
        <f t="shared" si="61"/>
        <v>Valid</v>
      </c>
      <c r="AQ283" t="str">
        <f>IF(Audit_Data[[#This Row],[Z_CostContact]]=3,"Valid","Invalid")</f>
        <v>Valid</v>
      </c>
      <c r="AR283" t="str">
        <f t="shared" si="62"/>
        <v>Valid</v>
      </c>
      <c r="AS283" t="str">
        <f t="shared" si="63"/>
        <v>Valid</v>
      </c>
    </row>
    <row r="284" spans="1:45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 t="str">
        <f t="shared" si="52"/>
        <v>Ok</v>
      </c>
      <c r="AE284" t="str">
        <f>IF(AND(Audit_Data[[#This Row],[Year_Birth]]&gt;=1900,Audit_Data[[#This Row],[Year_Birth]]&lt;=2010),"OK","Invalid")</f>
        <v>OK</v>
      </c>
      <c r="AF284" t="str">
        <f t="shared" si="53"/>
        <v>Valid</v>
      </c>
      <c r="AG284" t="str">
        <f t="shared" si="54"/>
        <v>Valid</v>
      </c>
      <c r="AH284" t="str">
        <f t="shared" si="55"/>
        <v>Valid</v>
      </c>
      <c r="AI284" t="str">
        <f t="shared" si="56"/>
        <v>Valid</v>
      </c>
      <c r="AJ284" t="str">
        <f t="shared" si="57"/>
        <v>Valid</v>
      </c>
      <c r="AK284" t="str">
        <f t="shared" si="64"/>
        <v xml:space="preserve">Valid </v>
      </c>
      <c r="AL284" t="str">
        <f>IF(AND(Audit_Data[[#This Row],[Recency]]&gt;=0,Audit_Data[[#This Row],[Recency]]&lt;=100),"Valid","Invalid")</f>
        <v>Valid</v>
      </c>
      <c r="AM284" t="str">
        <f t="shared" si="58"/>
        <v>Valid</v>
      </c>
      <c r="AN284" t="str">
        <f t="shared" si="59"/>
        <v>Valid</v>
      </c>
      <c r="AO284" t="str">
        <f t="shared" si="60"/>
        <v>Valid</v>
      </c>
      <c r="AP284" t="str">
        <f t="shared" si="61"/>
        <v>Valid</v>
      </c>
      <c r="AQ284" t="str">
        <f>IF(Audit_Data[[#This Row],[Z_CostContact]]=3,"Valid","Invalid")</f>
        <v>Valid</v>
      </c>
      <c r="AR284" t="str">
        <f t="shared" si="62"/>
        <v>Valid</v>
      </c>
      <c r="AS284" t="str">
        <f t="shared" si="63"/>
        <v>Valid</v>
      </c>
    </row>
    <row r="285" spans="1:45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 t="str">
        <f t="shared" si="52"/>
        <v>Ok</v>
      </c>
      <c r="AE285" t="str">
        <f>IF(AND(Audit_Data[[#This Row],[Year_Birth]]&gt;=1900,Audit_Data[[#This Row],[Year_Birth]]&lt;=2010),"OK","Invalid")</f>
        <v>OK</v>
      </c>
      <c r="AF285" t="str">
        <f t="shared" si="53"/>
        <v>Valid</v>
      </c>
      <c r="AG285" t="str">
        <f t="shared" si="54"/>
        <v>Valid</v>
      </c>
      <c r="AH285" t="str">
        <f t="shared" si="55"/>
        <v>Valid</v>
      </c>
      <c r="AI285" t="str">
        <f t="shared" si="56"/>
        <v>Valid</v>
      </c>
      <c r="AJ285" t="str">
        <f t="shared" si="57"/>
        <v>Valid</v>
      </c>
      <c r="AK285" t="str">
        <f t="shared" si="64"/>
        <v xml:space="preserve">Valid </v>
      </c>
      <c r="AL285" t="str">
        <f>IF(AND(Audit_Data[[#This Row],[Recency]]&gt;=0,Audit_Data[[#This Row],[Recency]]&lt;=100),"Valid","Invalid")</f>
        <v>Valid</v>
      </c>
      <c r="AM285" t="str">
        <f t="shared" si="58"/>
        <v>Valid</v>
      </c>
      <c r="AN285" t="str">
        <f t="shared" si="59"/>
        <v>Valid</v>
      </c>
      <c r="AO285" t="str">
        <f t="shared" si="60"/>
        <v>Valid</v>
      </c>
      <c r="AP285" t="str">
        <f t="shared" si="61"/>
        <v>Valid</v>
      </c>
      <c r="AQ285" t="str">
        <f>IF(Audit_Data[[#This Row],[Z_CostContact]]=3,"Valid","Invalid")</f>
        <v>Valid</v>
      </c>
      <c r="AR285" t="str">
        <f t="shared" si="62"/>
        <v>Valid</v>
      </c>
      <c r="AS285" t="str">
        <f t="shared" si="63"/>
        <v>Valid</v>
      </c>
    </row>
    <row r="286" spans="1:45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 t="str">
        <f t="shared" si="52"/>
        <v>Ok</v>
      </c>
      <c r="AE286" t="str">
        <f>IF(AND(Audit_Data[[#This Row],[Year_Birth]]&gt;=1900,Audit_Data[[#This Row],[Year_Birth]]&lt;=2010),"OK","Invalid")</f>
        <v>OK</v>
      </c>
      <c r="AF286" t="str">
        <f t="shared" si="53"/>
        <v>Valid</v>
      </c>
      <c r="AG286" t="str">
        <f t="shared" si="54"/>
        <v>Valid</v>
      </c>
      <c r="AH286" t="str">
        <f t="shared" si="55"/>
        <v>Valid</v>
      </c>
      <c r="AI286" t="str">
        <f t="shared" si="56"/>
        <v>Valid</v>
      </c>
      <c r="AJ286" t="str">
        <f t="shared" si="57"/>
        <v>Valid</v>
      </c>
      <c r="AK286" t="str">
        <f t="shared" si="64"/>
        <v xml:space="preserve">Valid </v>
      </c>
      <c r="AL286" t="str">
        <f>IF(AND(Audit_Data[[#This Row],[Recency]]&gt;=0,Audit_Data[[#This Row],[Recency]]&lt;=100),"Valid","Invalid")</f>
        <v>Valid</v>
      </c>
      <c r="AM286" t="str">
        <f t="shared" si="58"/>
        <v>Valid</v>
      </c>
      <c r="AN286" t="str">
        <f t="shared" si="59"/>
        <v>Valid</v>
      </c>
      <c r="AO286" t="str">
        <f t="shared" si="60"/>
        <v>Valid</v>
      </c>
      <c r="AP286" t="str">
        <f t="shared" si="61"/>
        <v>Valid</v>
      </c>
      <c r="AQ286" t="str">
        <f>IF(Audit_Data[[#This Row],[Z_CostContact]]=3,"Valid","Invalid")</f>
        <v>Valid</v>
      </c>
      <c r="AR286" t="str">
        <f t="shared" si="62"/>
        <v>Valid</v>
      </c>
      <c r="AS286" t="str">
        <f t="shared" si="63"/>
        <v>Valid</v>
      </c>
    </row>
    <row r="287" spans="1:45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 t="str">
        <f t="shared" si="52"/>
        <v>Ok</v>
      </c>
      <c r="AE287" t="str">
        <f>IF(AND(Audit_Data[[#This Row],[Year_Birth]]&gt;=1900,Audit_Data[[#This Row],[Year_Birth]]&lt;=2010),"OK","Invalid")</f>
        <v>OK</v>
      </c>
      <c r="AF287" t="str">
        <f t="shared" si="53"/>
        <v>Valid</v>
      </c>
      <c r="AG287" t="str">
        <f t="shared" si="54"/>
        <v>Valid</v>
      </c>
      <c r="AH287" t="str">
        <f t="shared" si="55"/>
        <v>Valid</v>
      </c>
      <c r="AI287" t="str">
        <f t="shared" si="56"/>
        <v>Valid</v>
      </c>
      <c r="AJ287" t="str">
        <f t="shared" si="57"/>
        <v>Valid</v>
      </c>
      <c r="AK287" t="str">
        <f t="shared" si="64"/>
        <v xml:space="preserve">Valid </v>
      </c>
      <c r="AL287" t="str">
        <f>IF(AND(Audit_Data[[#This Row],[Recency]]&gt;=0,Audit_Data[[#This Row],[Recency]]&lt;=100),"Valid","Invalid")</f>
        <v>Valid</v>
      </c>
      <c r="AM287" t="str">
        <f t="shared" si="58"/>
        <v>Valid</v>
      </c>
      <c r="AN287" t="str">
        <f t="shared" si="59"/>
        <v>Valid</v>
      </c>
      <c r="AO287" t="str">
        <f t="shared" si="60"/>
        <v>Valid</v>
      </c>
      <c r="AP287" t="str">
        <f t="shared" si="61"/>
        <v>Valid</v>
      </c>
      <c r="AQ287" t="str">
        <f>IF(Audit_Data[[#This Row],[Z_CostContact]]=3,"Valid","Invalid")</f>
        <v>Valid</v>
      </c>
      <c r="AR287" t="str">
        <f t="shared" si="62"/>
        <v>Valid</v>
      </c>
      <c r="AS287" t="str">
        <f t="shared" si="63"/>
        <v>Valid</v>
      </c>
    </row>
    <row r="288" spans="1:45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 t="str">
        <f t="shared" si="52"/>
        <v>Ok</v>
      </c>
      <c r="AE288" t="str">
        <f>IF(AND(Audit_Data[[#This Row],[Year_Birth]]&gt;=1900,Audit_Data[[#This Row],[Year_Birth]]&lt;=2010),"OK","Invalid")</f>
        <v>OK</v>
      </c>
      <c r="AF288" t="str">
        <f t="shared" si="53"/>
        <v>Valid</v>
      </c>
      <c r="AG288" t="str">
        <f t="shared" si="54"/>
        <v>Valid</v>
      </c>
      <c r="AH288" t="str">
        <f t="shared" si="55"/>
        <v>Valid</v>
      </c>
      <c r="AI288" t="str">
        <f t="shared" si="56"/>
        <v>Valid</v>
      </c>
      <c r="AJ288" t="str">
        <f t="shared" si="57"/>
        <v>Valid</v>
      </c>
      <c r="AK288" t="str">
        <f t="shared" si="64"/>
        <v xml:space="preserve">Valid </v>
      </c>
      <c r="AL288" t="str">
        <f>IF(AND(Audit_Data[[#This Row],[Recency]]&gt;=0,Audit_Data[[#This Row],[Recency]]&lt;=100),"Valid","Invalid")</f>
        <v>Valid</v>
      </c>
      <c r="AM288" t="str">
        <f t="shared" si="58"/>
        <v>Valid</v>
      </c>
      <c r="AN288" t="str">
        <f t="shared" si="59"/>
        <v>Valid</v>
      </c>
      <c r="AO288" t="str">
        <f t="shared" si="60"/>
        <v>Valid</v>
      </c>
      <c r="AP288" t="str">
        <f t="shared" si="61"/>
        <v>Valid</v>
      </c>
      <c r="AQ288" t="str">
        <f>IF(Audit_Data[[#This Row],[Z_CostContact]]=3,"Valid","Invalid")</f>
        <v>Valid</v>
      </c>
      <c r="AR288" t="str">
        <f t="shared" si="62"/>
        <v>Valid</v>
      </c>
      <c r="AS288" t="str">
        <f t="shared" si="63"/>
        <v>Valid</v>
      </c>
    </row>
    <row r="289" spans="1:45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 t="str">
        <f t="shared" si="52"/>
        <v>Ok</v>
      </c>
      <c r="AE289" t="str">
        <f>IF(AND(Audit_Data[[#This Row],[Year_Birth]]&gt;=1900,Audit_Data[[#This Row],[Year_Birth]]&lt;=2010),"OK","Invalid")</f>
        <v>OK</v>
      </c>
      <c r="AF289" t="str">
        <f t="shared" si="53"/>
        <v>Valid</v>
      </c>
      <c r="AG289" t="str">
        <f t="shared" si="54"/>
        <v>Valid</v>
      </c>
      <c r="AH289" t="str">
        <f t="shared" si="55"/>
        <v>Valid</v>
      </c>
      <c r="AI289" t="str">
        <f t="shared" si="56"/>
        <v>Valid</v>
      </c>
      <c r="AJ289" t="str">
        <f t="shared" si="57"/>
        <v>Valid</v>
      </c>
      <c r="AK289" t="str">
        <f t="shared" si="64"/>
        <v xml:space="preserve">Valid </v>
      </c>
      <c r="AL289" t="str">
        <f>IF(AND(Audit_Data[[#This Row],[Recency]]&gt;=0,Audit_Data[[#This Row],[Recency]]&lt;=100),"Valid","Invalid")</f>
        <v>Valid</v>
      </c>
      <c r="AM289" t="str">
        <f t="shared" si="58"/>
        <v>Valid</v>
      </c>
      <c r="AN289" t="str">
        <f t="shared" si="59"/>
        <v>Valid</v>
      </c>
      <c r="AO289" t="str">
        <f t="shared" si="60"/>
        <v>Valid</v>
      </c>
      <c r="AP289" t="str">
        <f t="shared" si="61"/>
        <v>Valid</v>
      </c>
      <c r="AQ289" t="str">
        <f>IF(Audit_Data[[#This Row],[Z_CostContact]]=3,"Valid","Invalid")</f>
        <v>Valid</v>
      </c>
      <c r="AR289" t="str">
        <f t="shared" si="62"/>
        <v>Valid</v>
      </c>
      <c r="AS289" t="str">
        <f t="shared" si="63"/>
        <v>Valid</v>
      </c>
    </row>
    <row r="290" spans="1:45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 t="str">
        <f t="shared" si="52"/>
        <v>Ok</v>
      </c>
      <c r="AE290" t="str">
        <f>IF(AND(Audit_Data[[#This Row],[Year_Birth]]&gt;=1900,Audit_Data[[#This Row],[Year_Birth]]&lt;=2010),"OK","Invalid")</f>
        <v>OK</v>
      </c>
      <c r="AF290" t="str">
        <f t="shared" si="53"/>
        <v>Valid</v>
      </c>
      <c r="AG290" t="str">
        <f t="shared" si="54"/>
        <v>Valid</v>
      </c>
      <c r="AH290" t="str">
        <f t="shared" si="55"/>
        <v>Valid</v>
      </c>
      <c r="AI290" t="str">
        <f t="shared" si="56"/>
        <v>Valid</v>
      </c>
      <c r="AJ290" t="str">
        <f t="shared" si="57"/>
        <v>Valid</v>
      </c>
      <c r="AK290" t="str">
        <f t="shared" si="64"/>
        <v xml:space="preserve">Valid </v>
      </c>
      <c r="AL290" t="str">
        <f>IF(AND(Audit_Data[[#This Row],[Recency]]&gt;=0,Audit_Data[[#This Row],[Recency]]&lt;=100),"Valid","Invalid")</f>
        <v>Valid</v>
      </c>
      <c r="AM290" t="str">
        <f t="shared" si="58"/>
        <v>Valid</v>
      </c>
      <c r="AN290" t="str">
        <f t="shared" si="59"/>
        <v>Valid</v>
      </c>
      <c r="AO290" t="str">
        <f t="shared" si="60"/>
        <v>Valid</v>
      </c>
      <c r="AP290" t="str">
        <f t="shared" si="61"/>
        <v>Valid</v>
      </c>
      <c r="AQ290" t="str">
        <f>IF(Audit_Data[[#This Row],[Z_CostContact]]=3,"Valid","Invalid")</f>
        <v>Valid</v>
      </c>
      <c r="AR290" t="str">
        <f t="shared" si="62"/>
        <v>Valid</v>
      </c>
      <c r="AS290" t="str">
        <f t="shared" si="63"/>
        <v>Valid</v>
      </c>
    </row>
    <row r="291" spans="1:45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 t="str">
        <f t="shared" si="52"/>
        <v>Ok</v>
      </c>
      <c r="AE291" t="str">
        <f>IF(AND(Audit_Data[[#This Row],[Year_Birth]]&gt;=1900,Audit_Data[[#This Row],[Year_Birth]]&lt;=2010),"OK","Invalid")</f>
        <v>OK</v>
      </c>
      <c r="AF291" t="str">
        <f t="shared" si="53"/>
        <v>Valid</v>
      </c>
      <c r="AG291" t="str">
        <f t="shared" si="54"/>
        <v>Valid</v>
      </c>
      <c r="AH291" t="str">
        <f t="shared" si="55"/>
        <v>Valid</v>
      </c>
      <c r="AI291" t="str">
        <f t="shared" si="56"/>
        <v>Valid</v>
      </c>
      <c r="AJ291" t="str">
        <f t="shared" si="57"/>
        <v>Valid</v>
      </c>
      <c r="AK291" t="str">
        <f t="shared" si="64"/>
        <v xml:space="preserve">Valid </v>
      </c>
      <c r="AL291" t="str">
        <f>IF(AND(Audit_Data[[#This Row],[Recency]]&gt;=0,Audit_Data[[#This Row],[Recency]]&lt;=100),"Valid","Invalid")</f>
        <v>Valid</v>
      </c>
      <c r="AM291" t="str">
        <f t="shared" si="58"/>
        <v>Valid</v>
      </c>
      <c r="AN291" t="str">
        <f t="shared" si="59"/>
        <v>Valid</v>
      </c>
      <c r="AO291" t="str">
        <f t="shared" si="60"/>
        <v>Valid</v>
      </c>
      <c r="AP291" t="str">
        <f t="shared" si="61"/>
        <v>Valid</v>
      </c>
      <c r="AQ291" t="str">
        <f>IF(Audit_Data[[#This Row],[Z_CostContact]]=3,"Valid","Invalid")</f>
        <v>Valid</v>
      </c>
      <c r="AR291" t="str">
        <f t="shared" si="62"/>
        <v>Valid</v>
      </c>
      <c r="AS291" t="str">
        <f t="shared" si="63"/>
        <v>Valid</v>
      </c>
    </row>
    <row r="292" spans="1:45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 t="str">
        <f t="shared" si="52"/>
        <v>Ok</v>
      </c>
      <c r="AE292" t="str">
        <f>IF(AND(Audit_Data[[#This Row],[Year_Birth]]&gt;=1900,Audit_Data[[#This Row],[Year_Birth]]&lt;=2010),"OK","Invalid")</f>
        <v>OK</v>
      </c>
      <c r="AF292" t="str">
        <f t="shared" si="53"/>
        <v>Valid</v>
      </c>
      <c r="AG292" t="str">
        <f t="shared" si="54"/>
        <v>Valid</v>
      </c>
      <c r="AH292" t="str">
        <f t="shared" si="55"/>
        <v>Valid</v>
      </c>
      <c r="AI292" t="str">
        <f t="shared" si="56"/>
        <v>Valid</v>
      </c>
      <c r="AJ292" t="str">
        <f t="shared" si="57"/>
        <v>Valid</v>
      </c>
      <c r="AK292" t="str">
        <f t="shared" si="64"/>
        <v xml:space="preserve">Valid </v>
      </c>
      <c r="AL292" t="str">
        <f>IF(AND(Audit_Data[[#This Row],[Recency]]&gt;=0,Audit_Data[[#This Row],[Recency]]&lt;=100),"Valid","Invalid")</f>
        <v>Valid</v>
      </c>
      <c r="AM292" t="str">
        <f t="shared" si="58"/>
        <v>Valid</v>
      </c>
      <c r="AN292" t="str">
        <f t="shared" si="59"/>
        <v>Valid</v>
      </c>
      <c r="AO292" t="str">
        <f t="shared" si="60"/>
        <v>Valid</v>
      </c>
      <c r="AP292" t="str">
        <f t="shared" si="61"/>
        <v>Valid</v>
      </c>
      <c r="AQ292" t="str">
        <f>IF(Audit_Data[[#This Row],[Z_CostContact]]=3,"Valid","Invalid")</f>
        <v>Valid</v>
      </c>
      <c r="AR292" t="str">
        <f t="shared" si="62"/>
        <v>Valid</v>
      </c>
      <c r="AS292" t="str">
        <f t="shared" si="63"/>
        <v>Valid</v>
      </c>
    </row>
    <row r="293" spans="1:45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 t="str">
        <f t="shared" si="52"/>
        <v>Ok</v>
      </c>
      <c r="AE293" t="str">
        <f>IF(AND(Audit_Data[[#This Row],[Year_Birth]]&gt;=1900,Audit_Data[[#This Row],[Year_Birth]]&lt;=2010),"OK","Invalid")</f>
        <v>OK</v>
      </c>
      <c r="AF293" t="str">
        <f t="shared" si="53"/>
        <v>Valid</v>
      </c>
      <c r="AG293" t="str">
        <f t="shared" si="54"/>
        <v>Valid</v>
      </c>
      <c r="AH293" t="str">
        <f t="shared" si="55"/>
        <v>Valid</v>
      </c>
      <c r="AI293" t="str">
        <f t="shared" si="56"/>
        <v>Valid</v>
      </c>
      <c r="AJ293" t="str">
        <f t="shared" si="57"/>
        <v>Valid</v>
      </c>
      <c r="AK293" t="str">
        <f t="shared" si="64"/>
        <v xml:space="preserve">Valid </v>
      </c>
      <c r="AL293" t="str">
        <f>IF(AND(Audit_Data[[#This Row],[Recency]]&gt;=0,Audit_Data[[#This Row],[Recency]]&lt;=100),"Valid","Invalid")</f>
        <v>Valid</v>
      </c>
      <c r="AM293" t="str">
        <f t="shared" si="58"/>
        <v>Valid</v>
      </c>
      <c r="AN293" t="str">
        <f t="shared" si="59"/>
        <v>Valid</v>
      </c>
      <c r="AO293" t="str">
        <f t="shared" si="60"/>
        <v>Valid</v>
      </c>
      <c r="AP293" t="str">
        <f t="shared" si="61"/>
        <v>Valid</v>
      </c>
      <c r="AQ293" t="str">
        <f>IF(Audit_Data[[#This Row],[Z_CostContact]]=3,"Valid","Invalid")</f>
        <v>Valid</v>
      </c>
      <c r="AR293" t="str">
        <f t="shared" si="62"/>
        <v>Valid</v>
      </c>
      <c r="AS293" t="str">
        <f t="shared" si="63"/>
        <v>Valid</v>
      </c>
    </row>
    <row r="294" spans="1:45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 t="str">
        <f t="shared" si="52"/>
        <v>Ok</v>
      </c>
      <c r="AE294" t="str">
        <f>IF(AND(Audit_Data[[#This Row],[Year_Birth]]&gt;=1900,Audit_Data[[#This Row],[Year_Birth]]&lt;=2010),"OK","Invalid")</f>
        <v>OK</v>
      </c>
      <c r="AF294" t="str">
        <f t="shared" si="53"/>
        <v>Valid</v>
      </c>
      <c r="AG294" t="str">
        <f t="shared" si="54"/>
        <v>Valid</v>
      </c>
      <c r="AH294" t="str">
        <f t="shared" si="55"/>
        <v>Valid</v>
      </c>
      <c r="AI294" t="str">
        <f t="shared" si="56"/>
        <v>Valid</v>
      </c>
      <c r="AJ294" t="str">
        <f t="shared" si="57"/>
        <v>Valid</v>
      </c>
      <c r="AK294" t="str">
        <f t="shared" si="64"/>
        <v xml:space="preserve">Valid </v>
      </c>
      <c r="AL294" t="str">
        <f>IF(AND(Audit_Data[[#This Row],[Recency]]&gt;=0,Audit_Data[[#This Row],[Recency]]&lt;=100),"Valid","Invalid")</f>
        <v>Valid</v>
      </c>
      <c r="AM294" t="str">
        <f t="shared" si="58"/>
        <v>Valid</v>
      </c>
      <c r="AN294" t="str">
        <f t="shared" si="59"/>
        <v>Valid</v>
      </c>
      <c r="AO294" t="str">
        <f t="shared" si="60"/>
        <v>Valid</v>
      </c>
      <c r="AP294" t="str">
        <f t="shared" si="61"/>
        <v>Valid</v>
      </c>
      <c r="AQ294" t="str">
        <f>IF(Audit_Data[[#This Row],[Z_CostContact]]=3,"Valid","Invalid")</f>
        <v>Valid</v>
      </c>
      <c r="AR294" t="str">
        <f t="shared" si="62"/>
        <v>Valid</v>
      </c>
      <c r="AS294" t="str">
        <f t="shared" si="63"/>
        <v>Valid</v>
      </c>
    </row>
    <row r="295" spans="1:45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 t="str">
        <f t="shared" si="52"/>
        <v>Ok</v>
      </c>
      <c r="AE295" t="str">
        <f>IF(AND(Audit_Data[[#This Row],[Year_Birth]]&gt;=1900,Audit_Data[[#This Row],[Year_Birth]]&lt;=2010),"OK","Invalid")</f>
        <v>OK</v>
      </c>
      <c r="AF295" t="str">
        <f t="shared" si="53"/>
        <v>Valid</v>
      </c>
      <c r="AG295" t="str">
        <f t="shared" si="54"/>
        <v>Valid</v>
      </c>
      <c r="AH295" t="str">
        <f t="shared" si="55"/>
        <v>Valid</v>
      </c>
      <c r="AI295" t="str">
        <f t="shared" si="56"/>
        <v>Valid</v>
      </c>
      <c r="AJ295" t="str">
        <f t="shared" si="57"/>
        <v>Valid</v>
      </c>
      <c r="AK295" t="str">
        <f t="shared" si="64"/>
        <v xml:space="preserve">Valid </v>
      </c>
      <c r="AL295" t="str">
        <f>IF(AND(Audit_Data[[#This Row],[Recency]]&gt;=0,Audit_Data[[#This Row],[Recency]]&lt;=100),"Valid","Invalid")</f>
        <v>Valid</v>
      </c>
      <c r="AM295" t="str">
        <f t="shared" si="58"/>
        <v>Valid</v>
      </c>
      <c r="AN295" t="str">
        <f t="shared" si="59"/>
        <v>Valid</v>
      </c>
      <c r="AO295" t="str">
        <f t="shared" si="60"/>
        <v>Valid</v>
      </c>
      <c r="AP295" t="str">
        <f t="shared" si="61"/>
        <v>Valid</v>
      </c>
      <c r="AQ295" t="str">
        <f>IF(Audit_Data[[#This Row],[Z_CostContact]]=3,"Valid","Invalid")</f>
        <v>Valid</v>
      </c>
      <c r="AR295" t="str">
        <f t="shared" si="62"/>
        <v>Valid</v>
      </c>
      <c r="AS295" t="str">
        <f t="shared" si="63"/>
        <v>Valid</v>
      </c>
    </row>
    <row r="296" spans="1:45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 t="str">
        <f t="shared" si="52"/>
        <v>Ok</v>
      </c>
      <c r="AE296" t="str">
        <f>IF(AND(Audit_Data[[#This Row],[Year_Birth]]&gt;=1900,Audit_Data[[#This Row],[Year_Birth]]&lt;=2010),"OK","Invalid")</f>
        <v>OK</v>
      </c>
      <c r="AF296" t="str">
        <f t="shared" si="53"/>
        <v>Valid</v>
      </c>
      <c r="AG296" t="str">
        <f t="shared" si="54"/>
        <v>Valid</v>
      </c>
      <c r="AH296" t="str">
        <f t="shared" si="55"/>
        <v>Valid</v>
      </c>
      <c r="AI296" t="str">
        <f t="shared" si="56"/>
        <v>Valid</v>
      </c>
      <c r="AJ296" t="str">
        <f t="shared" si="57"/>
        <v>Valid</v>
      </c>
      <c r="AK296" t="str">
        <f t="shared" si="64"/>
        <v xml:space="preserve">Valid </v>
      </c>
      <c r="AL296" t="str">
        <f>IF(AND(Audit_Data[[#This Row],[Recency]]&gt;=0,Audit_Data[[#This Row],[Recency]]&lt;=100),"Valid","Invalid")</f>
        <v>Valid</v>
      </c>
      <c r="AM296" t="str">
        <f t="shared" si="58"/>
        <v>Valid</v>
      </c>
      <c r="AN296" t="str">
        <f t="shared" si="59"/>
        <v>Valid</v>
      </c>
      <c r="AO296" t="str">
        <f t="shared" si="60"/>
        <v>Valid</v>
      </c>
      <c r="AP296" t="str">
        <f t="shared" si="61"/>
        <v>Valid</v>
      </c>
      <c r="AQ296" t="str">
        <f>IF(Audit_Data[[#This Row],[Z_CostContact]]=3,"Valid","Invalid")</f>
        <v>Valid</v>
      </c>
      <c r="AR296" t="str">
        <f t="shared" si="62"/>
        <v>Valid</v>
      </c>
      <c r="AS296" t="str">
        <f t="shared" si="63"/>
        <v>Valid</v>
      </c>
    </row>
    <row r="297" spans="1:45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 t="str">
        <f t="shared" si="52"/>
        <v>Ok</v>
      </c>
      <c r="AE297" t="str">
        <f>IF(AND(Audit_Data[[#This Row],[Year_Birth]]&gt;=1900,Audit_Data[[#This Row],[Year_Birth]]&lt;=2010),"OK","Invalid")</f>
        <v>OK</v>
      </c>
      <c r="AF297" t="str">
        <f t="shared" si="53"/>
        <v>Valid</v>
      </c>
      <c r="AG297" t="str">
        <f t="shared" si="54"/>
        <v>Valid</v>
      </c>
      <c r="AH297" t="str">
        <f t="shared" si="55"/>
        <v>Valid</v>
      </c>
      <c r="AI297" t="str">
        <f t="shared" si="56"/>
        <v>Valid</v>
      </c>
      <c r="AJ297" t="str">
        <f t="shared" si="57"/>
        <v>Valid</v>
      </c>
      <c r="AK297" t="str">
        <f t="shared" si="64"/>
        <v xml:space="preserve">Valid </v>
      </c>
      <c r="AL297" t="str">
        <f>IF(AND(Audit_Data[[#This Row],[Recency]]&gt;=0,Audit_Data[[#This Row],[Recency]]&lt;=100),"Valid","Invalid")</f>
        <v>Valid</v>
      </c>
      <c r="AM297" t="str">
        <f t="shared" si="58"/>
        <v>Valid</v>
      </c>
      <c r="AN297" t="str">
        <f t="shared" si="59"/>
        <v>Valid</v>
      </c>
      <c r="AO297" t="str">
        <f t="shared" si="60"/>
        <v>Valid</v>
      </c>
      <c r="AP297" t="str">
        <f t="shared" si="61"/>
        <v>Valid</v>
      </c>
      <c r="AQ297" t="str">
        <f>IF(Audit_Data[[#This Row],[Z_CostContact]]=3,"Valid","Invalid")</f>
        <v>Valid</v>
      </c>
      <c r="AR297" t="str">
        <f t="shared" si="62"/>
        <v>Valid</v>
      </c>
      <c r="AS297" t="str">
        <f t="shared" si="63"/>
        <v>Valid</v>
      </c>
    </row>
    <row r="298" spans="1:45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 t="str">
        <f t="shared" si="52"/>
        <v>Ok</v>
      </c>
      <c r="AE298" t="str">
        <f>IF(AND(Audit_Data[[#This Row],[Year_Birth]]&gt;=1900,Audit_Data[[#This Row],[Year_Birth]]&lt;=2010),"OK","Invalid")</f>
        <v>OK</v>
      </c>
      <c r="AF298" t="str">
        <f t="shared" si="53"/>
        <v>Valid</v>
      </c>
      <c r="AG298" t="str">
        <f t="shared" si="54"/>
        <v>Valid</v>
      </c>
      <c r="AH298" t="str">
        <f t="shared" si="55"/>
        <v>Valid</v>
      </c>
      <c r="AI298" t="str">
        <f t="shared" si="56"/>
        <v>Valid</v>
      </c>
      <c r="AJ298" t="str">
        <f t="shared" si="57"/>
        <v>Valid</v>
      </c>
      <c r="AK298" t="str">
        <f t="shared" si="64"/>
        <v xml:space="preserve">Valid </v>
      </c>
      <c r="AL298" t="str">
        <f>IF(AND(Audit_Data[[#This Row],[Recency]]&gt;=0,Audit_Data[[#This Row],[Recency]]&lt;=100),"Valid","Invalid")</f>
        <v>Valid</v>
      </c>
      <c r="AM298" t="str">
        <f t="shared" si="58"/>
        <v>Valid</v>
      </c>
      <c r="AN298" t="str">
        <f t="shared" si="59"/>
        <v>Valid</v>
      </c>
      <c r="AO298" t="str">
        <f t="shared" si="60"/>
        <v>Valid</v>
      </c>
      <c r="AP298" t="str">
        <f t="shared" si="61"/>
        <v>Valid</v>
      </c>
      <c r="AQ298" t="str">
        <f>IF(Audit_Data[[#This Row],[Z_CostContact]]=3,"Valid","Invalid")</f>
        <v>Valid</v>
      </c>
      <c r="AR298" t="str">
        <f t="shared" si="62"/>
        <v>Valid</v>
      </c>
      <c r="AS298" t="str">
        <f t="shared" si="63"/>
        <v>Valid</v>
      </c>
    </row>
    <row r="299" spans="1:45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 t="str">
        <f t="shared" si="52"/>
        <v>Ok</v>
      </c>
      <c r="AE299" t="str">
        <f>IF(AND(Audit_Data[[#This Row],[Year_Birth]]&gt;=1900,Audit_Data[[#This Row],[Year_Birth]]&lt;=2010),"OK","Invalid")</f>
        <v>OK</v>
      </c>
      <c r="AF299" t="str">
        <f t="shared" si="53"/>
        <v>Valid</v>
      </c>
      <c r="AG299" t="str">
        <f t="shared" si="54"/>
        <v>Valid</v>
      </c>
      <c r="AH299" t="str">
        <f t="shared" si="55"/>
        <v>Valid</v>
      </c>
      <c r="AI299" t="str">
        <f t="shared" si="56"/>
        <v>Valid</v>
      </c>
      <c r="AJ299" t="str">
        <f t="shared" si="57"/>
        <v>Valid</v>
      </c>
      <c r="AK299" t="str">
        <f t="shared" si="64"/>
        <v xml:space="preserve">Valid </v>
      </c>
      <c r="AL299" t="str">
        <f>IF(AND(Audit_Data[[#This Row],[Recency]]&gt;=0,Audit_Data[[#This Row],[Recency]]&lt;=100),"Valid","Invalid")</f>
        <v>Valid</v>
      </c>
      <c r="AM299" t="str">
        <f t="shared" si="58"/>
        <v>Valid</v>
      </c>
      <c r="AN299" t="str">
        <f t="shared" si="59"/>
        <v>Valid</v>
      </c>
      <c r="AO299" t="str">
        <f t="shared" si="60"/>
        <v>Valid</v>
      </c>
      <c r="AP299" t="str">
        <f t="shared" si="61"/>
        <v>Valid</v>
      </c>
      <c r="AQ299" t="str">
        <f>IF(Audit_Data[[#This Row],[Z_CostContact]]=3,"Valid","Invalid")</f>
        <v>Valid</v>
      </c>
      <c r="AR299" t="str">
        <f t="shared" si="62"/>
        <v>Valid</v>
      </c>
      <c r="AS299" t="str">
        <f t="shared" si="63"/>
        <v>Valid</v>
      </c>
    </row>
    <row r="300" spans="1:45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 t="str">
        <f t="shared" si="52"/>
        <v>Ok</v>
      </c>
      <c r="AE300" t="str">
        <f>IF(AND(Audit_Data[[#This Row],[Year_Birth]]&gt;=1900,Audit_Data[[#This Row],[Year_Birth]]&lt;=2010),"OK","Invalid")</f>
        <v>OK</v>
      </c>
      <c r="AF300" t="str">
        <f t="shared" si="53"/>
        <v>Valid</v>
      </c>
      <c r="AG300" t="str">
        <f t="shared" si="54"/>
        <v>Valid</v>
      </c>
      <c r="AH300" t="str">
        <f t="shared" si="55"/>
        <v>Valid</v>
      </c>
      <c r="AI300" t="str">
        <f t="shared" si="56"/>
        <v>Valid</v>
      </c>
      <c r="AJ300" t="str">
        <f t="shared" si="57"/>
        <v>Valid</v>
      </c>
      <c r="AK300" t="str">
        <f t="shared" si="64"/>
        <v xml:space="preserve">Valid </v>
      </c>
      <c r="AL300" t="str">
        <f>IF(AND(Audit_Data[[#This Row],[Recency]]&gt;=0,Audit_Data[[#This Row],[Recency]]&lt;=100),"Valid","Invalid")</f>
        <v>Valid</v>
      </c>
      <c r="AM300" t="str">
        <f t="shared" si="58"/>
        <v>Valid</v>
      </c>
      <c r="AN300" t="str">
        <f t="shared" si="59"/>
        <v>Valid</v>
      </c>
      <c r="AO300" t="str">
        <f t="shared" si="60"/>
        <v>Valid</v>
      </c>
      <c r="AP300" t="str">
        <f t="shared" si="61"/>
        <v>Valid</v>
      </c>
      <c r="AQ300" t="str">
        <f>IF(Audit_Data[[#This Row],[Z_CostContact]]=3,"Valid","Invalid")</f>
        <v>Valid</v>
      </c>
      <c r="AR300" t="str">
        <f t="shared" si="62"/>
        <v>Valid</v>
      </c>
      <c r="AS300" t="str">
        <f t="shared" si="63"/>
        <v>Valid</v>
      </c>
    </row>
    <row r="301" spans="1:45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 t="str">
        <f t="shared" si="52"/>
        <v>Ok</v>
      </c>
      <c r="AE301" t="str">
        <f>IF(AND(Audit_Data[[#This Row],[Year_Birth]]&gt;=1900,Audit_Data[[#This Row],[Year_Birth]]&lt;=2010),"OK","Invalid")</f>
        <v>OK</v>
      </c>
      <c r="AF301" t="str">
        <f t="shared" si="53"/>
        <v>Valid</v>
      </c>
      <c r="AG301" t="str">
        <f t="shared" si="54"/>
        <v>Valid</v>
      </c>
      <c r="AH301" t="str">
        <f t="shared" si="55"/>
        <v>Valid</v>
      </c>
      <c r="AI301" t="str">
        <f t="shared" si="56"/>
        <v>Valid</v>
      </c>
      <c r="AJ301" t="str">
        <f t="shared" si="57"/>
        <v>Valid</v>
      </c>
      <c r="AK301" t="str">
        <f t="shared" si="64"/>
        <v xml:space="preserve">Valid </v>
      </c>
      <c r="AL301" t="str">
        <f>IF(AND(Audit_Data[[#This Row],[Recency]]&gt;=0,Audit_Data[[#This Row],[Recency]]&lt;=100),"Valid","Invalid")</f>
        <v>Valid</v>
      </c>
      <c r="AM301" t="str">
        <f t="shared" si="58"/>
        <v>Valid</v>
      </c>
      <c r="AN301" t="str">
        <f t="shared" si="59"/>
        <v>Valid</v>
      </c>
      <c r="AO301" t="str">
        <f t="shared" si="60"/>
        <v>Valid</v>
      </c>
      <c r="AP301" t="str">
        <f t="shared" si="61"/>
        <v>Valid</v>
      </c>
      <c r="AQ301" t="str">
        <f>IF(Audit_Data[[#This Row],[Z_CostContact]]=3,"Valid","Invalid")</f>
        <v>Valid</v>
      </c>
      <c r="AR301" t="str">
        <f t="shared" si="62"/>
        <v>Valid</v>
      </c>
      <c r="AS301" t="str">
        <f t="shared" si="63"/>
        <v>Valid</v>
      </c>
    </row>
    <row r="302" spans="1:45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 t="str">
        <f t="shared" si="52"/>
        <v>Ok</v>
      </c>
      <c r="AE302" t="str">
        <f>IF(AND(Audit_Data[[#This Row],[Year_Birth]]&gt;=1900,Audit_Data[[#This Row],[Year_Birth]]&lt;=2010),"OK","Invalid")</f>
        <v>OK</v>
      </c>
      <c r="AF302" t="str">
        <f t="shared" si="53"/>
        <v>Valid</v>
      </c>
      <c r="AG302" t="str">
        <f t="shared" si="54"/>
        <v>Valid</v>
      </c>
      <c r="AH302" t="str">
        <f t="shared" si="55"/>
        <v>Valid</v>
      </c>
      <c r="AI302" t="str">
        <f t="shared" si="56"/>
        <v>Valid</v>
      </c>
      <c r="AJ302" t="str">
        <f t="shared" si="57"/>
        <v>Valid</v>
      </c>
      <c r="AK302" t="str">
        <f t="shared" si="64"/>
        <v xml:space="preserve">Valid </v>
      </c>
      <c r="AL302" t="str">
        <f>IF(AND(Audit_Data[[#This Row],[Recency]]&gt;=0,Audit_Data[[#This Row],[Recency]]&lt;=100),"Valid","Invalid")</f>
        <v>Valid</v>
      </c>
      <c r="AM302" t="str">
        <f t="shared" si="58"/>
        <v>Valid</v>
      </c>
      <c r="AN302" t="str">
        <f t="shared" si="59"/>
        <v>Valid</v>
      </c>
      <c r="AO302" t="str">
        <f t="shared" si="60"/>
        <v>Valid</v>
      </c>
      <c r="AP302" t="str">
        <f t="shared" si="61"/>
        <v>Valid</v>
      </c>
      <c r="AQ302" t="str">
        <f>IF(Audit_Data[[#This Row],[Z_CostContact]]=3,"Valid","Invalid")</f>
        <v>Valid</v>
      </c>
      <c r="AR302" t="str">
        <f t="shared" si="62"/>
        <v>Valid</v>
      </c>
      <c r="AS302" t="str">
        <f t="shared" si="63"/>
        <v>Valid</v>
      </c>
    </row>
    <row r="303" spans="1:45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 t="str">
        <f t="shared" si="52"/>
        <v>Ok</v>
      </c>
      <c r="AE303" t="str">
        <f>IF(AND(Audit_Data[[#This Row],[Year_Birth]]&gt;=1900,Audit_Data[[#This Row],[Year_Birth]]&lt;=2010),"OK","Invalid")</f>
        <v>OK</v>
      </c>
      <c r="AF303" t="str">
        <f t="shared" si="53"/>
        <v>Valid</v>
      </c>
      <c r="AG303" t="str">
        <f t="shared" si="54"/>
        <v>Valid</v>
      </c>
      <c r="AH303" t="str">
        <f t="shared" si="55"/>
        <v>Valid</v>
      </c>
      <c r="AI303" t="str">
        <f t="shared" si="56"/>
        <v>Valid</v>
      </c>
      <c r="AJ303" t="str">
        <f t="shared" si="57"/>
        <v>Valid</v>
      </c>
      <c r="AK303" t="str">
        <f t="shared" si="64"/>
        <v xml:space="preserve">Valid </v>
      </c>
      <c r="AL303" t="str">
        <f>IF(AND(Audit_Data[[#This Row],[Recency]]&gt;=0,Audit_Data[[#This Row],[Recency]]&lt;=100),"Valid","Invalid")</f>
        <v>Valid</v>
      </c>
      <c r="AM303" t="str">
        <f t="shared" si="58"/>
        <v>Valid</v>
      </c>
      <c r="AN303" t="str">
        <f t="shared" si="59"/>
        <v>Valid</v>
      </c>
      <c r="AO303" t="str">
        <f t="shared" si="60"/>
        <v>Valid</v>
      </c>
      <c r="AP303" t="str">
        <f t="shared" si="61"/>
        <v>Valid</v>
      </c>
      <c r="AQ303" t="str">
        <f>IF(Audit_Data[[#This Row],[Z_CostContact]]=3,"Valid","Invalid")</f>
        <v>Valid</v>
      </c>
      <c r="AR303" t="str">
        <f t="shared" si="62"/>
        <v>Valid</v>
      </c>
      <c r="AS303" t="str">
        <f t="shared" si="63"/>
        <v>Valid</v>
      </c>
    </row>
    <row r="304" spans="1:45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 t="str">
        <f t="shared" si="52"/>
        <v>Ok</v>
      </c>
      <c r="AE304" t="str">
        <f>IF(AND(Audit_Data[[#This Row],[Year_Birth]]&gt;=1900,Audit_Data[[#This Row],[Year_Birth]]&lt;=2010),"OK","Invalid")</f>
        <v>OK</v>
      </c>
      <c r="AF304" t="str">
        <f t="shared" si="53"/>
        <v>Valid</v>
      </c>
      <c r="AG304" t="str">
        <f t="shared" si="54"/>
        <v>Valid</v>
      </c>
      <c r="AH304" t="str">
        <f t="shared" si="55"/>
        <v>Valid</v>
      </c>
      <c r="AI304" t="str">
        <f t="shared" si="56"/>
        <v>Valid</v>
      </c>
      <c r="AJ304" t="str">
        <f t="shared" si="57"/>
        <v>Valid</v>
      </c>
      <c r="AK304" t="str">
        <f t="shared" si="64"/>
        <v xml:space="preserve">Valid </v>
      </c>
      <c r="AL304" t="str">
        <f>IF(AND(Audit_Data[[#This Row],[Recency]]&gt;=0,Audit_Data[[#This Row],[Recency]]&lt;=100),"Valid","Invalid")</f>
        <v>Valid</v>
      </c>
      <c r="AM304" t="str">
        <f t="shared" si="58"/>
        <v>Valid</v>
      </c>
      <c r="AN304" t="str">
        <f t="shared" si="59"/>
        <v>Valid</v>
      </c>
      <c r="AO304" t="str">
        <f t="shared" si="60"/>
        <v>Valid</v>
      </c>
      <c r="AP304" t="str">
        <f t="shared" si="61"/>
        <v>Valid</v>
      </c>
      <c r="AQ304" t="str">
        <f>IF(Audit_Data[[#This Row],[Z_CostContact]]=3,"Valid","Invalid")</f>
        <v>Valid</v>
      </c>
      <c r="AR304" t="str">
        <f t="shared" si="62"/>
        <v>Valid</v>
      </c>
      <c r="AS304" t="str">
        <f t="shared" si="63"/>
        <v>Valid</v>
      </c>
    </row>
    <row r="305" spans="1:45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 t="str">
        <f t="shared" si="52"/>
        <v>Ok</v>
      </c>
      <c r="AE305" t="str">
        <f>IF(AND(Audit_Data[[#This Row],[Year_Birth]]&gt;=1900,Audit_Data[[#This Row],[Year_Birth]]&lt;=2010),"OK","Invalid")</f>
        <v>OK</v>
      </c>
      <c r="AF305" t="str">
        <f t="shared" si="53"/>
        <v>Valid</v>
      </c>
      <c r="AG305" t="str">
        <f t="shared" si="54"/>
        <v>Valid</v>
      </c>
      <c r="AH305" t="str">
        <f t="shared" si="55"/>
        <v>Valid</v>
      </c>
      <c r="AI305" t="str">
        <f t="shared" si="56"/>
        <v>Valid</v>
      </c>
      <c r="AJ305" t="str">
        <f t="shared" si="57"/>
        <v>Valid</v>
      </c>
      <c r="AK305" t="str">
        <f t="shared" si="64"/>
        <v xml:space="preserve">Valid </v>
      </c>
      <c r="AL305" t="str">
        <f>IF(AND(Audit_Data[[#This Row],[Recency]]&gt;=0,Audit_Data[[#This Row],[Recency]]&lt;=100),"Valid","Invalid")</f>
        <v>Valid</v>
      </c>
      <c r="AM305" t="str">
        <f t="shared" si="58"/>
        <v>Valid</v>
      </c>
      <c r="AN305" t="str">
        <f t="shared" si="59"/>
        <v>Valid</v>
      </c>
      <c r="AO305" t="str">
        <f t="shared" si="60"/>
        <v>Valid</v>
      </c>
      <c r="AP305" t="str">
        <f t="shared" si="61"/>
        <v>Valid</v>
      </c>
      <c r="AQ305" t="str">
        <f>IF(Audit_Data[[#This Row],[Z_CostContact]]=3,"Valid","Invalid")</f>
        <v>Valid</v>
      </c>
      <c r="AR305" t="str">
        <f t="shared" si="62"/>
        <v>Valid</v>
      </c>
      <c r="AS305" t="str">
        <f t="shared" si="63"/>
        <v>Valid</v>
      </c>
    </row>
    <row r="306" spans="1:45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 t="str">
        <f t="shared" si="52"/>
        <v>Ok</v>
      </c>
      <c r="AE306" t="str">
        <f>IF(AND(Audit_Data[[#This Row],[Year_Birth]]&gt;=1900,Audit_Data[[#This Row],[Year_Birth]]&lt;=2010),"OK","Invalid")</f>
        <v>OK</v>
      </c>
      <c r="AF306" t="str">
        <f t="shared" si="53"/>
        <v>Valid</v>
      </c>
      <c r="AG306" t="str">
        <f t="shared" si="54"/>
        <v>Valid</v>
      </c>
      <c r="AH306" t="str">
        <f t="shared" si="55"/>
        <v>Valid</v>
      </c>
      <c r="AI306" t="str">
        <f t="shared" si="56"/>
        <v>Valid</v>
      </c>
      <c r="AJ306" t="str">
        <f t="shared" si="57"/>
        <v>Valid</v>
      </c>
      <c r="AK306" t="str">
        <f t="shared" si="64"/>
        <v xml:space="preserve">Valid </v>
      </c>
      <c r="AL306" t="str">
        <f>IF(AND(Audit_Data[[#This Row],[Recency]]&gt;=0,Audit_Data[[#This Row],[Recency]]&lt;=100),"Valid","Invalid")</f>
        <v>Valid</v>
      </c>
      <c r="AM306" t="str">
        <f t="shared" si="58"/>
        <v>Valid</v>
      </c>
      <c r="AN306" t="str">
        <f t="shared" si="59"/>
        <v>Valid</v>
      </c>
      <c r="AO306" t="str">
        <f t="shared" si="60"/>
        <v>Valid</v>
      </c>
      <c r="AP306" t="str">
        <f t="shared" si="61"/>
        <v>Valid</v>
      </c>
      <c r="AQ306" t="str">
        <f>IF(Audit_Data[[#This Row],[Z_CostContact]]=3,"Valid","Invalid")</f>
        <v>Valid</v>
      </c>
      <c r="AR306" t="str">
        <f t="shared" si="62"/>
        <v>Valid</v>
      </c>
      <c r="AS306" t="str">
        <f t="shared" si="63"/>
        <v>Valid</v>
      </c>
    </row>
    <row r="307" spans="1:45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 t="str">
        <f t="shared" si="52"/>
        <v>Ok</v>
      </c>
      <c r="AE307" t="str">
        <f>IF(AND(Audit_Data[[#This Row],[Year_Birth]]&gt;=1900,Audit_Data[[#This Row],[Year_Birth]]&lt;=2010),"OK","Invalid")</f>
        <v>OK</v>
      </c>
      <c r="AF307" t="str">
        <f t="shared" si="53"/>
        <v>Valid</v>
      </c>
      <c r="AG307" t="str">
        <f t="shared" si="54"/>
        <v>Valid</v>
      </c>
      <c r="AH307" t="str">
        <f t="shared" si="55"/>
        <v>Valid</v>
      </c>
      <c r="AI307" t="str">
        <f t="shared" si="56"/>
        <v>Valid</v>
      </c>
      <c r="AJ307" t="str">
        <f t="shared" si="57"/>
        <v>Valid</v>
      </c>
      <c r="AK307" t="str">
        <f t="shared" si="64"/>
        <v xml:space="preserve">Valid </v>
      </c>
      <c r="AL307" t="str">
        <f>IF(AND(Audit_Data[[#This Row],[Recency]]&gt;=0,Audit_Data[[#This Row],[Recency]]&lt;=100),"Valid","Invalid")</f>
        <v>Valid</v>
      </c>
      <c r="AM307" t="str">
        <f t="shared" si="58"/>
        <v>Valid</v>
      </c>
      <c r="AN307" t="str">
        <f t="shared" si="59"/>
        <v>Valid</v>
      </c>
      <c r="AO307" t="str">
        <f t="shared" si="60"/>
        <v>Valid</v>
      </c>
      <c r="AP307" t="str">
        <f t="shared" si="61"/>
        <v>Valid</v>
      </c>
      <c r="AQ307" t="str">
        <f>IF(Audit_Data[[#This Row],[Z_CostContact]]=3,"Valid","Invalid")</f>
        <v>Valid</v>
      </c>
      <c r="AR307" t="str">
        <f t="shared" si="62"/>
        <v>Valid</v>
      </c>
      <c r="AS307" t="str">
        <f t="shared" si="63"/>
        <v>Valid</v>
      </c>
    </row>
    <row r="308" spans="1:45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 t="str">
        <f t="shared" si="52"/>
        <v>Ok</v>
      </c>
      <c r="AE308" t="str">
        <f>IF(AND(Audit_Data[[#This Row],[Year_Birth]]&gt;=1900,Audit_Data[[#This Row],[Year_Birth]]&lt;=2010),"OK","Invalid")</f>
        <v>OK</v>
      </c>
      <c r="AF308" t="str">
        <f t="shared" si="53"/>
        <v>Valid</v>
      </c>
      <c r="AG308" t="str">
        <f t="shared" si="54"/>
        <v>Valid</v>
      </c>
      <c r="AH308" t="str">
        <f t="shared" si="55"/>
        <v>Valid</v>
      </c>
      <c r="AI308" t="str">
        <f t="shared" si="56"/>
        <v>Valid</v>
      </c>
      <c r="AJ308" t="str">
        <f t="shared" si="57"/>
        <v>Valid</v>
      </c>
      <c r="AK308" t="str">
        <f t="shared" si="64"/>
        <v xml:space="preserve">Valid </v>
      </c>
      <c r="AL308" t="str">
        <f>IF(AND(Audit_Data[[#This Row],[Recency]]&gt;=0,Audit_Data[[#This Row],[Recency]]&lt;=100),"Valid","Invalid")</f>
        <v>Valid</v>
      </c>
      <c r="AM308" t="str">
        <f t="shared" si="58"/>
        <v>Valid</v>
      </c>
      <c r="AN308" t="str">
        <f t="shared" si="59"/>
        <v>Valid</v>
      </c>
      <c r="AO308" t="str">
        <f t="shared" si="60"/>
        <v>Valid</v>
      </c>
      <c r="AP308" t="str">
        <f t="shared" si="61"/>
        <v>Valid</v>
      </c>
      <c r="AQ308" t="str">
        <f>IF(Audit_Data[[#This Row],[Z_CostContact]]=3,"Valid","Invalid")</f>
        <v>Valid</v>
      </c>
      <c r="AR308" t="str">
        <f t="shared" si="62"/>
        <v>Valid</v>
      </c>
      <c r="AS308" t="str">
        <f t="shared" si="63"/>
        <v>Valid</v>
      </c>
    </row>
    <row r="309" spans="1:45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 t="str">
        <f t="shared" si="52"/>
        <v>Ok</v>
      </c>
      <c r="AE309" t="str">
        <f>IF(AND(Audit_Data[[#This Row],[Year_Birth]]&gt;=1900,Audit_Data[[#This Row],[Year_Birth]]&lt;=2010),"OK","Invalid")</f>
        <v>OK</v>
      </c>
      <c r="AF309" t="str">
        <f t="shared" si="53"/>
        <v>Valid</v>
      </c>
      <c r="AG309" t="str">
        <f t="shared" si="54"/>
        <v>Valid</v>
      </c>
      <c r="AH309" t="str">
        <f t="shared" si="55"/>
        <v>Valid</v>
      </c>
      <c r="AI309" t="str">
        <f t="shared" si="56"/>
        <v>Valid</v>
      </c>
      <c r="AJ309" t="str">
        <f t="shared" si="57"/>
        <v>Valid</v>
      </c>
      <c r="AK309" t="str">
        <f t="shared" si="64"/>
        <v xml:space="preserve">Valid </v>
      </c>
      <c r="AL309" t="str">
        <f>IF(AND(Audit_Data[[#This Row],[Recency]]&gt;=0,Audit_Data[[#This Row],[Recency]]&lt;=100),"Valid","Invalid")</f>
        <v>Valid</v>
      </c>
      <c r="AM309" t="str">
        <f t="shared" si="58"/>
        <v>Valid</v>
      </c>
      <c r="AN309" t="str">
        <f t="shared" si="59"/>
        <v>Valid</v>
      </c>
      <c r="AO309" t="str">
        <f t="shared" si="60"/>
        <v>Valid</v>
      </c>
      <c r="AP309" t="str">
        <f t="shared" si="61"/>
        <v>Valid</v>
      </c>
      <c r="AQ309" t="str">
        <f>IF(Audit_Data[[#This Row],[Z_CostContact]]=3,"Valid","Invalid")</f>
        <v>Valid</v>
      </c>
      <c r="AR309" t="str">
        <f t="shared" si="62"/>
        <v>Valid</v>
      </c>
      <c r="AS309" t="str">
        <f t="shared" si="63"/>
        <v>Valid</v>
      </c>
    </row>
    <row r="310" spans="1:45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 t="str">
        <f t="shared" si="52"/>
        <v>Ok</v>
      </c>
      <c r="AE310" t="str">
        <f>IF(AND(Audit_Data[[#This Row],[Year_Birth]]&gt;=1900,Audit_Data[[#This Row],[Year_Birth]]&lt;=2010),"OK","Invalid")</f>
        <v>OK</v>
      </c>
      <c r="AF310" t="str">
        <f t="shared" si="53"/>
        <v>Valid</v>
      </c>
      <c r="AG310" t="str">
        <f t="shared" si="54"/>
        <v>Valid</v>
      </c>
      <c r="AH310" t="str">
        <f t="shared" si="55"/>
        <v>Valid</v>
      </c>
      <c r="AI310" t="str">
        <f t="shared" si="56"/>
        <v>Valid</v>
      </c>
      <c r="AJ310" t="str">
        <f t="shared" si="57"/>
        <v>Valid</v>
      </c>
      <c r="AK310" t="str">
        <f t="shared" si="64"/>
        <v xml:space="preserve">Valid </v>
      </c>
      <c r="AL310" t="str">
        <f>IF(AND(Audit_Data[[#This Row],[Recency]]&gt;=0,Audit_Data[[#This Row],[Recency]]&lt;=100),"Valid","Invalid")</f>
        <v>Valid</v>
      </c>
      <c r="AM310" t="str">
        <f t="shared" si="58"/>
        <v>Valid</v>
      </c>
      <c r="AN310" t="str">
        <f t="shared" si="59"/>
        <v>Valid</v>
      </c>
      <c r="AO310" t="str">
        <f t="shared" si="60"/>
        <v>Valid</v>
      </c>
      <c r="AP310" t="str">
        <f t="shared" si="61"/>
        <v>Valid</v>
      </c>
      <c r="AQ310" t="str">
        <f>IF(Audit_Data[[#This Row],[Z_CostContact]]=3,"Valid","Invalid")</f>
        <v>Valid</v>
      </c>
      <c r="AR310" t="str">
        <f t="shared" si="62"/>
        <v>Valid</v>
      </c>
      <c r="AS310" t="str">
        <f t="shared" si="63"/>
        <v>Valid</v>
      </c>
    </row>
    <row r="311" spans="1:45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 t="str">
        <f t="shared" si="52"/>
        <v>Ok</v>
      </c>
      <c r="AE311" t="str">
        <f>IF(AND(Audit_Data[[#This Row],[Year_Birth]]&gt;=1900,Audit_Data[[#This Row],[Year_Birth]]&lt;=2010),"OK","Invalid")</f>
        <v>OK</v>
      </c>
      <c r="AF311" t="str">
        <f t="shared" si="53"/>
        <v>Valid</v>
      </c>
      <c r="AG311" t="str">
        <f t="shared" si="54"/>
        <v>Valid</v>
      </c>
      <c r="AH311" t="str">
        <f t="shared" si="55"/>
        <v>Valid</v>
      </c>
      <c r="AI311" t="str">
        <f t="shared" si="56"/>
        <v>Valid</v>
      </c>
      <c r="AJ311" t="str">
        <f t="shared" si="57"/>
        <v>Valid</v>
      </c>
      <c r="AK311" t="str">
        <f t="shared" si="64"/>
        <v xml:space="preserve">Valid </v>
      </c>
      <c r="AL311" t="str">
        <f>IF(AND(Audit_Data[[#This Row],[Recency]]&gt;=0,Audit_Data[[#This Row],[Recency]]&lt;=100),"Valid","Invalid")</f>
        <v>Valid</v>
      </c>
      <c r="AM311" t="str">
        <f t="shared" si="58"/>
        <v>Valid</v>
      </c>
      <c r="AN311" t="str">
        <f t="shared" si="59"/>
        <v>Valid</v>
      </c>
      <c r="AO311" t="str">
        <f t="shared" si="60"/>
        <v>Valid</v>
      </c>
      <c r="AP311" t="str">
        <f t="shared" si="61"/>
        <v>Valid</v>
      </c>
      <c r="AQ311" t="str">
        <f>IF(Audit_Data[[#This Row],[Z_CostContact]]=3,"Valid","Invalid")</f>
        <v>Valid</v>
      </c>
      <c r="AR311" t="str">
        <f t="shared" si="62"/>
        <v>Valid</v>
      </c>
      <c r="AS311" t="str">
        <f t="shared" si="63"/>
        <v>Valid</v>
      </c>
    </row>
    <row r="312" spans="1:45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 t="str">
        <f t="shared" si="52"/>
        <v>Ok</v>
      </c>
      <c r="AE312" t="str">
        <f>IF(AND(Audit_Data[[#This Row],[Year_Birth]]&gt;=1900,Audit_Data[[#This Row],[Year_Birth]]&lt;=2010),"OK","Invalid")</f>
        <v>OK</v>
      </c>
      <c r="AF312" t="str">
        <f t="shared" si="53"/>
        <v>Valid</v>
      </c>
      <c r="AG312" t="str">
        <f t="shared" si="54"/>
        <v>Valid</v>
      </c>
      <c r="AH312" t="str">
        <f t="shared" si="55"/>
        <v>Valid</v>
      </c>
      <c r="AI312" t="str">
        <f t="shared" si="56"/>
        <v>Valid</v>
      </c>
      <c r="AJ312" t="str">
        <f t="shared" si="57"/>
        <v>Valid</v>
      </c>
      <c r="AK312" t="str">
        <f t="shared" si="64"/>
        <v xml:space="preserve">Valid </v>
      </c>
      <c r="AL312" t="str">
        <f>IF(AND(Audit_Data[[#This Row],[Recency]]&gt;=0,Audit_Data[[#This Row],[Recency]]&lt;=100),"Valid","Invalid")</f>
        <v>Valid</v>
      </c>
      <c r="AM312" t="str">
        <f t="shared" si="58"/>
        <v>Valid</v>
      </c>
      <c r="AN312" t="str">
        <f t="shared" si="59"/>
        <v>Valid</v>
      </c>
      <c r="AO312" t="str">
        <f t="shared" si="60"/>
        <v>Valid</v>
      </c>
      <c r="AP312" t="str">
        <f t="shared" si="61"/>
        <v>Valid</v>
      </c>
      <c r="AQ312" t="str">
        <f>IF(Audit_Data[[#This Row],[Z_CostContact]]=3,"Valid","Invalid")</f>
        <v>Valid</v>
      </c>
      <c r="AR312" t="str">
        <f t="shared" si="62"/>
        <v>Valid</v>
      </c>
      <c r="AS312" t="str">
        <f t="shared" si="63"/>
        <v>Valid</v>
      </c>
    </row>
    <row r="313" spans="1:45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 t="str">
        <f t="shared" si="52"/>
        <v>Ok</v>
      </c>
      <c r="AE313" t="str">
        <f>IF(AND(Audit_Data[[#This Row],[Year_Birth]]&gt;=1900,Audit_Data[[#This Row],[Year_Birth]]&lt;=2010),"OK","Invalid")</f>
        <v>OK</v>
      </c>
      <c r="AF313" t="str">
        <f t="shared" si="53"/>
        <v>Valid</v>
      </c>
      <c r="AG313" t="str">
        <f t="shared" si="54"/>
        <v>Valid</v>
      </c>
      <c r="AH313" t="str">
        <f t="shared" si="55"/>
        <v>Valid</v>
      </c>
      <c r="AI313" t="str">
        <f t="shared" si="56"/>
        <v>Valid</v>
      </c>
      <c r="AJ313" t="str">
        <f t="shared" si="57"/>
        <v>Valid</v>
      </c>
      <c r="AK313" t="str">
        <f t="shared" si="64"/>
        <v xml:space="preserve">Valid </v>
      </c>
      <c r="AL313" t="str">
        <f>IF(AND(Audit_Data[[#This Row],[Recency]]&gt;=0,Audit_Data[[#This Row],[Recency]]&lt;=100),"Valid","Invalid")</f>
        <v>Valid</v>
      </c>
      <c r="AM313" t="str">
        <f t="shared" si="58"/>
        <v>Valid</v>
      </c>
      <c r="AN313" t="str">
        <f t="shared" si="59"/>
        <v>Valid</v>
      </c>
      <c r="AO313" t="str">
        <f t="shared" si="60"/>
        <v>Valid</v>
      </c>
      <c r="AP313" t="str">
        <f t="shared" si="61"/>
        <v>Valid</v>
      </c>
      <c r="AQ313" t="str">
        <f>IF(Audit_Data[[#This Row],[Z_CostContact]]=3,"Valid","Invalid")</f>
        <v>Valid</v>
      </c>
      <c r="AR313" t="str">
        <f t="shared" si="62"/>
        <v>Valid</v>
      </c>
      <c r="AS313" t="str">
        <f t="shared" si="63"/>
        <v>Valid</v>
      </c>
    </row>
    <row r="314" spans="1:45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 t="str">
        <f t="shared" si="52"/>
        <v>Ok</v>
      </c>
      <c r="AE314" t="str">
        <f>IF(AND(Audit_Data[[#This Row],[Year_Birth]]&gt;=1900,Audit_Data[[#This Row],[Year_Birth]]&lt;=2010),"OK","Invalid")</f>
        <v>OK</v>
      </c>
      <c r="AF314" t="str">
        <f t="shared" si="53"/>
        <v>Valid</v>
      </c>
      <c r="AG314" t="str">
        <f t="shared" si="54"/>
        <v>Valid</v>
      </c>
      <c r="AH314" t="str">
        <f t="shared" si="55"/>
        <v>Invalid</v>
      </c>
      <c r="AI314" t="str">
        <f t="shared" si="56"/>
        <v>Valid</v>
      </c>
      <c r="AJ314" t="str">
        <f t="shared" si="57"/>
        <v>Valid</v>
      </c>
      <c r="AK314" t="str">
        <f t="shared" si="64"/>
        <v xml:space="preserve">Valid </v>
      </c>
      <c r="AL314" t="str">
        <f>IF(AND(Audit_Data[[#This Row],[Recency]]&gt;=0,Audit_Data[[#This Row],[Recency]]&lt;=100),"Valid","Invalid")</f>
        <v>Valid</v>
      </c>
      <c r="AM314" t="str">
        <f t="shared" si="58"/>
        <v>Valid</v>
      </c>
      <c r="AN314" t="str">
        <f t="shared" si="59"/>
        <v>Valid</v>
      </c>
      <c r="AO314" t="str">
        <f t="shared" si="60"/>
        <v>Valid</v>
      </c>
      <c r="AP314" t="str">
        <f t="shared" si="61"/>
        <v>Valid</v>
      </c>
      <c r="AQ314" t="str">
        <f>IF(Audit_Data[[#This Row],[Z_CostContact]]=3,"Valid","Invalid")</f>
        <v>Valid</v>
      </c>
      <c r="AR314" t="str">
        <f t="shared" si="62"/>
        <v>Valid</v>
      </c>
      <c r="AS314" t="str">
        <f t="shared" si="63"/>
        <v>Valid</v>
      </c>
    </row>
    <row r="315" spans="1:45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 t="str">
        <f t="shared" si="52"/>
        <v>Ok</v>
      </c>
      <c r="AE315" t="str">
        <f>IF(AND(Audit_Data[[#This Row],[Year_Birth]]&gt;=1900,Audit_Data[[#This Row],[Year_Birth]]&lt;=2010),"OK","Invalid")</f>
        <v>OK</v>
      </c>
      <c r="AF315" t="str">
        <f t="shared" si="53"/>
        <v>Valid</v>
      </c>
      <c r="AG315" t="str">
        <f t="shared" si="54"/>
        <v>Valid</v>
      </c>
      <c r="AH315" t="str">
        <f t="shared" si="55"/>
        <v>Valid</v>
      </c>
      <c r="AI315" t="str">
        <f t="shared" si="56"/>
        <v>Valid</v>
      </c>
      <c r="AJ315" t="str">
        <f t="shared" si="57"/>
        <v>Valid</v>
      </c>
      <c r="AK315" t="str">
        <f t="shared" si="64"/>
        <v xml:space="preserve">Valid </v>
      </c>
      <c r="AL315" t="str">
        <f>IF(AND(Audit_Data[[#This Row],[Recency]]&gt;=0,Audit_Data[[#This Row],[Recency]]&lt;=100),"Valid","Invalid")</f>
        <v>Valid</v>
      </c>
      <c r="AM315" t="str">
        <f t="shared" si="58"/>
        <v>Valid</v>
      </c>
      <c r="AN315" t="str">
        <f t="shared" si="59"/>
        <v>Valid</v>
      </c>
      <c r="AO315" t="str">
        <f t="shared" si="60"/>
        <v>Valid</v>
      </c>
      <c r="AP315" t="str">
        <f t="shared" si="61"/>
        <v>Valid</v>
      </c>
      <c r="AQ315" t="str">
        <f>IF(Audit_Data[[#This Row],[Z_CostContact]]=3,"Valid","Invalid")</f>
        <v>Valid</v>
      </c>
      <c r="AR315" t="str">
        <f t="shared" si="62"/>
        <v>Valid</v>
      </c>
      <c r="AS315" t="str">
        <f t="shared" si="63"/>
        <v>Valid</v>
      </c>
    </row>
    <row r="316" spans="1:45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 t="str">
        <f t="shared" si="52"/>
        <v>Ok</v>
      </c>
      <c r="AE316" t="str">
        <f>IF(AND(Audit_Data[[#This Row],[Year_Birth]]&gt;=1900,Audit_Data[[#This Row],[Year_Birth]]&lt;=2010),"OK","Invalid")</f>
        <v>OK</v>
      </c>
      <c r="AF316" t="str">
        <f t="shared" si="53"/>
        <v>Valid</v>
      </c>
      <c r="AG316" t="str">
        <f t="shared" si="54"/>
        <v>Valid</v>
      </c>
      <c r="AH316" t="str">
        <f t="shared" si="55"/>
        <v>Valid</v>
      </c>
      <c r="AI316" t="str">
        <f t="shared" si="56"/>
        <v>Valid</v>
      </c>
      <c r="AJ316" t="str">
        <f t="shared" si="57"/>
        <v>Valid</v>
      </c>
      <c r="AK316" t="str">
        <f t="shared" si="64"/>
        <v xml:space="preserve">Valid </v>
      </c>
      <c r="AL316" t="str">
        <f>IF(AND(Audit_Data[[#This Row],[Recency]]&gt;=0,Audit_Data[[#This Row],[Recency]]&lt;=100),"Valid","Invalid")</f>
        <v>Valid</v>
      </c>
      <c r="AM316" t="str">
        <f t="shared" si="58"/>
        <v>Valid</v>
      </c>
      <c r="AN316" t="str">
        <f t="shared" si="59"/>
        <v>Valid</v>
      </c>
      <c r="AO316" t="str">
        <f t="shared" si="60"/>
        <v>Valid</v>
      </c>
      <c r="AP316" t="str">
        <f t="shared" si="61"/>
        <v>Valid</v>
      </c>
      <c r="AQ316" t="str">
        <f>IF(Audit_Data[[#This Row],[Z_CostContact]]=3,"Valid","Invalid")</f>
        <v>Valid</v>
      </c>
      <c r="AR316" t="str">
        <f t="shared" si="62"/>
        <v>Valid</v>
      </c>
      <c r="AS316" t="str">
        <f t="shared" si="63"/>
        <v>Valid</v>
      </c>
    </row>
    <row r="317" spans="1:45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 t="str">
        <f t="shared" si="52"/>
        <v>Ok</v>
      </c>
      <c r="AE317" t="str">
        <f>IF(AND(Audit_Data[[#This Row],[Year_Birth]]&gt;=1900,Audit_Data[[#This Row],[Year_Birth]]&lt;=2010),"OK","Invalid")</f>
        <v>OK</v>
      </c>
      <c r="AF317" t="str">
        <f t="shared" si="53"/>
        <v>Valid</v>
      </c>
      <c r="AG317" t="str">
        <f t="shared" si="54"/>
        <v>Valid</v>
      </c>
      <c r="AH317" t="str">
        <f t="shared" si="55"/>
        <v>Valid</v>
      </c>
      <c r="AI317" t="str">
        <f t="shared" si="56"/>
        <v>Valid</v>
      </c>
      <c r="AJ317" t="str">
        <f t="shared" si="57"/>
        <v>Valid</v>
      </c>
      <c r="AK317" t="str">
        <f t="shared" si="64"/>
        <v xml:space="preserve">Valid </v>
      </c>
      <c r="AL317" t="str">
        <f>IF(AND(Audit_Data[[#This Row],[Recency]]&gt;=0,Audit_Data[[#This Row],[Recency]]&lt;=100),"Valid","Invalid")</f>
        <v>Valid</v>
      </c>
      <c r="AM317" t="str">
        <f t="shared" si="58"/>
        <v>Valid</v>
      </c>
      <c r="AN317" t="str">
        <f t="shared" si="59"/>
        <v>Valid</v>
      </c>
      <c r="AO317" t="str">
        <f t="shared" si="60"/>
        <v>Valid</v>
      </c>
      <c r="AP317" t="str">
        <f t="shared" si="61"/>
        <v>Valid</v>
      </c>
      <c r="AQ317" t="str">
        <f>IF(Audit_Data[[#This Row],[Z_CostContact]]=3,"Valid","Invalid")</f>
        <v>Valid</v>
      </c>
      <c r="AR317" t="str">
        <f t="shared" si="62"/>
        <v>Valid</v>
      </c>
      <c r="AS317" t="str">
        <f t="shared" si="63"/>
        <v>Valid</v>
      </c>
    </row>
    <row r="318" spans="1:45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 t="str">
        <f t="shared" si="52"/>
        <v>Ok</v>
      </c>
      <c r="AE318" t="str">
        <f>IF(AND(Audit_Data[[#This Row],[Year_Birth]]&gt;=1900,Audit_Data[[#This Row],[Year_Birth]]&lt;=2010),"OK","Invalid")</f>
        <v>OK</v>
      </c>
      <c r="AF318" t="str">
        <f t="shared" si="53"/>
        <v>Valid</v>
      </c>
      <c r="AG318" t="str">
        <f t="shared" si="54"/>
        <v>Valid</v>
      </c>
      <c r="AH318" t="str">
        <f t="shared" si="55"/>
        <v>Valid</v>
      </c>
      <c r="AI318" t="str">
        <f t="shared" si="56"/>
        <v>Valid</v>
      </c>
      <c r="AJ318" t="str">
        <f t="shared" si="57"/>
        <v>Valid</v>
      </c>
      <c r="AK318" t="str">
        <f t="shared" si="64"/>
        <v xml:space="preserve">Valid </v>
      </c>
      <c r="AL318" t="str">
        <f>IF(AND(Audit_Data[[#This Row],[Recency]]&gt;=0,Audit_Data[[#This Row],[Recency]]&lt;=100),"Valid","Invalid")</f>
        <v>Valid</v>
      </c>
      <c r="AM318" t="str">
        <f t="shared" si="58"/>
        <v>Valid</v>
      </c>
      <c r="AN318" t="str">
        <f t="shared" si="59"/>
        <v>Valid</v>
      </c>
      <c r="AO318" t="str">
        <f t="shared" si="60"/>
        <v>Valid</v>
      </c>
      <c r="AP318" t="str">
        <f t="shared" si="61"/>
        <v>Valid</v>
      </c>
      <c r="AQ318" t="str">
        <f>IF(Audit_Data[[#This Row],[Z_CostContact]]=3,"Valid","Invalid")</f>
        <v>Valid</v>
      </c>
      <c r="AR318" t="str">
        <f t="shared" si="62"/>
        <v>Valid</v>
      </c>
      <c r="AS318" t="str">
        <f t="shared" si="63"/>
        <v>Valid</v>
      </c>
    </row>
    <row r="319" spans="1:45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 t="str">
        <f t="shared" si="52"/>
        <v>Ok</v>
      </c>
      <c r="AE319" t="str">
        <f>IF(AND(Audit_Data[[#This Row],[Year_Birth]]&gt;=1900,Audit_Data[[#This Row],[Year_Birth]]&lt;=2010),"OK","Invalid")</f>
        <v>OK</v>
      </c>
      <c r="AF319" t="str">
        <f t="shared" si="53"/>
        <v>Valid</v>
      </c>
      <c r="AG319" t="str">
        <f t="shared" si="54"/>
        <v>Valid</v>
      </c>
      <c r="AH319" t="str">
        <f t="shared" si="55"/>
        <v>Valid</v>
      </c>
      <c r="AI319" t="str">
        <f t="shared" si="56"/>
        <v>Valid</v>
      </c>
      <c r="AJ319" t="str">
        <f t="shared" si="57"/>
        <v>Valid</v>
      </c>
      <c r="AK319" t="str">
        <f t="shared" si="64"/>
        <v xml:space="preserve">Valid </v>
      </c>
      <c r="AL319" t="str">
        <f>IF(AND(Audit_Data[[#This Row],[Recency]]&gt;=0,Audit_Data[[#This Row],[Recency]]&lt;=100),"Valid","Invalid")</f>
        <v>Valid</v>
      </c>
      <c r="AM319" t="str">
        <f t="shared" si="58"/>
        <v>Valid</v>
      </c>
      <c r="AN319" t="str">
        <f t="shared" si="59"/>
        <v>Valid</v>
      </c>
      <c r="AO319" t="str">
        <f t="shared" si="60"/>
        <v>Valid</v>
      </c>
      <c r="AP319" t="str">
        <f t="shared" si="61"/>
        <v>Valid</v>
      </c>
      <c r="AQ319" t="str">
        <f>IF(Audit_Data[[#This Row],[Z_CostContact]]=3,"Valid","Invalid")</f>
        <v>Valid</v>
      </c>
      <c r="AR319" t="str">
        <f t="shared" si="62"/>
        <v>Valid</v>
      </c>
      <c r="AS319" t="str">
        <f t="shared" si="63"/>
        <v>Valid</v>
      </c>
    </row>
    <row r="320" spans="1:45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 t="str">
        <f t="shared" si="52"/>
        <v>Ok</v>
      </c>
      <c r="AE320" t="str">
        <f>IF(AND(Audit_Data[[#This Row],[Year_Birth]]&gt;=1900,Audit_Data[[#This Row],[Year_Birth]]&lt;=2010),"OK","Invalid")</f>
        <v>OK</v>
      </c>
      <c r="AF320" t="str">
        <f t="shared" si="53"/>
        <v>Valid</v>
      </c>
      <c r="AG320" t="str">
        <f t="shared" si="54"/>
        <v>Valid</v>
      </c>
      <c r="AH320" t="str">
        <f t="shared" si="55"/>
        <v>Valid</v>
      </c>
      <c r="AI320" t="str">
        <f t="shared" si="56"/>
        <v>Valid</v>
      </c>
      <c r="AJ320" t="str">
        <f t="shared" si="57"/>
        <v>Valid</v>
      </c>
      <c r="AK320" t="str">
        <f t="shared" si="64"/>
        <v xml:space="preserve">Valid </v>
      </c>
      <c r="AL320" t="str">
        <f>IF(AND(Audit_Data[[#This Row],[Recency]]&gt;=0,Audit_Data[[#This Row],[Recency]]&lt;=100),"Valid","Invalid")</f>
        <v>Valid</v>
      </c>
      <c r="AM320" t="str">
        <f t="shared" si="58"/>
        <v>Valid</v>
      </c>
      <c r="AN320" t="str">
        <f t="shared" si="59"/>
        <v>Valid</v>
      </c>
      <c r="AO320" t="str">
        <f t="shared" si="60"/>
        <v>Valid</v>
      </c>
      <c r="AP320" t="str">
        <f t="shared" si="61"/>
        <v>Valid</v>
      </c>
      <c r="AQ320" t="str">
        <f>IF(Audit_Data[[#This Row],[Z_CostContact]]=3,"Valid","Invalid")</f>
        <v>Valid</v>
      </c>
      <c r="AR320" t="str">
        <f t="shared" si="62"/>
        <v>Valid</v>
      </c>
      <c r="AS320" t="str">
        <f t="shared" si="63"/>
        <v>Valid</v>
      </c>
    </row>
    <row r="321" spans="1:45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 t="str">
        <f t="shared" si="52"/>
        <v>Ok</v>
      </c>
      <c r="AE321" t="str">
        <f>IF(AND(Audit_Data[[#This Row],[Year_Birth]]&gt;=1900,Audit_Data[[#This Row],[Year_Birth]]&lt;=2010),"OK","Invalid")</f>
        <v>OK</v>
      </c>
      <c r="AF321" t="str">
        <f t="shared" si="53"/>
        <v>Valid</v>
      </c>
      <c r="AG321" t="str">
        <f t="shared" si="54"/>
        <v>Valid</v>
      </c>
      <c r="AH321" t="str">
        <f t="shared" si="55"/>
        <v>Invalid</v>
      </c>
      <c r="AI321" t="str">
        <f t="shared" si="56"/>
        <v>Valid</v>
      </c>
      <c r="AJ321" t="str">
        <f t="shared" si="57"/>
        <v>Valid</v>
      </c>
      <c r="AK321" t="str">
        <f t="shared" si="64"/>
        <v xml:space="preserve">Valid </v>
      </c>
      <c r="AL321" t="str">
        <f>IF(AND(Audit_Data[[#This Row],[Recency]]&gt;=0,Audit_Data[[#This Row],[Recency]]&lt;=100),"Valid","Invalid")</f>
        <v>Valid</v>
      </c>
      <c r="AM321" t="str">
        <f t="shared" si="58"/>
        <v>Valid</v>
      </c>
      <c r="AN321" t="str">
        <f t="shared" si="59"/>
        <v>Valid</v>
      </c>
      <c r="AO321" t="str">
        <f t="shared" si="60"/>
        <v>Valid</v>
      </c>
      <c r="AP321" t="str">
        <f t="shared" si="61"/>
        <v>Valid</v>
      </c>
      <c r="AQ321" t="str">
        <f>IF(Audit_Data[[#This Row],[Z_CostContact]]=3,"Valid","Invalid")</f>
        <v>Valid</v>
      </c>
      <c r="AR321" t="str">
        <f t="shared" si="62"/>
        <v>Valid</v>
      </c>
      <c r="AS321" t="str">
        <f t="shared" si="63"/>
        <v>Valid</v>
      </c>
    </row>
    <row r="322" spans="1:45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 t="str">
        <f t="shared" ref="AD322:AD385" si="65">IF(COUNTIF(A:A,A322)&gt;1,"Duplicate","Ok")</f>
        <v>Ok</v>
      </c>
      <c r="AE322" t="str">
        <f>IF(AND(Audit_Data[[#This Row],[Year_Birth]]&gt;=1900,Audit_Data[[#This Row],[Year_Birth]]&lt;=2010),"OK","Invalid")</f>
        <v>OK</v>
      </c>
      <c r="AF322" t="str">
        <f t="shared" ref="AF322:AF385" si="66">IF(OR(C322="Graduation",C322="phD",C322="Master",C322="Basic",C322="2n Cycle"),"Valid","Invalid")</f>
        <v>Valid</v>
      </c>
      <c r="AG322" t="str">
        <f t="shared" ref="AG322:AG385" si="67">IF(OR(D322="Single",D322="Married",D322="Divorced",D322="Together",D322="Widow",D322="Alone"),"Valid","Invalid")</f>
        <v>Valid</v>
      </c>
      <c r="AH322" t="str">
        <f t="shared" ref="AH322:AH385" si="68">IF(AND(ISNUMBER(E322),E322&lt;&gt;""),"Valid","Invalid")</f>
        <v>Valid</v>
      </c>
      <c r="AI322" t="str">
        <f t="shared" ref="AI322:AI385" si="69">IF(AND(F322&gt;=0,F322&lt;=2),"Valid","Invalid")</f>
        <v>Valid</v>
      </c>
      <c r="AJ322" t="str">
        <f t="shared" ref="AJ322:AJ385" si="70">IF(AND(G322&gt;=0,G322&lt;=2),"Valid","Invalid")</f>
        <v>Valid</v>
      </c>
      <c r="AK322" t="str">
        <f t="shared" si="64"/>
        <v xml:space="preserve">Valid </v>
      </c>
      <c r="AL322" t="str">
        <f>IF(AND(Audit_Data[[#This Row],[Recency]]&gt;=0,Audit_Data[[#This Row],[Recency]]&lt;=100),"Valid","Invalid")</f>
        <v>Valid</v>
      </c>
      <c r="AM322" t="str">
        <f t="shared" ref="AM322:AM385" si="71">IF(AND(ISNUMBER(J322),J322&gt;=0,ISNUMBER(K322),K322&gt;=0,ISNUMBER(L322),L322&gt;=0,ISNUMBER(M322),M322&gt;=0,ISNUMBER(N322),N322&gt;=0,ISNUMBER(O322),O322&gt;=0),"Valid","Invalid")</f>
        <v>Valid</v>
      </c>
      <c r="AN322" t="str">
        <f t="shared" ref="AN322:AN385" si="72">IF(AND(ISNUMBER(P322),P322&gt;=0,ISNUMBER(Q322),Q322&gt;=0,ISNUMBER(R322),R322&gt;=0,ISNUMBER(S322),S322&gt;=0,ISNUMBER(T322),T322&gt;=0),"Valid","Invalid")</f>
        <v>Valid</v>
      </c>
      <c r="AO322" t="str">
        <f t="shared" ref="AO322:AO385" si="73">IF(AND(U322&lt;=1,V322&lt;=1,W322&lt;=1,X322&lt;=1,Y322&lt;=1),"Valid","Invalid")</f>
        <v>Valid</v>
      </c>
      <c r="AP322" t="str">
        <f t="shared" ref="AP322:AP385" si="74">IF(OR(Z322=0,Z322=1),"Valid","Invalid")</f>
        <v>Valid</v>
      </c>
      <c r="AQ322" t="str">
        <f>IF(Audit_Data[[#This Row],[Z_CostContact]]=3,"Valid","Invalid")</f>
        <v>Valid</v>
      </c>
      <c r="AR322" t="str">
        <f t="shared" ref="AR322:AR385" si="75">IF(AB322=11,"Valid","Invalid")</f>
        <v>Valid</v>
      </c>
      <c r="AS322" t="str">
        <f t="shared" ref="AS322:AS385" si="76">IF(OR(AC322=0,AC322=1),"Valid","Invalid")</f>
        <v>Valid</v>
      </c>
    </row>
    <row r="323" spans="1:45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 t="str">
        <f t="shared" si="65"/>
        <v>Ok</v>
      </c>
      <c r="AE323" t="str">
        <f>IF(AND(Audit_Data[[#This Row],[Year_Birth]]&gt;=1900,Audit_Data[[#This Row],[Year_Birth]]&lt;=2010),"OK","Invalid")</f>
        <v>OK</v>
      </c>
      <c r="AF323" t="str">
        <f t="shared" si="66"/>
        <v>Valid</v>
      </c>
      <c r="AG323" t="str">
        <f t="shared" si="67"/>
        <v>Valid</v>
      </c>
      <c r="AH323" t="str">
        <f t="shared" si="68"/>
        <v>Valid</v>
      </c>
      <c r="AI323" t="str">
        <f t="shared" si="69"/>
        <v>Valid</v>
      </c>
      <c r="AJ323" t="str">
        <f t="shared" si="70"/>
        <v>Valid</v>
      </c>
      <c r="AK323" t="str">
        <f t="shared" ref="AK323:AK386" si="77">IF(AND(ISNUMBER(H323),H323&gt;=DATE(2012,1,1),H323&lt;=DATE(2014,12,31)),"Valid ","Invalid")</f>
        <v xml:space="preserve">Valid </v>
      </c>
      <c r="AL323" t="str">
        <f>IF(AND(Audit_Data[[#This Row],[Recency]]&gt;=0,Audit_Data[[#This Row],[Recency]]&lt;=100),"Valid","Invalid")</f>
        <v>Valid</v>
      </c>
      <c r="AM323" t="str">
        <f t="shared" si="71"/>
        <v>Valid</v>
      </c>
      <c r="AN323" t="str">
        <f t="shared" si="72"/>
        <v>Valid</v>
      </c>
      <c r="AO323" t="str">
        <f t="shared" si="73"/>
        <v>Valid</v>
      </c>
      <c r="AP323" t="str">
        <f t="shared" si="74"/>
        <v>Valid</v>
      </c>
      <c r="AQ323" t="str">
        <f>IF(Audit_Data[[#This Row],[Z_CostContact]]=3,"Valid","Invalid")</f>
        <v>Valid</v>
      </c>
      <c r="AR323" t="str">
        <f t="shared" si="75"/>
        <v>Valid</v>
      </c>
      <c r="AS323" t="str">
        <f t="shared" si="76"/>
        <v>Valid</v>
      </c>
    </row>
    <row r="324" spans="1:45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 t="str">
        <f t="shared" si="65"/>
        <v>Ok</v>
      </c>
      <c r="AE324" t="str">
        <f>IF(AND(Audit_Data[[#This Row],[Year_Birth]]&gt;=1900,Audit_Data[[#This Row],[Year_Birth]]&lt;=2010),"OK","Invalid")</f>
        <v>OK</v>
      </c>
      <c r="AF324" t="str">
        <f t="shared" si="66"/>
        <v>Valid</v>
      </c>
      <c r="AG324" t="str">
        <f t="shared" si="67"/>
        <v>Valid</v>
      </c>
      <c r="AH324" t="str">
        <f t="shared" si="68"/>
        <v>Valid</v>
      </c>
      <c r="AI324" t="str">
        <f t="shared" si="69"/>
        <v>Valid</v>
      </c>
      <c r="AJ324" t="str">
        <f t="shared" si="70"/>
        <v>Valid</v>
      </c>
      <c r="AK324" t="str">
        <f t="shared" si="77"/>
        <v xml:space="preserve">Valid </v>
      </c>
      <c r="AL324" t="str">
        <f>IF(AND(Audit_Data[[#This Row],[Recency]]&gt;=0,Audit_Data[[#This Row],[Recency]]&lt;=100),"Valid","Invalid")</f>
        <v>Valid</v>
      </c>
      <c r="AM324" t="str">
        <f t="shared" si="71"/>
        <v>Valid</v>
      </c>
      <c r="AN324" t="str">
        <f t="shared" si="72"/>
        <v>Valid</v>
      </c>
      <c r="AO324" t="str">
        <f t="shared" si="73"/>
        <v>Valid</v>
      </c>
      <c r="AP324" t="str">
        <f t="shared" si="74"/>
        <v>Valid</v>
      </c>
      <c r="AQ324" t="str">
        <f>IF(Audit_Data[[#This Row],[Z_CostContact]]=3,"Valid","Invalid")</f>
        <v>Valid</v>
      </c>
      <c r="AR324" t="str">
        <f t="shared" si="75"/>
        <v>Valid</v>
      </c>
      <c r="AS324" t="str">
        <f t="shared" si="76"/>
        <v>Valid</v>
      </c>
    </row>
    <row r="325" spans="1:45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 t="str">
        <f t="shared" si="65"/>
        <v>Ok</v>
      </c>
      <c r="AE325" t="str">
        <f>IF(AND(Audit_Data[[#This Row],[Year_Birth]]&gt;=1900,Audit_Data[[#This Row],[Year_Birth]]&lt;=2010),"OK","Invalid")</f>
        <v>OK</v>
      </c>
      <c r="AF325" t="str">
        <f t="shared" si="66"/>
        <v>Valid</v>
      </c>
      <c r="AG325" t="str">
        <f t="shared" si="67"/>
        <v>Valid</v>
      </c>
      <c r="AH325" t="str">
        <f t="shared" si="68"/>
        <v>Valid</v>
      </c>
      <c r="AI325" t="str">
        <f t="shared" si="69"/>
        <v>Valid</v>
      </c>
      <c r="AJ325" t="str">
        <f t="shared" si="70"/>
        <v>Valid</v>
      </c>
      <c r="AK325" t="str">
        <f t="shared" si="77"/>
        <v xml:space="preserve">Valid </v>
      </c>
      <c r="AL325" t="str">
        <f>IF(AND(Audit_Data[[#This Row],[Recency]]&gt;=0,Audit_Data[[#This Row],[Recency]]&lt;=100),"Valid","Invalid")</f>
        <v>Valid</v>
      </c>
      <c r="AM325" t="str">
        <f t="shared" si="71"/>
        <v>Valid</v>
      </c>
      <c r="AN325" t="str">
        <f t="shared" si="72"/>
        <v>Valid</v>
      </c>
      <c r="AO325" t="str">
        <f t="shared" si="73"/>
        <v>Valid</v>
      </c>
      <c r="AP325" t="str">
        <f t="shared" si="74"/>
        <v>Valid</v>
      </c>
      <c r="AQ325" t="str">
        <f>IF(Audit_Data[[#This Row],[Z_CostContact]]=3,"Valid","Invalid")</f>
        <v>Valid</v>
      </c>
      <c r="AR325" t="str">
        <f t="shared" si="75"/>
        <v>Valid</v>
      </c>
      <c r="AS325" t="str">
        <f t="shared" si="76"/>
        <v>Valid</v>
      </c>
    </row>
    <row r="326" spans="1:45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 t="str">
        <f t="shared" si="65"/>
        <v>Ok</v>
      </c>
      <c r="AE326" t="str">
        <f>IF(AND(Audit_Data[[#This Row],[Year_Birth]]&gt;=1900,Audit_Data[[#This Row],[Year_Birth]]&lt;=2010),"OK","Invalid")</f>
        <v>OK</v>
      </c>
      <c r="AF326" t="str">
        <f t="shared" si="66"/>
        <v>Valid</v>
      </c>
      <c r="AG326" t="str">
        <f t="shared" si="67"/>
        <v>Valid</v>
      </c>
      <c r="AH326" t="str">
        <f t="shared" si="68"/>
        <v>Valid</v>
      </c>
      <c r="AI326" t="str">
        <f t="shared" si="69"/>
        <v>Valid</v>
      </c>
      <c r="AJ326" t="str">
        <f t="shared" si="70"/>
        <v>Valid</v>
      </c>
      <c r="AK326" t="str">
        <f t="shared" si="77"/>
        <v xml:space="preserve">Valid </v>
      </c>
      <c r="AL326" t="str">
        <f>IF(AND(Audit_Data[[#This Row],[Recency]]&gt;=0,Audit_Data[[#This Row],[Recency]]&lt;=100),"Valid","Invalid")</f>
        <v>Valid</v>
      </c>
      <c r="AM326" t="str">
        <f t="shared" si="71"/>
        <v>Valid</v>
      </c>
      <c r="AN326" t="str">
        <f t="shared" si="72"/>
        <v>Valid</v>
      </c>
      <c r="AO326" t="str">
        <f t="shared" si="73"/>
        <v>Valid</v>
      </c>
      <c r="AP326" t="str">
        <f t="shared" si="74"/>
        <v>Valid</v>
      </c>
      <c r="AQ326" t="str">
        <f>IF(Audit_Data[[#This Row],[Z_CostContact]]=3,"Valid","Invalid")</f>
        <v>Valid</v>
      </c>
      <c r="AR326" t="str">
        <f t="shared" si="75"/>
        <v>Valid</v>
      </c>
      <c r="AS326" t="str">
        <f t="shared" si="76"/>
        <v>Valid</v>
      </c>
    </row>
    <row r="327" spans="1:45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 t="str">
        <f t="shared" si="65"/>
        <v>Ok</v>
      </c>
      <c r="AE327" t="str">
        <f>IF(AND(Audit_Data[[#This Row],[Year_Birth]]&gt;=1900,Audit_Data[[#This Row],[Year_Birth]]&lt;=2010),"OK","Invalid")</f>
        <v>OK</v>
      </c>
      <c r="AF327" t="str">
        <f t="shared" si="66"/>
        <v>Valid</v>
      </c>
      <c r="AG327" t="str">
        <f t="shared" si="67"/>
        <v>Valid</v>
      </c>
      <c r="AH327" t="str">
        <f t="shared" si="68"/>
        <v>Valid</v>
      </c>
      <c r="AI327" t="str">
        <f t="shared" si="69"/>
        <v>Valid</v>
      </c>
      <c r="AJ327" t="str">
        <f t="shared" si="70"/>
        <v>Valid</v>
      </c>
      <c r="AK327" t="str">
        <f t="shared" si="77"/>
        <v xml:space="preserve">Valid </v>
      </c>
      <c r="AL327" t="str">
        <f>IF(AND(Audit_Data[[#This Row],[Recency]]&gt;=0,Audit_Data[[#This Row],[Recency]]&lt;=100),"Valid","Invalid")</f>
        <v>Valid</v>
      </c>
      <c r="AM327" t="str">
        <f t="shared" si="71"/>
        <v>Valid</v>
      </c>
      <c r="AN327" t="str">
        <f t="shared" si="72"/>
        <v>Valid</v>
      </c>
      <c r="AO327" t="str">
        <f t="shared" si="73"/>
        <v>Valid</v>
      </c>
      <c r="AP327" t="str">
        <f t="shared" si="74"/>
        <v>Valid</v>
      </c>
      <c r="AQ327" t="str">
        <f>IF(Audit_Data[[#This Row],[Z_CostContact]]=3,"Valid","Invalid")</f>
        <v>Valid</v>
      </c>
      <c r="AR327" t="str">
        <f t="shared" si="75"/>
        <v>Valid</v>
      </c>
      <c r="AS327" t="str">
        <f t="shared" si="76"/>
        <v>Valid</v>
      </c>
    </row>
    <row r="328" spans="1:45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 t="str">
        <f t="shared" si="65"/>
        <v>Ok</v>
      </c>
      <c r="AE328" t="str">
        <f>IF(AND(Audit_Data[[#This Row],[Year_Birth]]&gt;=1900,Audit_Data[[#This Row],[Year_Birth]]&lt;=2010),"OK","Invalid")</f>
        <v>OK</v>
      </c>
      <c r="AF328" t="str">
        <f t="shared" si="66"/>
        <v>Valid</v>
      </c>
      <c r="AG328" t="str">
        <f t="shared" si="67"/>
        <v>Valid</v>
      </c>
      <c r="AH328" t="str">
        <f t="shared" si="68"/>
        <v>Valid</v>
      </c>
      <c r="AI328" t="str">
        <f t="shared" si="69"/>
        <v>Valid</v>
      </c>
      <c r="AJ328" t="str">
        <f t="shared" si="70"/>
        <v>Valid</v>
      </c>
      <c r="AK328" t="str">
        <f t="shared" si="77"/>
        <v xml:space="preserve">Valid </v>
      </c>
      <c r="AL328" t="str">
        <f>IF(AND(Audit_Data[[#This Row],[Recency]]&gt;=0,Audit_Data[[#This Row],[Recency]]&lt;=100),"Valid","Invalid")</f>
        <v>Valid</v>
      </c>
      <c r="AM328" t="str">
        <f t="shared" si="71"/>
        <v>Valid</v>
      </c>
      <c r="AN328" t="str">
        <f t="shared" si="72"/>
        <v>Valid</v>
      </c>
      <c r="AO328" t="str">
        <f t="shared" si="73"/>
        <v>Valid</v>
      </c>
      <c r="AP328" t="str">
        <f t="shared" si="74"/>
        <v>Valid</v>
      </c>
      <c r="AQ328" t="str">
        <f>IF(Audit_Data[[#This Row],[Z_CostContact]]=3,"Valid","Invalid")</f>
        <v>Valid</v>
      </c>
      <c r="AR328" t="str">
        <f t="shared" si="75"/>
        <v>Valid</v>
      </c>
      <c r="AS328" t="str">
        <f t="shared" si="76"/>
        <v>Valid</v>
      </c>
    </row>
    <row r="329" spans="1:45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 t="str">
        <f t="shared" si="65"/>
        <v>Ok</v>
      </c>
      <c r="AE329" t="str">
        <f>IF(AND(Audit_Data[[#This Row],[Year_Birth]]&gt;=1900,Audit_Data[[#This Row],[Year_Birth]]&lt;=2010),"OK","Invalid")</f>
        <v>OK</v>
      </c>
      <c r="AF329" t="str">
        <f t="shared" si="66"/>
        <v>Valid</v>
      </c>
      <c r="AG329" t="str">
        <f t="shared" si="67"/>
        <v>Valid</v>
      </c>
      <c r="AH329" t="str">
        <f t="shared" si="68"/>
        <v>Valid</v>
      </c>
      <c r="AI329" t="str">
        <f t="shared" si="69"/>
        <v>Valid</v>
      </c>
      <c r="AJ329" t="str">
        <f t="shared" si="70"/>
        <v>Valid</v>
      </c>
      <c r="AK329" t="str">
        <f t="shared" si="77"/>
        <v xml:space="preserve">Valid </v>
      </c>
      <c r="AL329" t="str">
        <f>IF(AND(Audit_Data[[#This Row],[Recency]]&gt;=0,Audit_Data[[#This Row],[Recency]]&lt;=100),"Valid","Invalid")</f>
        <v>Valid</v>
      </c>
      <c r="AM329" t="str">
        <f t="shared" si="71"/>
        <v>Valid</v>
      </c>
      <c r="AN329" t="str">
        <f t="shared" si="72"/>
        <v>Valid</v>
      </c>
      <c r="AO329" t="str">
        <f t="shared" si="73"/>
        <v>Valid</v>
      </c>
      <c r="AP329" t="str">
        <f t="shared" si="74"/>
        <v>Valid</v>
      </c>
      <c r="AQ329" t="str">
        <f>IF(Audit_Data[[#This Row],[Z_CostContact]]=3,"Valid","Invalid")</f>
        <v>Valid</v>
      </c>
      <c r="AR329" t="str">
        <f t="shared" si="75"/>
        <v>Valid</v>
      </c>
      <c r="AS329" t="str">
        <f t="shared" si="76"/>
        <v>Valid</v>
      </c>
    </row>
    <row r="330" spans="1:45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 t="str">
        <f t="shared" si="65"/>
        <v>Ok</v>
      </c>
      <c r="AE330" t="str">
        <f>IF(AND(Audit_Data[[#This Row],[Year_Birth]]&gt;=1900,Audit_Data[[#This Row],[Year_Birth]]&lt;=2010),"OK","Invalid")</f>
        <v>OK</v>
      </c>
      <c r="AF330" t="str">
        <f t="shared" si="66"/>
        <v>Valid</v>
      </c>
      <c r="AG330" t="str">
        <f t="shared" si="67"/>
        <v>Valid</v>
      </c>
      <c r="AH330" t="str">
        <f t="shared" si="68"/>
        <v>Valid</v>
      </c>
      <c r="AI330" t="str">
        <f t="shared" si="69"/>
        <v>Valid</v>
      </c>
      <c r="AJ330" t="str">
        <f t="shared" si="70"/>
        <v>Valid</v>
      </c>
      <c r="AK330" t="str">
        <f t="shared" si="77"/>
        <v xml:space="preserve">Valid </v>
      </c>
      <c r="AL330" t="str">
        <f>IF(AND(Audit_Data[[#This Row],[Recency]]&gt;=0,Audit_Data[[#This Row],[Recency]]&lt;=100),"Valid","Invalid")</f>
        <v>Valid</v>
      </c>
      <c r="AM330" t="str">
        <f t="shared" si="71"/>
        <v>Valid</v>
      </c>
      <c r="AN330" t="str">
        <f t="shared" si="72"/>
        <v>Valid</v>
      </c>
      <c r="AO330" t="str">
        <f t="shared" si="73"/>
        <v>Valid</v>
      </c>
      <c r="AP330" t="str">
        <f t="shared" si="74"/>
        <v>Valid</v>
      </c>
      <c r="AQ330" t="str">
        <f>IF(Audit_Data[[#This Row],[Z_CostContact]]=3,"Valid","Invalid")</f>
        <v>Valid</v>
      </c>
      <c r="AR330" t="str">
        <f t="shared" si="75"/>
        <v>Valid</v>
      </c>
      <c r="AS330" t="str">
        <f t="shared" si="76"/>
        <v>Valid</v>
      </c>
    </row>
    <row r="331" spans="1:45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 t="str">
        <f t="shared" si="65"/>
        <v>Ok</v>
      </c>
      <c r="AE331" t="str">
        <f>IF(AND(Audit_Data[[#This Row],[Year_Birth]]&gt;=1900,Audit_Data[[#This Row],[Year_Birth]]&lt;=2010),"OK","Invalid")</f>
        <v>OK</v>
      </c>
      <c r="AF331" t="str">
        <f t="shared" si="66"/>
        <v>Valid</v>
      </c>
      <c r="AG331" t="str">
        <f t="shared" si="67"/>
        <v>Valid</v>
      </c>
      <c r="AH331" t="str">
        <f t="shared" si="68"/>
        <v>Valid</v>
      </c>
      <c r="AI331" t="str">
        <f t="shared" si="69"/>
        <v>Valid</v>
      </c>
      <c r="AJ331" t="str">
        <f t="shared" si="70"/>
        <v>Valid</v>
      </c>
      <c r="AK331" t="str">
        <f t="shared" si="77"/>
        <v xml:space="preserve">Valid </v>
      </c>
      <c r="AL331" t="str">
        <f>IF(AND(Audit_Data[[#This Row],[Recency]]&gt;=0,Audit_Data[[#This Row],[Recency]]&lt;=100),"Valid","Invalid")</f>
        <v>Valid</v>
      </c>
      <c r="AM331" t="str">
        <f t="shared" si="71"/>
        <v>Valid</v>
      </c>
      <c r="AN331" t="str">
        <f t="shared" si="72"/>
        <v>Valid</v>
      </c>
      <c r="AO331" t="str">
        <f t="shared" si="73"/>
        <v>Valid</v>
      </c>
      <c r="AP331" t="str">
        <f t="shared" si="74"/>
        <v>Valid</v>
      </c>
      <c r="AQ331" t="str">
        <f>IF(Audit_Data[[#This Row],[Z_CostContact]]=3,"Valid","Invalid")</f>
        <v>Valid</v>
      </c>
      <c r="AR331" t="str">
        <f t="shared" si="75"/>
        <v>Valid</v>
      </c>
      <c r="AS331" t="str">
        <f t="shared" si="76"/>
        <v>Valid</v>
      </c>
    </row>
    <row r="332" spans="1:45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 t="str">
        <f t="shared" si="65"/>
        <v>Ok</v>
      </c>
      <c r="AE332" t="str">
        <f>IF(AND(Audit_Data[[#This Row],[Year_Birth]]&gt;=1900,Audit_Data[[#This Row],[Year_Birth]]&lt;=2010),"OK","Invalid")</f>
        <v>OK</v>
      </c>
      <c r="AF332" t="str">
        <f t="shared" si="66"/>
        <v>Valid</v>
      </c>
      <c r="AG332" t="str">
        <f t="shared" si="67"/>
        <v>Valid</v>
      </c>
      <c r="AH332" t="str">
        <f t="shared" si="68"/>
        <v>Valid</v>
      </c>
      <c r="AI332" t="str">
        <f t="shared" si="69"/>
        <v>Valid</v>
      </c>
      <c r="AJ332" t="str">
        <f t="shared" si="70"/>
        <v>Valid</v>
      </c>
      <c r="AK332" t="str">
        <f t="shared" si="77"/>
        <v xml:space="preserve">Valid </v>
      </c>
      <c r="AL332" t="str">
        <f>IF(AND(Audit_Data[[#This Row],[Recency]]&gt;=0,Audit_Data[[#This Row],[Recency]]&lt;=100),"Valid","Invalid")</f>
        <v>Valid</v>
      </c>
      <c r="AM332" t="str">
        <f t="shared" si="71"/>
        <v>Valid</v>
      </c>
      <c r="AN332" t="str">
        <f t="shared" si="72"/>
        <v>Valid</v>
      </c>
      <c r="AO332" t="str">
        <f t="shared" si="73"/>
        <v>Valid</v>
      </c>
      <c r="AP332" t="str">
        <f t="shared" si="74"/>
        <v>Valid</v>
      </c>
      <c r="AQ332" t="str">
        <f>IF(Audit_Data[[#This Row],[Z_CostContact]]=3,"Valid","Invalid")</f>
        <v>Valid</v>
      </c>
      <c r="AR332" t="str">
        <f t="shared" si="75"/>
        <v>Valid</v>
      </c>
      <c r="AS332" t="str">
        <f t="shared" si="76"/>
        <v>Valid</v>
      </c>
    </row>
    <row r="333" spans="1:45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 t="str">
        <f t="shared" si="65"/>
        <v>Ok</v>
      </c>
      <c r="AE333" t="str">
        <f>IF(AND(Audit_Data[[#This Row],[Year_Birth]]&gt;=1900,Audit_Data[[#This Row],[Year_Birth]]&lt;=2010),"OK","Invalid")</f>
        <v>OK</v>
      </c>
      <c r="AF333" t="str">
        <f t="shared" si="66"/>
        <v>Valid</v>
      </c>
      <c r="AG333" t="str">
        <f t="shared" si="67"/>
        <v>Valid</v>
      </c>
      <c r="AH333" t="str">
        <f t="shared" si="68"/>
        <v>Valid</v>
      </c>
      <c r="AI333" t="str">
        <f t="shared" si="69"/>
        <v>Valid</v>
      </c>
      <c r="AJ333" t="str">
        <f t="shared" si="70"/>
        <v>Valid</v>
      </c>
      <c r="AK333" t="str">
        <f t="shared" si="77"/>
        <v xml:space="preserve">Valid </v>
      </c>
      <c r="AL333" t="str">
        <f>IF(AND(Audit_Data[[#This Row],[Recency]]&gt;=0,Audit_Data[[#This Row],[Recency]]&lt;=100),"Valid","Invalid")</f>
        <v>Valid</v>
      </c>
      <c r="AM333" t="str">
        <f t="shared" si="71"/>
        <v>Valid</v>
      </c>
      <c r="AN333" t="str">
        <f t="shared" si="72"/>
        <v>Valid</v>
      </c>
      <c r="AO333" t="str">
        <f t="shared" si="73"/>
        <v>Valid</v>
      </c>
      <c r="AP333" t="str">
        <f t="shared" si="74"/>
        <v>Valid</v>
      </c>
      <c r="AQ333" t="str">
        <f>IF(Audit_Data[[#This Row],[Z_CostContact]]=3,"Valid","Invalid")</f>
        <v>Valid</v>
      </c>
      <c r="AR333" t="str">
        <f t="shared" si="75"/>
        <v>Valid</v>
      </c>
      <c r="AS333" t="str">
        <f t="shared" si="76"/>
        <v>Valid</v>
      </c>
    </row>
    <row r="334" spans="1:45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 t="str">
        <f t="shared" si="65"/>
        <v>Ok</v>
      </c>
      <c r="AE334" t="str">
        <f>IF(AND(Audit_Data[[#This Row],[Year_Birth]]&gt;=1900,Audit_Data[[#This Row],[Year_Birth]]&lt;=2010),"OK","Invalid")</f>
        <v>OK</v>
      </c>
      <c r="AF334" t="str">
        <f t="shared" si="66"/>
        <v>Valid</v>
      </c>
      <c r="AG334" t="str">
        <f t="shared" si="67"/>
        <v>Valid</v>
      </c>
      <c r="AH334" t="str">
        <f t="shared" si="68"/>
        <v>Valid</v>
      </c>
      <c r="AI334" t="str">
        <f t="shared" si="69"/>
        <v>Valid</v>
      </c>
      <c r="AJ334" t="str">
        <f t="shared" si="70"/>
        <v>Valid</v>
      </c>
      <c r="AK334" t="str">
        <f t="shared" si="77"/>
        <v xml:space="preserve">Valid </v>
      </c>
      <c r="AL334" t="str">
        <f>IF(AND(Audit_Data[[#This Row],[Recency]]&gt;=0,Audit_Data[[#This Row],[Recency]]&lt;=100),"Valid","Invalid")</f>
        <v>Valid</v>
      </c>
      <c r="AM334" t="str">
        <f t="shared" si="71"/>
        <v>Valid</v>
      </c>
      <c r="AN334" t="str">
        <f t="shared" si="72"/>
        <v>Valid</v>
      </c>
      <c r="AO334" t="str">
        <f t="shared" si="73"/>
        <v>Valid</v>
      </c>
      <c r="AP334" t="str">
        <f t="shared" si="74"/>
        <v>Valid</v>
      </c>
      <c r="AQ334" t="str">
        <f>IF(Audit_Data[[#This Row],[Z_CostContact]]=3,"Valid","Invalid")</f>
        <v>Valid</v>
      </c>
      <c r="AR334" t="str">
        <f t="shared" si="75"/>
        <v>Valid</v>
      </c>
      <c r="AS334" t="str">
        <f t="shared" si="76"/>
        <v>Valid</v>
      </c>
    </row>
    <row r="335" spans="1:45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 t="str">
        <f t="shared" si="65"/>
        <v>Ok</v>
      </c>
      <c r="AE335" t="str">
        <f>IF(AND(Audit_Data[[#This Row],[Year_Birth]]&gt;=1900,Audit_Data[[#This Row],[Year_Birth]]&lt;=2010),"OK","Invalid")</f>
        <v>OK</v>
      </c>
      <c r="AF335" t="str">
        <f t="shared" si="66"/>
        <v>Valid</v>
      </c>
      <c r="AG335" t="str">
        <f t="shared" si="67"/>
        <v>Valid</v>
      </c>
      <c r="AH335" t="str">
        <f t="shared" si="68"/>
        <v>Valid</v>
      </c>
      <c r="AI335" t="str">
        <f t="shared" si="69"/>
        <v>Valid</v>
      </c>
      <c r="AJ335" t="str">
        <f t="shared" si="70"/>
        <v>Valid</v>
      </c>
      <c r="AK335" t="str">
        <f t="shared" si="77"/>
        <v xml:space="preserve">Valid </v>
      </c>
      <c r="AL335" t="str">
        <f>IF(AND(Audit_Data[[#This Row],[Recency]]&gt;=0,Audit_Data[[#This Row],[Recency]]&lt;=100),"Valid","Invalid")</f>
        <v>Valid</v>
      </c>
      <c r="AM335" t="str">
        <f t="shared" si="71"/>
        <v>Valid</v>
      </c>
      <c r="AN335" t="str">
        <f t="shared" si="72"/>
        <v>Valid</v>
      </c>
      <c r="AO335" t="str">
        <f t="shared" si="73"/>
        <v>Valid</v>
      </c>
      <c r="AP335" t="str">
        <f t="shared" si="74"/>
        <v>Valid</v>
      </c>
      <c r="AQ335" t="str">
        <f>IF(Audit_Data[[#This Row],[Z_CostContact]]=3,"Valid","Invalid")</f>
        <v>Valid</v>
      </c>
      <c r="AR335" t="str">
        <f t="shared" si="75"/>
        <v>Valid</v>
      </c>
      <c r="AS335" t="str">
        <f t="shared" si="76"/>
        <v>Valid</v>
      </c>
    </row>
    <row r="336" spans="1:45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 t="str">
        <f t="shared" si="65"/>
        <v>Ok</v>
      </c>
      <c r="AE336" t="str">
        <f>IF(AND(Audit_Data[[#This Row],[Year_Birth]]&gt;=1900,Audit_Data[[#This Row],[Year_Birth]]&lt;=2010),"OK","Invalid")</f>
        <v>OK</v>
      </c>
      <c r="AF336" t="str">
        <f t="shared" si="66"/>
        <v>Valid</v>
      </c>
      <c r="AG336" t="str">
        <f t="shared" si="67"/>
        <v>Valid</v>
      </c>
      <c r="AH336" t="str">
        <f t="shared" si="68"/>
        <v>Valid</v>
      </c>
      <c r="AI336" t="str">
        <f t="shared" si="69"/>
        <v>Valid</v>
      </c>
      <c r="AJ336" t="str">
        <f t="shared" si="70"/>
        <v>Valid</v>
      </c>
      <c r="AK336" t="str">
        <f t="shared" si="77"/>
        <v xml:space="preserve">Valid </v>
      </c>
      <c r="AL336" t="str">
        <f>IF(AND(Audit_Data[[#This Row],[Recency]]&gt;=0,Audit_Data[[#This Row],[Recency]]&lt;=100),"Valid","Invalid")</f>
        <v>Valid</v>
      </c>
      <c r="AM336" t="str">
        <f t="shared" si="71"/>
        <v>Valid</v>
      </c>
      <c r="AN336" t="str">
        <f t="shared" si="72"/>
        <v>Valid</v>
      </c>
      <c r="AO336" t="str">
        <f t="shared" si="73"/>
        <v>Valid</v>
      </c>
      <c r="AP336" t="str">
        <f t="shared" si="74"/>
        <v>Valid</v>
      </c>
      <c r="AQ336" t="str">
        <f>IF(Audit_Data[[#This Row],[Z_CostContact]]=3,"Valid","Invalid")</f>
        <v>Valid</v>
      </c>
      <c r="AR336" t="str">
        <f t="shared" si="75"/>
        <v>Valid</v>
      </c>
      <c r="AS336" t="str">
        <f t="shared" si="76"/>
        <v>Valid</v>
      </c>
    </row>
    <row r="337" spans="1:45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 t="str">
        <f t="shared" si="65"/>
        <v>Ok</v>
      </c>
      <c r="AE337" t="str">
        <f>IF(AND(Audit_Data[[#This Row],[Year_Birth]]&gt;=1900,Audit_Data[[#This Row],[Year_Birth]]&lt;=2010),"OK","Invalid")</f>
        <v>OK</v>
      </c>
      <c r="AF337" t="str">
        <f t="shared" si="66"/>
        <v>Valid</v>
      </c>
      <c r="AG337" t="str">
        <f t="shared" si="67"/>
        <v>Valid</v>
      </c>
      <c r="AH337" t="str">
        <f t="shared" si="68"/>
        <v>Valid</v>
      </c>
      <c r="AI337" t="str">
        <f t="shared" si="69"/>
        <v>Valid</v>
      </c>
      <c r="AJ337" t="str">
        <f t="shared" si="70"/>
        <v>Valid</v>
      </c>
      <c r="AK337" t="str">
        <f t="shared" si="77"/>
        <v xml:space="preserve">Valid </v>
      </c>
      <c r="AL337" t="str">
        <f>IF(AND(Audit_Data[[#This Row],[Recency]]&gt;=0,Audit_Data[[#This Row],[Recency]]&lt;=100),"Valid","Invalid")</f>
        <v>Valid</v>
      </c>
      <c r="AM337" t="str">
        <f t="shared" si="71"/>
        <v>Valid</v>
      </c>
      <c r="AN337" t="str">
        <f t="shared" si="72"/>
        <v>Valid</v>
      </c>
      <c r="AO337" t="str">
        <f t="shared" si="73"/>
        <v>Valid</v>
      </c>
      <c r="AP337" t="str">
        <f t="shared" si="74"/>
        <v>Valid</v>
      </c>
      <c r="AQ337" t="str">
        <f>IF(Audit_Data[[#This Row],[Z_CostContact]]=3,"Valid","Invalid")</f>
        <v>Valid</v>
      </c>
      <c r="AR337" t="str">
        <f t="shared" si="75"/>
        <v>Valid</v>
      </c>
      <c r="AS337" t="str">
        <f t="shared" si="76"/>
        <v>Valid</v>
      </c>
    </row>
    <row r="338" spans="1:45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 t="str">
        <f t="shared" si="65"/>
        <v>Ok</v>
      </c>
      <c r="AE338" t="str">
        <f>IF(AND(Audit_Data[[#This Row],[Year_Birth]]&gt;=1900,Audit_Data[[#This Row],[Year_Birth]]&lt;=2010),"OK","Invalid")</f>
        <v>OK</v>
      </c>
      <c r="AF338" t="str">
        <f t="shared" si="66"/>
        <v>Valid</v>
      </c>
      <c r="AG338" t="str">
        <f t="shared" si="67"/>
        <v>Valid</v>
      </c>
      <c r="AH338" t="str">
        <f t="shared" si="68"/>
        <v>Valid</v>
      </c>
      <c r="AI338" t="str">
        <f t="shared" si="69"/>
        <v>Valid</v>
      </c>
      <c r="AJ338" t="str">
        <f t="shared" si="70"/>
        <v>Valid</v>
      </c>
      <c r="AK338" t="str">
        <f t="shared" si="77"/>
        <v xml:space="preserve">Valid </v>
      </c>
      <c r="AL338" t="str">
        <f>IF(AND(Audit_Data[[#This Row],[Recency]]&gt;=0,Audit_Data[[#This Row],[Recency]]&lt;=100),"Valid","Invalid")</f>
        <v>Valid</v>
      </c>
      <c r="AM338" t="str">
        <f t="shared" si="71"/>
        <v>Valid</v>
      </c>
      <c r="AN338" t="str">
        <f t="shared" si="72"/>
        <v>Valid</v>
      </c>
      <c r="AO338" t="str">
        <f t="shared" si="73"/>
        <v>Valid</v>
      </c>
      <c r="AP338" t="str">
        <f t="shared" si="74"/>
        <v>Valid</v>
      </c>
      <c r="AQ338" t="str">
        <f>IF(Audit_Data[[#This Row],[Z_CostContact]]=3,"Valid","Invalid")</f>
        <v>Valid</v>
      </c>
      <c r="AR338" t="str">
        <f t="shared" si="75"/>
        <v>Valid</v>
      </c>
      <c r="AS338" t="str">
        <f t="shared" si="76"/>
        <v>Valid</v>
      </c>
    </row>
    <row r="339" spans="1:45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 t="str">
        <f t="shared" si="65"/>
        <v>Ok</v>
      </c>
      <c r="AE339" t="str">
        <f>IF(AND(Audit_Data[[#This Row],[Year_Birth]]&gt;=1900,Audit_Data[[#This Row],[Year_Birth]]&lt;=2010),"OK","Invalid")</f>
        <v>OK</v>
      </c>
      <c r="AF339" t="str">
        <f t="shared" si="66"/>
        <v>Valid</v>
      </c>
      <c r="AG339" t="str">
        <f t="shared" si="67"/>
        <v>Valid</v>
      </c>
      <c r="AH339" t="str">
        <f t="shared" si="68"/>
        <v>Valid</v>
      </c>
      <c r="AI339" t="str">
        <f t="shared" si="69"/>
        <v>Valid</v>
      </c>
      <c r="AJ339" t="str">
        <f t="shared" si="70"/>
        <v>Valid</v>
      </c>
      <c r="AK339" t="str">
        <f t="shared" si="77"/>
        <v xml:space="preserve">Valid </v>
      </c>
      <c r="AL339" t="str">
        <f>IF(AND(Audit_Data[[#This Row],[Recency]]&gt;=0,Audit_Data[[#This Row],[Recency]]&lt;=100),"Valid","Invalid")</f>
        <v>Valid</v>
      </c>
      <c r="AM339" t="str">
        <f t="shared" si="71"/>
        <v>Valid</v>
      </c>
      <c r="AN339" t="str">
        <f t="shared" si="72"/>
        <v>Valid</v>
      </c>
      <c r="AO339" t="str">
        <f t="shared" si="73"/>
        <v>Valid</v>
      </c>
      <c r="AP339" t="str">
        <f t="shared" si="74"/>
        <v>Valid</v>
      </c>
      <c r="AQ339" t="str">
        <f>IF(Audit_Data[[#This Row],[Z_CostContact]]=3,"Valid","Invalid")</f>
        <v>Valid</v>
      </c>
      <c r="AR339" t="str">
        <f t="shared" si="75"/>
        <v>Valid</v>
      </c>
      <c r="AS339" t="str">
        <f t="shared" si="76"/>
        <v>Valid</v>
      </c>
    </row>
    <row r="340" spans="1:45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 t="str">
        <f t="shared" si="65"/>
        <v>Ok</v>
      </c>
      <c r="AE340" t="str">
        <f>IF(AND(Audit_Data[[#This Row],[Year_Birth]]&gt;=1900,Audit_Data[[#This Row],[Year_Birth]]&lt;=2010),"OK","Invalid")</f>
        <v>OK</v>
      </c>
      <c r="AF340" t="str">
        <f t="shared" si="66"/>
        <v>Valid</v>
      </c>
      <c r="AG340" t="str">
        <f t="shared" si="67"/>
        <v>Valid</v>
      </c>
      <c r="AH340" t="str">
        <f t="shared" si="68"/>
        <v>Valid</v>
      </c>
      <c r="AI340" t="str">
        <f t="shared" si="69"/>
        <v>Valid</v>
      </c>
      <c r="AJ340" t="str">
        <f t="shared" si="70"/>
        <v>Valid</v>
      </c>
      <c r="AK340" t="str">
        <f t="shared" si="77"/>
        <v xml:space="preserve">Valid </v>
      </c>
      <c r="AL340" t="str">
        <f>IF(AND(Audit_Data[[#This Row],[Recency]]&gt;=0,Audit_Data[[#This Row],[Recency]]&lt;=100),"Valid","Invalid")</f>
        <v>Valid</v>
      </c>
      <c r="AM340" t="str">
        <f t="shared" si="71"/>
        <v>Valid</v>
      </c>
      <c r="AN340" t="str">
        <f t="shared" si="72"/>
        <v>Valid</v>
      </c>
      <c r="AO340" t="str">
        <f t="shared" si="73"/>
        <v>Valid</v>
      </c>
      <c r="AP340" t="str">
        <f t="shared" si="74"/>
        <v>Valid</v>
      </c>
      <c r="AQ340" t="str">
        <f>IF(Audit_Data[[#This Row],[Z_CostContact]]=3,"Valid","Invalid")</f>
        <v>Valid</v>
      </c>
      <c r="AR340" t="str">
        <f t="shared" si="75"/>
        <v>Valid</v>
      </c>
      <c r="AS340" t="str">
        <f t="shared" si="76"/>
        <v>Valid</v>
      </c>
    </row>
    <row r="341" spans="1:45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 t="str">
        <f t="shared" si="65"/>
        <v>Ok</v>
      </c>
      <c r="AE341" t="str">
        <f>IF(AND(Audit_Data[[#This Row],[Year_Birth]]&gt;=1900,Audit_Data[[#This Row],[Year_Birth]]&lt;=2010),"OK","Invalid")</f>
        <v>Invalid</v>
      </c>
      <c r="AF341" t="str">
        <f t="shared" si="66"/>
        <v>Valid</v>
      </c>
      <c r="AG341" t="str">
        <f t="shared" si="67"/>
        <v>Valid</v>
      </c>
      <c r="AH341" t="str">
        <f t="shared" si="68"/>
        <v>Valid</v>
      </c>
      <c r="AI341" t="str">
        <f t="shared" si="69"/>
        <v>Valid</v>
      </c>
      <c r="AJ341" t="str">
        <f t="shared" si="70"/>
        <v>Valid</v>
      </c>
      <c r="AK341" t="str">
        <f t="shared" si="77"/>
        <v xml:space="preserve">Valid </v>
      </c>
      <c r="AL341" t="str">
        <f>IF(AND(Audit_Data[[#This Row],[Recency]]&gt;=0,Audit_Data[[#This Row],[Recency]]&lt;=100),"Valid","Invalid")</f>
        <v>Valid</v>
      </c>
      <c r="AM341" t="str">
        <f t="shared" si="71"/>
        <v>Valid</v>
      </c>
      <c r="AN341" t="str">
        <f t="shared" si="72"/>
        <v>Valid</v>
      </c>
      <c r="AO341" t="str">
        <f t="shared" si="73"/>
        <v>Valid</v>
      </c>
      <c r="AP341" t="str">
        <f t="shared" si="74"/>
        <v>Valid</v>
      </c>
      <c r="AQ341" t="str">
        <f>IF(Audit_Data[[#This Row],[Z_CostContact]]=3,"Valid","Invalid")</f>
        <v>Valid</v>
      </c>
      <c r="AR341" t="str">
        <f t="shared" si="75"/>
        <v>Valid</v>
      </c>
      <c r="AS341" t="str">
        <f t="shared" si="76"/>
        <v>Valid</v>
      </c>
    </row>
    <row r="342" spans="1:45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 t="str">
        <f t="shared" si="65"/>
        <v>Ok</v>
      </c>
      <c r="AE342" t="str">
        <f>IF(AND(Audit_Data[[#This Row],[Year_Birth]]&gt;=1900,Audit_Data[[#This Row],[Year_Birth]]&lt;=2010),"OK","Invalid")</f>
        <v>OK</v>
      </c>
      <c r="AF342" t="str">
        <f t="shared" si="66"/>
        <v>Valid</v>
      </c>
      <c r="AG342" t="str">
        <f t="shared" si="67"/>
        <v>Valid</v>
      </c>
      <c r="AH342" t="str">
        <f t="shared" si="68"/>
        <v>Valid</v>
      </c>
      <c r="AI342" t="str">
        <f t="shared" si="69"/>
        <v>Valid</v>
      </c>
      <c r="AJ342" t="str">
        <f t="shared" si="70"/>
        <v>Valid</v>
      </c>
      <c r="AK342" t="str">
        <f t="shared" si="77"/>
        <v xml:space="preserve">Valid </v>
      </c>
      <c r="AL342" t="str">
        <f>IF(AND(Audit_Data[[#This Row],[Recency]]&gt;=0,Audit_Data[[#This Row],[Recency]]&lt;=100),"Valid","Invalid")</f>
        <v>Valid</v>
      </c>
      <c r="AM342" t="str">
        <f t="shared" si="71"/>
        <v>Valid</v>
      </c>
      <c r="AN342" t="str">
        <f t="shared" si="72"/>
        <v>Valid</v>
      </c>
      <c r="AO342" t="str">
        <f t="shared" si="73"/>
        <v>Valid</v>
      </c>
      <c r="AP342" t="str">
        <f t="shared" si="74"/>
        <v>Valid</v>
      </c>
      <c r="AQ342" t="str">
        <f>IF(Audit_Data[[#This Row],[Z_CostContact]]=3,"Valid","Invalid")</f>
        <v>Valid</v>
      </c>
      <c r="AR342" t="str">
        <f t="shared" si="75"/>
        <v>Valid</v>
      </c>
      <c r="AS342" t="str">
        <f t="shared" si="76"/>
        <v>Valid</v>
      </c>
    </row>
    <row r="343" spans="1:45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 t="str">
        <f t="shared" si="65"/>
        <v>Ok</v>
      </c>
      <c r="AE343" t="str">
        <f>IF(AND(Audit_Data[[#This Row],[Year_Birth]]&gt;=1900,Audit_Data[[#This Row],[Year_Birth]]&lt;=2010),"OK","Invalid")</f>
        <v>OK</v>
      </c>
      <c r="AF343" t="str">
        <f t="shared" si="66"/>
        <v>Valid</v>
      </c>
      <c r="AG343" t="str">
        <f t="shared" si="67"/>
        <v>Valid</v>
      </c>
      <c r="AH343" t="str">
        <f t="shared" si="68"/>
        <v>Valid</v>
      </c>
      <c r="AI343" t="str">
        <f t="shared" si="69"/>
        <v>Valid</v>
      </c>
      <c r="AJ343" t="str">
        <f t="shared" si="70"/>
        <v>Valid</v>
      </c>
      <c r="AK343" t="str">
        <f t="shared" si="77"/>
        <v xml:space="preserve">Valid </v>
      </c>
      <c r="AL343" t="str">
        <f>IF(AND(Audit_Data[[#This Row],[Recency]]&gt;=0,Audit_Data[[#This Row],[Recency]]&lt;=100),"Valid","Invalid")</f>
        <v>Valid</v>
      </c>
      <c r="AM343" t="str">
        <f t="shared" si="71"/>
        <v>Valid</v>
      </c>
      <c r="AN343" t="str">
        <f t="shared" si="72"/>
        <v>Valid</v>
      </c>
      <c r="AO343" t="str">
        <f t="shared" si="73"/>
        <v>Valid</v>
      </c>
      <c r="AP343" t="str">
        <f t="shared" si="74"/>
        <v>Valid</v>
      </c>
      <c r="AQ343" t="str">
        <f>IF(Audit_Data[[#This Row],[Z_CostContact]]=3,"Valid","Invalid")</f>
        <v>Valid</v>
      </c>
      <c r="AR343" t="str">
        <f t="shared" si="75"/>
        <v>Valid</v>
      </c>
      <c r="AS343" t="str">
        <f t="shared" si="76"/>
        <v>Valid</v>
      </c>
    </row>
    <row r="344" spans="1:45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 t="str">
        <f t="shared" si="65"/>
        <v>Ok</v>
      </c>
      <c r="AE344" t="str">
        <f>IF(AND(Audit_Data[[#This Row],[Year_Birth]]&gt;=1900,Audit_Data[[#This Row],[Year_Birth]]&lt;=2010),"OK","Invalid")</f>
        <v>OK</v>
      </c>
      <c r="AF344" t="str">
        <f t="shared" si="66"/>
        <v>Valid</v>
      </c>
      <c r="AG344" t="str">
        <f t="shared" si="67"/>
        <v>Valid</v>
      </c>
      <c r="AH344" t="str">
        <f t="shared" si="68"/>
        <v>Valid</v>
      </c>
      <c r="AI344" t="str">
        <f t="shared" si="69"/>
        <v>Valid</v>
      </c>
      <c r="AJ344" t="str">
        <f t="shared" si="70"/>
        <v>Valid</v>
      </c>
      <c r="AK344" t="str">
        <f t="shared" si="77"/>
        <v xml:space="preserve">Valid </v>
      </c>
      <c r="AL344" t="str">
        <f>IF(AND(Audit_Data[[#This Row],[Recency]]&gt;=0,Audit_Data[[#This Row],[Recency]]&lt;=100),"Valid","Invalid")</f>
        <v>Valid</v>
      </c>
      <c r="AM344" t="str">
        <f t="shared" si="71"/>
        <v>Valid</v>
      </c>
      <c r="AN344" t="str">
        <f t="shared" si="72"/>
        <v>Valid</v>
      </c>
      <c r="AO344" t="str">
        <f t="shared" si="73"/>
        <v>Valid</v>
      </c>
      <c r="AP344" t="str">
        <f t="shared" si="74"/>
        <v>Valid</v>
      </c>
      <c r="AQ344" t="str">
        <f>IF(Audit_Data[[#This Row],[Z_CostContact]]=3,"Valid","Invalid")</f>
        <v>Valid</v>
      </c>
      <c r="AR344" t="str">
        <f t="shared" si="75"/>
        <v>Valid</v>
      </c>
      <c r="AS344" t="str">
        <f t="shared" si="76"/>
        <v>Valid</v>
      </c>
    </row>
    <row r="345" spans="1:45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 t="str">
        <f t="shared" si="65"/>
        <v>Ok</v>
      </c>
      <c r="AE345" t="str">
        <f>IF(AND(Audit_Data[[#This Row],[Year_Birth]]&gt;=1900,Audit_Data[[#This Row],[Year_Birth]]&lt;=2010),"OK","Invalid")</f>
        <v>OK</v>
      </c>
      <c r="AF345" t="str">
        <f t="shared" si="66"/>
        <v>Valid</v>
      </c>
      <c r="AG345" t="str">
        <f t="shared" si="67"/>
        <v>Valid</v>
      </c>
      <c r="AH345" t="str">
        <f t="shared" si="68"/>
        <v>Valid</v>
      </c>
      <c r="AI345" t="str">
        <f t="shared" si="69"/>
        <v>Valid</v>
      </c>
      <c r="AJ345" t="str">
        <f t="shared" si="70"/>
        <v>Valid</v>
      </c>
      <c r="AK345" t="str">
        <f t="shared" si="77"/>
        <v xml:space="preserve">Valid </v>
      </c>
      <c r="AL345" t="str">
        <f>IF(AND(Audit_Data[[#This Row],[Recency]]&gt;=0,Audit_Data[[#This Row],[Recency]]&lt;=100),"Valid","Invalid")</f>
        <v>Valid</v>
      </c>
      <c r="AM345" t="str">
        <f t="shared" si="71"/>
        <v>Valid</v>
      </c>
      <c r="AN345" t="str">
        <f t="shared" si="72"/>
        <v>Valid</v>
      </c>
      <c r="AO345" t="str">
        <f t="shared" si="73"/>
        <v>Valid</v>
      </c>
      <c r="AP345" t="str">
        <f t="shared" si="74"/>
        <v>Valid</v>
      </c>
      <c r="AQ345" t="str">
        <f>IF(Audit_Data[[#This Row],[Z_CostContact]]=3,"Valid","Invalid")</f>
        <v>Valid</v>
      </c>
      <c r="AR345" t="str">
        <f t="shared" si="75"/>
        <v>Valid</v>
      </c>
      <c r="AS345" t="str">
        <f t="shared" si="76"/>
        <v>Valid</v>
      </c>
    </row>
    <row r="346" spans="1:45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 t="str">
        <f t="shared" si="65"/>
        <v>Ok</v>
      </c>
      <c r="AE346" t="str">
        <f>IF(AND(Audit_Data[[#This Row],[Year_Birth]]&gt;=1900,Audit_Data[[#This Row],[Year_Birth]]&lt;=2010),"OK","Invalid")</f>
        <v>OK</v>
      </c>
      <c r="AF346" t="str">
        <f t="shared" si="66"/>
        <v>Valid</v>
      </c>
      <c r="AG346" t="str">
        <f t="shared" si="67"/>
        <v>Valid</v>
      </c>
      <c r="AH346" t="str">
        <f t="shared" si="68"/>
        <v>Valid</v>
      </c>
      <c r="AI346" t="str">
        <f t="shared" si="69"/>
        <v>Valid</v>
      </c>
      <c r="AJ346" t="str">
        <f t="shared" si="70"/>
        <v>Valid</v>
      </c>
      <c r="AK346" t="str">
        <f t="shared" si="77"/>
        <v xml:space="preserve">Valid </v>
      </c>
      <c r="AL346" t="str">
        <f>IF(AND(Audit_Data[[#This Row],[Recency]]&gt;=0,Audit_Data[[#This Row],[Recency]]&lt;=100),"Valid","Invalid")</f>
        <v>Valid</v>
      </c>
      <c r="AM346" t="str">
        <f t="shared" si="71"/>
        <v>Valid</v>
      </c>
      <c r="AN346" t="str">
        <f t="shared" si="72"/>
        <v>Valid</v>
      </c>
      <c r="AO346" t="str">
        <f t="shared" si="73"/>
        <v>Valid</v>
      </c>
      <c r="AP346" t="str">
        <f t="shared" si="74"/>
        <v>Valid</v>
      </c>
      <c r="AQ346" t="str">
        <f>IF(Audit_Data[[#This Row],[Z_CostContact]]=3,"Valid","Invalid")</f>
        <v>Valid</v>
      </c>
      <c r="AR346" t="str">
        <f t="shared" si="75"/>
        <v>Valid</v>
      </c>
      <c r="AS346" t="str">
        <f t="shared" si="76"/>
        <v>Valid</v>
      </c>
    </row>
    <row r="347" spans="1:45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 t="str">
        <f t="shared" si="65"/>
        <v>Ok</v>
      </c>
      <c r="AE347" t="str">
        <f>IF(AND(Audit_Data[[#This Row],[Year_Birth]]&gt;=1900,Audit_Data[[#This Row],[Year_Birth]]&lt;=2010),"OK","Invalid")</f>
        <v>OK</v>
      </c>
      <c r="AF347" t="str">
        <f t="shared" si="66"/>
        <v>Valid</v>
      </c>
      <c r="AG347" t="str">
        <f t="shared" si="67"/>
        <v>Valid</v>
      </c>
      <c r="AH347" t="str">
        <f t="shared" si="68"/>
        <v>Valid</v>
      </c>
      <c r="AI347" t="str">
        <f t="shared" si="69"/>
        <v>Valid</v>
      </c>
      <c r="AJ347" t="str">
        <f t="shared" si="70"/>
        <v>Valid</v>
      </c>
      <c r="AK347" t="str">
        <f t="shared" si="77"/>
        <v xml:space="preserve">Valid </v>
      </c>
      <c r="AL347" t="str">
        <f>IF(AND(Audit_Data[[#This Row],[Recency]]&gt;=0,Audit_Data[[#This Row],[Recency]]&lt;=100),"Valid","Invalid")</f>
        <v>Valid</v>
      </c>
      <c r="AM347" t="str">
        <f t="shared" si="71"/>
        <v>Valid</v>
      </c>
      <c r="AN347" t="str">
        <f t="shared" si="72"/>
        <v>Valid</v>
      </c>
      <c r="AO347" t="str">
        <f t="shared" si="73"/>
        <v>Valid</v>
      </c>
      <c r="AP347" t="str">
        <f t="shared" si="74"/>
        <v>Valid</v>
      </c>
      <c r="AQ347" t="str">
        <f>IF(Audit_Data[[#This Row],[Z_CostContact]]=3,"Valid","Invalid")</f>
        <v>Valid</v>
      </c>
      <c r="AR347" t="str">
        <f t="shared" si="75"/>
        <v>Valid</v>
      </c>
      <c r="AS347" t="str">
        <f t="shared" si="76"/>
        <v>Valid</v>
      </c>
    </row>
    <row r="348" spans="1:45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 t="str">
        <f t="shared" si="65"/>
        <v>Ok</v>
      </c>
      <c r="AE348" t="str">
        <f>IF(AND(Audit_Data[[#This Row],[Year_Birth]]&gt;=1900,Audit_Data[[#This Row],[Year_Birth]]&lt;=2010),"OK","Invalid")</f>
        <v>OK</v>
      </c>
      <c r="AF348" t="str">
        <f t="shared" si="66"/>
        <v>Valid</v>
      </c>
      <c r="AG348" t="str">
        <f t="shared" si="67"/>
        <v>Valid</v>
      </c>
      <c r="AH348" t="str">
        <f t="shared" si="68"/>
        <v>Valid</v>
      </c>
      <c r="AI348" t="str">
        <f t="shared" si="69"/>
        <v>Valid</v>
      </c>
      <c r="AJ348" t="str">
        <f t="shared" si="70"/>
        <v>Valid</v>
      </c>
      <c r="AK348" t="str">
        <f t="shared" si="77"/>
        <v xml:space="preserve">Valid </v>
      </c>
      <c r="AL348" t="str">
        <f>IF(AND(Audit_Data[[#This Row],[Recency]]&gt;=0,Audit_Data[[#This Row],[Recency]]&lt;=100),"Valid","Invalid")</f>
        <v>Valid</v>
      </c>
      <c r="AM348" t="str">
        <f t="shared" si="71"/>
        <v>Valid</v>
      </c>
      <c r="AN348" t="str">
        <f t="shared" si="72"/>
        <v>Valid</v>
      </c>
      <c r="AO348" t="str">
        <f t="shared" si="73"/>
        <v>Valid</v>
      </c>
      <c r="AP348" t="str">
        <f t="shared" si="74"/>
        <v>Valid</v>
      </c>
      <c r="AQ348" t="str">
        <f>IF(Audit_Data[[#This Row],[Z_CostContact]]=3,"Valid","Invalid")</f>
        <v>Valid</v>
      </c>
      <c r="AR348" t="str">
        <f t="shared" si="75"/>
        <v>Valid</v>
      </c>
      <c r="AS348" t="str">
        <f t="shared" si="76"/>
        <v>Valid</v>
      </c>
    </row>
    <row r="349" spans="1:45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 t="str">
        <f t="shared" si="65"/>
        <v>Ok</v>
      </c>
      <c r="AE349" t="str">
        <f>IF(AND(Audit_Data[[#This Row],[Year_Birth]]&gt;=1900,Audit_Data[[#This Row],[Year_Birth]]&lt;=2010),"OK","Invalid")</f>
        <v>OK</v>
      </c>
      <c r="AF349" t="str">
        <f t="shared" si="66"/>
        <v>Valid</v>
      </c>
      <c r="AG349" t="str">
        <f t="shared" si="67"/>
        <v>Valid</v>
      </c>
      <c r="AH349" t="str">
        <f t="shared" si="68"/>
        <v>Valid</v>
      </c>
      <c r="AI349" t="str">
        <f t="shared" si="69"/>
        <v>Valid</v>
      </c>
      <c r="AJ349" t="str">
        <f t="shared" si="70"/>
        <v>Valid</v>
      </c>
      <c r="AK349" t="str">
        <f t="shared" si="77"/>
        <v xml:space="preserve">Valid </v>
      </c>
      <c r="AL349" t="str">
        <f>IF(AND(Audit_Data[[#This Row],[Recency]]&gt;=0,Audit_Data[[#This Row],[Recency]]&lt;=100),"Valid","Invalid")</f>
        <v>Valid</v>
      </c>
      <c r="AM349" t="str">
        <f t="shared" si="71"/>
        <v>Valid</v>
      </c>
      <c r="AN349" t="str">
        <f t="shared" si="72"/>
        <v>Valid</v>
      </c>
      <c r="AO349" t="str">
        <f t="shared" si="73"/>
        <v>Valid</v>
      </c>
      <c r="AP349" t="str">
        <f t="shared" si="74"/>
        <v>Valid</v>
      </c>
      <c r="AQ349" t="str">
        <f>IF(Audit_Data[[#This Row],[Z_CostContact]]=3,"Valid","Invalid")</f>
        <v>Valid</v>
      </c>
      <c r="AR349" t="str">
        <f t="shared" si="75"/>
        <v>Valid</v>
      </c>
      <c r="AS349" t="str">
        <f t="shared" si="76"/>
        <v>Valid</v>
      </c>
    </row>
    <row r="350" spans="1:45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 t="str">
        <f t="shared" si="65"/>
        <v>Ok</v>
      </c>
      <c r="AE350" t="str">
        <f>IF(AND(Audit_Data[[#This Row],[Year_Birth]]&gt;=1900,Audit_Data[[#This Row],[Year_Birth]]&lt;=2010),"OK","Invalid")</f>
        <v>OK</v>
      </c>
      <c r="AF350" t="str">
        <f t="shared" si="66"/>
        <v>Valid</v>
      </c>
      <c r="AG350" t="str">
        <f t="shared" si="67"/>
        <v>Valid</v>
      </c>
      <c r="AH350" t="str">
        <f t="shared" si="68"/>
        <v>Valid</v>
      </c>
      <c r="AI350" t="str">
        <f t="shared" si="69"/>
        <v>Valid</v>
      </c>
      <c r="AJ350" t="str">
        <f t="shared" si="70"/>
        <v>Valid</v>
      </c>
      <c r="AK350" t="str">
        <f t="shared" si="77"/>
        <v xml:space="preserve">Valid </v>
      </c>
      <c r="AL350" t="str">
        <f>IF(AND(Audit_Data[[#This Row],[Recency]]&gt;=0,Audit_Data[[#This Row],[Recency]]&lt;=100),"Valid","Invalid")</f>
        <v>Valid</v>
      </c>
      <c r="AM350" t="str">
        <f t="shared" si="71"/>
        <v>Valid</v>
      </c>
      <c r="AN350" t="str">
        <f t="shared" si="72"/>
        <v>Valid</v>
      </c>
      <c r="AO350" t="str">
        <f t="shared" si="73"/>
        <v>Valid</v>
      </c>
      <c r="AP350" t="str">
        <f t="shared" si="74"/>
        <v>Valid</v>
      </c>
      <c r="AQ350" t="str">
        <f>IF(Audit_Data[[#This Row],[Z_CostContact]]=3,"Valid","Invalid")</f>
        <v>Valid</v>
      </c>
      <c r="AR350" t="str">
        <f t="shared" si="75"/>
        <v>Valid</v>
      </c>
      <c r="AS350" t="str">
        <f t="shared" si="76"/>
        <v>Valid</v>
      </c>
    </row>
    <row r="351" spans="1:45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 t="str">
        <f t="shared" si="65"/>
        <v>Ok</v>
      </c>
      <c r="AE351" t="str">
        <f>IF(AND(Audit_Data[[#This Row],[Year_Birth]]&gt;=1900,Audit_Data[[#This Row],[Year_Birth]]&lt;=2010),"OK","Invalid")</f>
        <v>OK</v>
      </c>
      <c r="AF351" t="str">
        <f t="shared" si="66"/>
        <v>Valid</v>
      </c>
      <c r="AG351" t="str">
        <f t="shared" si="67"/>
        <v>Valid</v>
      </c>
      <c r="AH351" t="str">
        <f t="shared" si="68"/>
        <v>Valid</v>
      </c>
      <c r="AI351" t="str">
        <f t="shared" si="69"/>
        <v>Valid</v>
      </c>
      <c r="AJ351" t="str">
        <f t="shared" si="70"/>
        <v>Valid</v>
      </c>
      <c r="AK351" t="str">
        <f t="shared" si="77"/>
        <v xml:space="preserve">Valid </v>
      </c>
      <c r="AL351" t="str">
        <f>IF(AND(Audit_Data[[#This Row],[Recency]]&gt;=0,Audit_Data[[#This Row],[Recency]]&lt;=100),"Valid","Invalid")</f>
        <v>Valid</v>
      </c>
      <c r="AM351" t="str">
        <f t="shared" si="71"/>
        <v>Valid</v>
      </c>
      <c r="AN351" t="str">
        <f t="shared" si="72"/>
        <v>Valid</v>
      </c>
      <c r="AO351" t="str">
        <f t="shared" si="73"/>
        <v>Valid</v>
      </c>
      <c r="AP351" t="str">
        <f t="shared" si="74"/>
        <v>Valid</v>
      </c>
      <c r="AQ351" t="str">
        <f>IF(Audit_Data[[#This Row],[Z_CostContact]]=3,"Valid","Invalid")</f>
        <v>Valid</v>
      </c>
      <c r="AR351" t="str">
        <f t="shared" si="75"/>
        <v>Valid</v>
      </c>
      <c r="AS351" t="str">
        <f t="shared" si="76"/>
        <v>Valid</v>
      </c>
    </row>
    <row r="352" spans="1:45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 t="str">
        <f t="shared" si="65"/>
        <v>Ok</v>
      </c>
      <c r="AE352" t="str">
        <f>IF(AND(Audit_Data[[#This Row],[Year_Birth]]&gt;=1900,Audit_Data[[#This Row],[Year_Birth]]&lt;=2010),"OK","Invalid")</f>
        <v>OK</v>
      </c>
      <c r="AF352" t="str">
        <f t="shared" si="66"/>
        <v>Valid</v>
      </c>
      <c r="AG352" t="str">
        <f t="shared" si="67"/>
        <v>Valid</v>
      </c>
      <c r="AH352" t="str">
        <f t="shared" si="68"/>
        <v>Valid</v>
      </c>
      <c r="AI352" t="str">
        <f t="shared" si="69"/>
        <v>Valid</v>
      </c>
      <c r="AJ352" t="str">
        <f t="shared" si="70"/>
        <v>Valid</v>
      </c>
      <c r="AK352" t="str">
        <f t="shared" si="77"/>
        <v xml:space="preserve">Valid </v>
      </c>
      <c r="AL352" t="str">
        <f>IF(AND(Audit_Data[[#This Row],[Recency]]&gt;=0,Audit_Data[[#This Row],[Recency]]&lt;=100),"Valid","Invalid")</f>
        <v>Valid</v>
      </c>
      <c r="AM352" t="str">
        <f t="shared" si="71"/>
        <v>Valid</v>
      </c>
      <c r="AN352" t="str">
        <f t="shared" si="72"/>
        <v>Valid</v>
      </c>
      <c r="AO352" t="str">
        <f t="shared" si="73"/>
        <v>Valid</v>
      </c>
      <c r="AP352" t="str">
        <f t="shared" si="74"/>
        <v>Valid</v>
      </c>
      <c r="AQ352" t="str">
        <f>IF(Audit_Data[[#This Row],[Z_CostContact]]=3,"Valid","Invalid")</f>
        <v>Valid</v>
      </c>
      <c r="AR352" t="str">
        <f t="shared" si="75"/>
        <v>Valid</v>
      </c>
      <c r="AS352" t="str">
        <f t="shared" si="76"/>
        <v>Valid</v>
      </c>
    </row>
    <row r="353" spans="1:45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 t="str">
        <f t="shared" si="65"/>
        <v>Ok</v>
      </c>
      <c r="AE353" t="str">
        <f>IF(AND(Audit_Data[[#This Row],[Year_Birth]]&gt;=1900,Audit_Data[[#This Row],[Year_Birth]]&lt;=2010),"OK","Invalid")</f>
        <v>OK</v>
      </c>
      <c r="AF353" t="str">
        <f t="shared" si="66"/>
        <v>Valid</v>
      </c>
      <c r="AG353" t="str">
        <f t="shared" si="67"/>
        <v>Valid</v>
      </c>
      <c r="AH353" t="str">
        <f t="shared" si="68"/>
        <v>Valid</v>
      </c>
      <c r="AI353" t="str">
        <f t="shared" si="69"/>
        <v>Valid</v>
      </c>
      <c r="AJ353" t="str">
        <f t="shared" si="70"/>
        <v>Valid</v>
      </c>
      <c r="AK353" t="str">
        <f t="shared" si="77"/>
        <v xml:space="preserve">Valid </v>
      </c>
      <c r="AL353" t="str">
        <f>IF(AND(Audit_Data[[#This Row],[Recency]]&gt;=0,Audit_Data[[#This Row],[Recency]]&lt;=100),"Valid","Invalid")</f>
        <v>Valid</v>
      </c>
      <c r="AM353" t="str">
        <f t="shared" si="71"/>
        <v>Valid</v>
      </c>
      <c r="AN353" t="str">
        <f t="shared" si="72"/>
        <v>Valid</v>
      </c>
      <c r="AO353" t="str">
        <f t="shared" si="73"/>
        <v>Valid</v>
      </c>
      <c r="AP353" t="str">
        <f t="shared" si="74"/>
        <v>Valid</v>
      </c>
      <c r="AQ353" t="str">
        <f>IF(Audit_Data[[#This Row],[Z_CostContact]]=3,"Valid","Invalid")</f>
        <v>Valid</v>
      </c>
      <c r="AR353" t="str">
        <f t="shared" si="75"/>
        <v>Valid</v>
      </c>
      <c r="AS353" t="str">
        <f t="shared" si="76"/>
        <v>Valid</v>
      </c>
    </row>
    <row r="354" spans="1:45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 t="str">
        <f t="shared" si="65"/>
        <v>Ok</v>
      </c>
      <c r="AE354" t="str">
        <f>IF(AND(Audit_Data[[#This Row],[Year_Birth]]&gt;=1900,Audit_Data[[#This Row],[Year_Birth]]&lt;=2010),"OK","Invalid")</f>
        <v>OK</v>
      </c>
      <c r="AF354" t="str">
        <f t="shared" si="66"/>
        <v>Valid</v>
      </c>
      <c r="AG354" t="str">
        <f t="shared" si="67"/>
        <v>Valid</v>
      </c>
      <c r="AH354" t="str">
        <f t="shared" si="68"/>
        <v>Valid</v>
      </c>
      <c r="AI354" t="str">
        <f t="shared" si="69"/>
        <v>Valid</v>
      </c>
      <c r="AJ354" t="str">
        <f t="shared" si="70"/>
        <v>Valid</v>
      </c>
      <c r="AK354" t="str">
        <f t="shared" si="77"/>
        <v xml:space="preserve">Valid </v>
      </c>
      <c r="AL354" t="str">
        <f>IF(AND(Audit_Data[[#This Row],[Recency]]&gt;=0,Audit_Data[[#This Row],[Recency]]&lt;=100),"Valid","Invalid")</f>
        <v>Valid</v>
      </c>
      <c r="AM354" t="str">
        <f t="shared" si="71"/>
        <v>Valid</v>
      </c>
      <c r="AN354" t="str">
        <f t="shared" si="72"/>
        <v>Valid</v>
      </c>
      <c r="AO354" t="str">
        <f t="shared" si="73"/>
        <v>Valid</v>
      </c>
      <c r="AP354" t="str">
        <f t="shared" si="74"/>
        <v>Valid</v>
      </c>
      <c r="AQ354" t="str">
        <f>IF(Audit_Data[[#This Row],[Z_CostContact]]=3,"Valid","Invalid")</f>
        <v>Valid</v>
      </c>
      <c r="AR354" t="str">
        <f t="shared" si="75"/>
        <v>Valid</v>
      </c>
      <c r="AS354" t="str">
        <f t="shared" si="76"/>
        <v>Valid</v>
      </c>
    </row>
    <row r="355" spans="1:45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 t="str">
        <f t="shared" si="65"/>
        <v>Ok</v>
      </c>
      <c r="AE355" t="str">
        <f>IF(AND(Audit_Data[[#This Row],[Year_Birth]]&gt;=1900,Audit_Data[[#This Row],[Year_Birth]]&lt;=2010),"OK","Invalid")</f>
        <v>OK</v>
      </c>
      <c r="AF355" t="str">
        <f t="shared" si="66"/>
        <v>Valid</v>
      </c>
      <c r="AG355" t="str">
        <f t="shared" si="67"/>
        <v>Valid</v>
      </c>
      <c r="AH355" t="str">
        <f t="shared" si="68"/>
        <v>Valid</v>
      </c>
      <c r="AI355" t="str">
        <f t="shared" si="69"/>
        <v>Valid</v>
      </c>
      <c r="AJ355" t="str">
        <f t="shared" si="70"/>
        <v>Valid</v>
      </c>
      <c r="AK355" t="str">
        <f t="shared" si="77"/>
        <v xml:space="preserve">Valid </v>
      </c>
      <c r="AL355" t="str">
        <f>IF(AND(Audit_Data[[#This Row],[Recency]]&gt;=0,Audit_Data[[#This Row],[Recency]]&lt;=100),"Valid","Invalid")</f>
        <v>Valid</v>
      </c>
      <c r="AM355" t="str">
        <f t="shared" si="71"/>
        <v>Valid</v>
      </c>
      <c r="AN355" t="str">
        <f t="shared" si="72"/>
        <v>Valid</v>
      </c>
      <c r="AO355" t="str">
        <f t="shared" si="73"/>
        <v>Valid</v>
      </c>
      <c r="AP355" t="str">
        <f t="shared" si="74"/>
        <v>Valid</v>
      </c>
      <c r="AQ355" t="str">
        <f>IF(Audit_Data[[#This Row],[Z_CostContact]]=3,"Valid","Invalid")</f>
        <v>Valid</v>
      </c>
      <c r="AR355" t="str">
        <f t="shared" si="75"/>
        <v>Valid</v>
      </c>
      <c r="AS355" t="str">
        <f t="shared" si="76"/>
        <v>Valid</v>
      </c>
    </row>
    <row r="356" spans="1:45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 t="str">
        <f t="shared" si="65"/>
        <v>Ok</v>
      </c>
      <c r="AE356" t="str">
        <f>IF(AND(Audit_Data[[#This Row],[Year_Birth]]&gt;=1900,Audit_Data[[#This Row],[Year_Birth]]&lt;=2010),"OK","Invalid")</f>
        <v>OK</v>
      </c>
      <c r="AF356" t="str">
        <f t="shared" si="66"/>
        <v>Valid</v>
      </c>
      <c r="AG356" t="str">
        <f t="shared" si="67"/>
        <v>Valid</v>
      </c>
      <c r="AH356" t="str">
        <f t="shared" si="68"/>
        <v>Valid</v>
      </c>
      <c r="AI356" t="str">
        <f t="shared" si="69"/>
        <v>Valid</v>
      </c>
      <c r="AJ356" t="str">
        <f t="shared" si="70"/>
        <v>Valid</v>
      </c>
      <c r="AK356" t="str">
        <f t="shared" si="77"/>
        <v xml:space="preserve">Valid </v>
      </c>
      <c r="AL356" t="str">
        <f>IF(AND(Audit_Data[[#This Row],[Recency]]&gt;=0,Audit_Data[[#This Row],[Recency]]&lt;=100),"Valid","Invalid")</f>
        <v>Valid</v>
      </c>
      <c r="AM356" t="str">
        <f t="shared" si="71"/>
        <v>Valid</v>
      </c>
      <c r="AN356" t="str">
        <f t="shared" si="72"/>
        <v>Valid</v>
      </c>
      <c r="AO356" t="str">
        <f t="shared" si="73"/>
        <v>Valid</v>
      </c>
      <c r="AP356" t="str">
        <f t="shared" si="74"/>
        <v>Valid</v>
      </c>
      <c r="AQ356" t="str">
        <f>IF(Audit_Data[[#This Row],[Z_CostContact]]=3,"Valid","Invalid")</f>
        <v>Valid</v>
      </c>
      <c r="AR356" t="str">
        <f t="shared" si="75"/>
        <v>Valid</v>
      </c>
      <c r="AS356" t="str">
        <f t="shared" si="76"/>
        <v>Valid</v>
      </c>
    </row>
    <row r="357" spans="1:45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 t="str">
        <f t="shared" si="65"/>
        <v>Ok</v>
      </c>
      <c r="AE357" t="str">
        <f>IF(AND(Audit_Data[[#This Row],[Year_Birth]]&gt;=1900,Audit_Data[[#This Row],[Year_Birth]]&lt;=2010),"OK","Invalid")</f>
        <v>OK</v>
      </c>
      <c r="AF357" t="str">
        <f t="shared" si="66"/>
        <v>Valid</v>
      </c>
      <c r="AG357" t="str">
        <f t="shared" si="67"/>
        <v>Valid</v>
      </c>
      <c r="AH357" t="str">
        <f t="shared" si="68"/>
        <v>Valid</v>
      </c>
      <c r="AI357" t="str">
        <f t="shared" si="69"/>
        <v>Valid</v>
      </c>
      <c r="AJ357" t="str">
        <f t="shared" si="70"/>
        <v>Valid</v>
      </c>
      <c r="AK357" t="str">
        <f t="shared" si="77"/>
        <v xml:space="preserve">Valid </v>
      </c>
      <c r="AL357" t="str">
        <f>IF(AND(Audit_Data[[#This Row],[Recency]]&gt;=0,Audit_Data[[#This Row],[Recency]]&lt;=100),"Valid","Invalid")</f>
        <v>Valid</v>
      </c>
      <c r="AM357" t="str">
        <f t="shared" si="71"/>
        <v>Valid</v>
      </c>
      <c r="AN357" t="str">
        <f t="shared" si="72"/>
        <v>Valid</v>
      </c>
      <c r="AO357" t="str">
        <f t="shared" si="73"/>
        <v>Valid</v>
      </c>
      <c r="AP357" t="str">
        <f t="shared" si="74"/>
        <v>Valid</v>
      </c>
      <c r="AQ357" t="str">
        <f>IF(Audit_Data[[#This Row],[Z_CostContact]]=3,"Valid","Invalid")</f>
        <v>Valid</v>
      </c>
      <c r="AR357" t="str">
        <f t="shared" si="75"/>
        <v>Valid</v>
      </c>
      <c r="AS357" t="str">
        <f t="shared" si="76"/>
        <v>Valid</v>
      </c>
    </row>
    <row r="358" spans="1:45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 t="str">
        <f t="shared" si="65"/>
        <v>Ok</v>
      </c>
      <c r="AE358" t="str">
        <f>IF(AND(Audit_Data[[#This Row],[Year_Birth]]&gt;=1900,Audit_Data[[#This Row],[Year_Birth]]&lt;=2010),"OK","Invalid")</f>
        <v>OK</v>
      </c>
      <c r="AF358" t="str">
        <f t="shared" si="66"/>
        <v>Valid</v>
      </c>
      <c r="AG358" t="str">
        <f t="shared" si="67"/>
        <v>Valid</v>
      </c>
      <c r="AH358" t="str">
        <f t="shared" si="68"/>
        <v>Valid</v>
      </c>
      <c r="AI358" t="str">
        <f t="shared" si="69"/>
        <v>Valid</v>
      </c>
      <c r="AJ358" t="str">
        <f t="shared" si="70"/>
        <v>Valid</v>
      </c>
      <c r="AK358" t="str">
        <f t="shared" si="77"/>
        <v xml:space="preserve">Valid </v>
      </c>
      <c r="AL358" t="str">
        <f>IF(AND(Audit_Data[[#This Row],[Recency]]&gt;=0,Audit_Data[[#This Row],[Recency]]&lt;=100),"Valid","Invalid")</f>
        <v>Valid</v>
      </c>
      <c r="AM358" t="str">
        <f t="shared" si="71"/>
        <v>Valid</v>
      </c>
      <c r="AN358" t="str">
        <f t="shared" si="72"/>
        <v>Valid</v>
      </c>
      <c r="AO358" t="str">
        <f t="shared" si="73"/>
        <v>Valid</v>
      </c>
      <c r="AP358" t="str">
        <f t="shared" si="74"/>
        <v>Valid</v>
      </c>
      <c r="AQ358" t="str">
        <f>IF(Audit_Data[[#This Row],[Z_CostContact]]=3,"Valid","Invalid")</f>
        <v>Valid</v>
      </c>
      <c r="AR358" t="str">
        <f t="shared" si="75"/>
        <v>Valid</v>
      </c>
      <c r="AS358" t="str">
        <f t="shared" si="76"/>
        <v>Valid</v>
      </c>
    </row>
    <row r="359" spans="1:45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 t="str">
        <f t="shared" si="65"/>
        <v>Ok</v>
      </c>
      <c r="AE359" t="str">
        <f>IF(AND(Audit_Data[[#This Row],[Year_Birth]]&gt;=1900,Audit_Data[[#This Row],[Year_Birth]]&lt;=2010),"OK","Invalid")</f>
        <v>OK</v>
      </c>
      <c r="AF359" t="str">
        <f t="shared" si="66"/>
        <v>Valid</v>
      </c>
      <c r="AG359" t="str">
        <f t="shared" si="67"/>
        <v>Valid</v>
      </c>
      <c r="AH359" t="str">
        <f t="shared" si="68"/>
        <v>Valid</v>
      </c>
      <c r="AI359" t="str">
        <f t="shared" si="69"/>
        <v>Valid</v>
      </c>
      <c r="AJ359" t="str">
        <f t="shared" si="70"/>
        <v>Valid</v>
      </c>
      <c r="AK359" t="str">
        <f t="shared" si="77"/>
        <v xml:space="preserve">Valid </v>
      </c>
      <c r="AL359" t="str">
        <f>IF(AND(Audit_Data[[#This Row],[Recency]]&gt;=0,Audit_Data[[#This Row],[Recency]]&lt;=100),"Valid","Invalid")</f>
        <v>Valid</v>
      </c>
      <c r="AM359" t="str">
        <f t="shared" si="71"/>
        <v>Valid</v>
      </c>
      <c r="AN359" t="str">
        <f t="shared" si="72"/>
        <v>Valid</v>
      </c>
      <c r="AO359" t="str">
        <f t="shared" si="73"/>
        <v>Valid</v>
      </c>
      <c r="AP359" t="str">
        <f t="shared" si="74"/>
        <v>Valid</v>
      </c>
      <c r="AQ359" t="str">
        <f>IF(Audit_Data[[#This Row],[Z_CostContact]]=3,"Valid","Invalid")</f>
        <v>Valid</v>
      </c>
      <c r="AR359" t="str">
        <f t="shared" si="75"/>
        <v>Valid</v>
      </c>
      <c r="AS359" t="str">
        <f t="shared" si="76"/>
        <v>Valid</v>
      </c>
    </row>
    <row r="360" spans="1:45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 t="str">
        <f t="shared" si="65"/>
        <v>Ok</v>
      </c>
      <c r="AE360" t="str">
        <f>IF(AND(Audit_Data[[#This Row],[Year_Birth]]&gt;=1900,Audit_Data[[#This Row],[Year_Birth]]&lt;=2010),"OK","Invalid")</f>
        <v>OK</v>
      </c>
      <c r="AF360" t="str">
        <f t="shared" si="66"/>
        <v>Valid</v>
      </c>
      <c r="AG360" t="str">
        <f t="shared" si="67"/>
        <v>Valid</v>
      </c>
      <c r="AH360" t="str">
        <f t="shared" si="68"/>
        <v>Valid</v>
      </c>
      <c r="AI360" t="str">
        <f t="shared" si="69"/>
        <v>Valid</v>
      </c>
      <c r="AJ360" t="str">
        <f t="shared" si="70"/>
        <v>Valid</v>
      </c>
      <c r="AK360" t="str">
        <f t="shared" si="77"/>
        <v xml:space="preserve">Valid </v>
      </c>
      <c r="AL360" t="str">
        <f>IF(AND(Audit_Data[[#This Row],[Recency]]&gt;=0,Audit_Data[[#This Row],[Recency]]&lt;=100),"Valid","Invalid")</f>
        <v>Valid</v>
      </c>
      <c r="AM360" t="str">
        <f t="shared" si="71"/>
        <v>Valid</v>
      </c>
      <c r="AN360" t="str">
        <f t="shared" si="72"/>
        <v>Valid</v>
      </c>
      <c r="AO360" t="str">
        <f t="shared" si="73"/>
        <v>Valid</v>
      </c>
      <c r="AP360" t="str">
        <f t="shared" si="74"/>
        <v>Valid</v>
      </c>
      <c r="AQ360" t="str">
        <f>IF(Audit_Data[[#This Row],[Z_CostContact]]=3,"Valid","Invalid")</f>
        <v>Valid</v>
      </c>
      <c r="AR360" t="str">
        <f t="shared" si="75"/>
        <v>Valid</v>
      </c>
      <c r="AS360" t="str">
        <f t="shared" si="76"/>
        <v>Valid</v>
      </c>
    </row>
    <row r="361" spans="1:45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 t="str">
        <f t="shared" si="65"/>
        <v>Ok</v>
      </c>
      <c r="AE361" t="str">
        <f>IF(AND(Audit_Data[[#This Row],[Year_Birth]]&gt;=1900,Audit_Data[[#This Row],[Year_Birth]]&lt;=2010),"OK","Invalid")</f>
        <v>OK</v>
      </c>
      <c r="AF361" t="str">
        <f t="shared" si="66"/>
        <v>Valid</v>
      </c>
      <c r="AG361" t="str">
        <f t="shared" si="67"/>
        <v>Valid</v>
      </c>
      <c r="AH361" t="str">
        <f t="shared" si="68"/>
        <v>Valid</v>
      </c>
      <c r="AI361" t="str">
        <f t="shared" si="69"/>
        <v>Valid</v>
      </c>
      <c r="AJ361" t="str">
        <f t="shared" si="70"/>
        <v>Valid</v>
      </c>
      <c r="AK361" t="str">
        <f t="shared" si="77"/>
        <v xml:space="preserve">Valid </v>
      </c>
      <c r="AL361" t="str">
        <f>IF(AND(Audit_Data[[#This Row],[Recency]]&gt;=0,Audit_Data[[#This Row],[Recency]]&lt;=100),"Valid","Invalid")</f>
        <v>Valid</v>
      </c>
      <c r="AM361" t="str">
        <f t="shared" si="71"/>
        <v>Valid</v>
      </c>
      <c r="AN361" t="str">
        <f t="shared" si="72"/>
        <v>Valid</v>
      </c>
      <c r="AO361" t="str">
        <f t="shared" si="73"/>
        <v>Valid</v>
      </c>
      <c r="AP361" t="str">
        <f t="shared" si="74"/>
        <v>Valid</v>
      </c>
      <c r="AQ361" t="str">
        <f>IF(Audit_Data[[#This Row],[Z_CostContact]]=3,"Valid","Invalid")</f>
        <v>Valid</v>
      </c>
      <c r="AR361" t="str">
        <f t="shared" si="75"/>
        <v>Valid</v>
      </c>
      <c r="AS361" t="str">
        <f t="shared" si="76"/>
        <v>Valid</v>
      </c>
    </row>
    <row r="362" spans="1:45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 t="str">
        <f t="shared" si="65"/>
        <v>Ok</v>
      </c>
      <c r="AE362" t="str">
        <f>IF(AND(Audit_Data[[#This Row],[Year_Birth]]&gt;=1900,Audit_Data[[#This Row],[Year_Birth]]&lt;=2010),"OK","Invalid")</f>
        <v>OK</v>
      </c>
      <c r="AF362" t="str">
        <f t="shared" si="66"/>
        <v>Valid</v>
      </c>
      <c r="AG362" t="str">
        <f t="shared" si="67"/>
        <v>Valid</v>
      </c>
      <c r="AH362" t="str">
        <f t="shared" si="68"/>
        <v>Valid</v>
      </c>
      <c r="AI362" t="str">
        <f t="shared" si="69"/>
        <v>Valid</v>
      </c>
      <c r="AJ362" t="str">
        <f t="shared" si="70"/>
        <v>Valid</v>
      </c>
      <c r="AK362" t="str">
        <f t="shared" si="77"/>
        <v xml:space="preserve">Valid </v>
      </c>
      <c r="AL362" t="str">
        <f>IF(AND(Audit_Data[[#This Row],[Recency]]&gt;=0,Audit_Data[[#This Row],[Recency]]&lt;=100),"Valid","Invalid")</f>
        <v>Valid</v>
      </c>
      <c r="AM362" t="str">
        <f t="shared" si="71"/>
        <v>Valid</v>
      </c>
      <c r="AN362" t="str">
        <f t="shared" si="72"/>
        <v>Valid</v>
      </c>
      <c r="AO362" t="str">
        <f t="shared" si="73"/>
        <v>Valid</v>
      </c>
      <c r="AP362" t="str">
        <f t="shared" si="74"/>
        <v>Valid</v>
      </c>
      <c r="AQ362" t="str">
        <f>IF(Audit_Data[[#This Row],[Z_CostContact]]=3,"Valid","Invalid")</f>
        <v>Valid</v>
      </c>
      <c r="AR362" t="str">
        <f t="shared" si="75"/>
        <v>Valid</v>
      </c>
      <c r="AS362" t="str">
        <f t="shared" si="76"/>
        <v>Valid</v>
      </c>
    </row>
    <row r="363" spans="1:45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 t="str">
        <f t="shared" si="65"/>
        <v>Ok</v>
      </c>
      <c r="AE363" t="str">
        <f>IF(AND(Audit_Data[[#This Row],[Year_Birth]]&gt;=1900,Audit_Data[[#This Row],[Year_Birth]]&lt;=2010),"OK","Invalid")</f>
        <v>OK</v>
      </c>
      <c r="AF363" t="str">
        <f t="shared" si="66"/>
        <v>Valid</v>
      </c>
      <c r="AG363" t="str">
        <f t="shared" si="67"/>
        <v>Valid</v>
      </c>
      <c r="AH363" t="str">
        <f t="shared" si="68"/>
        <v>Valid</v>
      </c>
      <c r="AI363" t="str">
        <f t="shared" si="69"/>
        <v>Valid</v>
      </c>
      <c r="AJ363" t="str">
        <f t="shared" si="70"/>
        <v>Valid</v>
      </c>
      <c r="AK363" t="str">
        <f t="shared" si="77"/>
        <v xml:space="preserve">Valid </v>
      </c>
      <c r="AL363" t="str">
        <f>IF(AND(Audit_Data[[#This Row],[Recency]]&gt;=0,Audit_Data[[#This Row],[Recency]]&lt;=100),"Valid","Invalid")</f>
        <v>Valid</v>
      </c>
      <c r="AM363" t="str">
        <f t="shared" si="71"/>
        <v>Valid</v>
      </c>
      <c r="AN363" t="str">
        <f t="shared" si="72"/>
        <v>Valid</v>
      </c>
      <c r="AO363" t="str">
        <f t="shared" si="73"/>
        <v>Valid</v>
      </c>
      <c r="AP363" t="str">
        <f t="shared" si="74"/>
        <v>Valid</v>
      </c>
      <c r="AQ363" t="str">
        <f>IF(Audit_Data[[#This Row],[Z_CostContact]]=3,"Valid","Invalid")</f>
        <v>Valid</v>
      </c>
      <c r="AR363" t="str">
        <f t="shared" si="75"/>
        <v>Valid</v>
      </c>
      <c r="AS363" t="str">
        <f t="shared" si="76"/>
        <v>Valid</v>
      </c>
    </row>
    <row r="364" spans="1:45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 t="str">
        <f t="shared" si="65"/>
        <v>Ok</v>
      </c>
      <c r="AE364" t="str">
        <f>IF(AND(Audit_Data[[#This Row],[Year_Birth]]&gt;=1900,Audit_Data[[#This Row],[Year_Birth]]&lt;=2010),"OK","Invalid")</f>
        <v>OK</v>
      </c>
      <c r="AF364" t="str">
        <f t="shared" si="66"/>
        <v>Valid</v>
      </c>
      <c r="AG364" t="str">
        <f t="shared" si="67"/>
        <v>Valid</v>
      </c>
      <c r="AH364" t="str">
        <f t="shared" si="68"/>
        <v>Valid</v>
      </c>
      <c r="AI364" t="str">
        <f t="shared" si="69"/>
        <v>Valid</v>
      </c>
      <c r="AJ364" t="str">
        <f t="shared" si="70"/>
        <v>Valid</v>
      </c>
      <c r="AK364" t="str">
        <f t="shared" si="77"/>
        <v xml:space="preserve">Valid </v>
      </c>
      <c r="AL364" t="str">
        <f>IF(AND(Audit_Data[[#This Row],[Recency]]&gt;=0,Audit_Data[[#This Row],[Recency]]&lt;=100),"Valid","Invalid")</f>
        <v>Valid</v>
      </c>
      <c r="AM364" t="str">
        <f t="shared" si="71"/>
        <v>Valid</v>
      </c>
      <c r="AN364" t="str">
        <f t="shared" si="72"/>
        <v>Valid</v>
      </c>
      <c r="AO364" t="str">
        <f t="shared" si="73"/>
        <v>Valid</v>
      </c>
      <c r="AP364" t="str">
        <f t="shared" si="74"/>
        <v>Valid</v>
      </c>
      <c r="AQ364" t="str">
        <f>IF(Audit_Data[[#This Row],[Z_CostContact]]=3,"Valid","Invalid")</f>
        <v>Valid</v>
      </c>
      <c r="AR364" t="str">
        <f t="shared" si="75"/>
        <v>Valid</v>
      </c>
      <c r="AS364" t="str">
        <f t="shared" si="76"/>
        <v>Valid</v>
      </c>
    </row>
    <row r="365" spans="1:45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 t="str">
        <f t="shared" si="65"/>
        <v>Ok</v>
      </c>
      <c r="AE365" t="str">
        <f>IF(AND(Audit_Data[[#This Row],[Year_Birth]]&gt;=1900,Audit_Data[[#This Row],[Year_Birth]]&lt;=2010),"OK","Invalid")</f>
        <v>OK</v>
      </c>
      <c r="AF365" t="str">
        <f t="shared" si="66"/>
        <v>Valid</v>
      </c>
      <c r="AG365" t="str">
        <f t="shared" si="67"/>
        <v>Valid</v>
      </c>
      <c r="AH365" t="str">
        <f t="shared" si="68"/>
        <v>Valid</v>
      </c>
      <c r="AI365" t="str">
        <f t="shared" si="69"/>
        <v>Valid</v>
      </c>
      <c r="AJ365" t="str">
        <f t="shared" si="70"/>
        <v>Valid</v>
      </c>
      <c r="AK365" t="str">
        <f t="shared" si="77"/>
        <v xml:space="preserve">Valid </v>
      </c>
      <c r="AL365" t="str">
        <f>IF(AND(Audit_Data[[#This Row],[Recency]]&gt;=0,Audit_Data[[#This Row],[Recency]]&lt;=100),"Valid","Invalid")</f>
        <v>Valid</v>
      </c>
      <c r="AM365" t="str">
        <f t="shared" si="71"/>
        <v>Valid</v>
      </c>
      <c r="AN365" t="str">
        <f t="shared" si="72"/>
        <v>Valid</v>
      </c>
      <c r="AO365" t="str">
        <f t="shared" si="73"/>
        <v>Valid</v>
      </c>
      <c r="AP365" t="str">
        <f t="shared" si="74"/>
        <v>Valid</v>
      </c>
      <c r="AQ365" t="str">
        <f>IF(Audit_Data[[#This Row],[Z_CostContact]]=3,"Valid","Invalid")</f>
        <v>Valid</v>
      </c>
      <c r="AR365" t="str">
        <f t="shared" si="75"/>
        <v>Valid</v>
      </c>
      <c r="AS365" t="str">
        <f t="shared" si="76"/>
        <v>Valid</v>
      </c>
    </row>
    <row r="366" spans="1:45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 t="str">
        <f t="shared" si="65"/>
        <v>Ok</v>
      </c>
      <c r="AE366" t="str">
        <f>IF(AND(Audit_Data[[#This Row],[Year_Birth]]&gt;=1900,Audit_Data[[#This Row],[Year_Birth]]&lt;=2010),"OK","Invalid")</f>
        <v>OK</v>
      </c>
      <c r="AF366" t="str">
        <f t="shared" si="66"/>
        <v>Valid</v>
      </c>
      <c r="AG366" t="str">
        <f t="shared" si="67"/>
        <v>Valid</v>
      </c>
      <c r="AH366" t="str">
        <f t="shared" si="68"/>
        <v>Valid</v>
      </c>
      <c r="AI366" t="str">
        <f t="shared" si="69"/>
        <v>Valid</v>
      </c>
      <c r="AJ366" t="str">
        <f t="shared" si="70"/>
        <v>Valid</v>
      </c>
      <c r="AK366" t="str">
        <f t="shared" si="77"/>
        <v xml:space="preserve">Valid </v>
      </c>
      <c r="AL366" t="str">
        <f>IF(AND(Audit_Data[[#This Row],[Recency]]&gt;=0,Audit_Data[[#This Row],[Recency]]&lt;=100),"Valid","Invalid")</f>
        <v>Valid</v>
      </c>
      <c r="AM366" t="str">
        <f t="shared" si="71"/>
        <v>Valid</v>
      </c>
      <c r="AN366" t="str">
        <f t="shared" si="72"/>
        <v>Valid</v>
      </c>
      <c r="AO366" t="str">
        <f t="shared" si="73"/>
        <v>Valid</v>
      </c>
      <c r="AP366" t="str">
        <f t="shared" si="74"/>
        <v>Valid</v>
      </c>
      <c r="AQ366" t="str">
        <f>IF(Audit_Data[[#This Row],[Z_CostContact]]=3,"Valid","Invalid")</f>
        <v>Valid</v>
      </c>
      <c r="AR366" t="str">
        <f t="shared" si="75"/>
        <v>Valid</v>
      </c>
      <c r="AS366" t="str">
        <f t="shared" si="76"/>
        <v>Valid</v>
      </c>
    </row>
    <row r="367" spans="1:45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 t="str">
        <f t="shared" si="65"/>
        <v>Ok</v>
      </c>
      <c r="AE367" t="str">
        <f>IF(AND(Audit_Data[[#This Row],[Year_Birth]]&gt;=1900,Audit_Data[[#This Row],[Year_Birth]]&lt;=2010),"OK","Invalid")</f>
        <v>OK</v>
      </c>
      <c r="AF367" t="str">
        <f t="shared" si="66"/>
        <v>Valid</v>
      </c>
      <c r="AG367" t="str">
        <f t="shared" si="67"/>
        <v>Valid</v>
      </c>
      <c r="AH367" t="str">
        <f t="shared" si="68"/>
        <v>Valid</v>
      </c>
      <c r="AI367" t="str">
        <f t="shared" si="69"/>
        <v>Valid</v>
      </c>
      <c r="AJ367" t="str">
        <f t="shared" si="70"/>
        <v>Valid</v>
      </c>
      <c r="AK367" t="str">
        <f t="shared" si="77"/>
        <v xml:space="preserve">Valid </v>
      </c>
      <c r="AL367" t="str">
        <f>IF(AND(Audit_Data[[#This Row],[Recency]]&gt;=0,Audit_Data[[#This Row],[Recency]]&lt;=100),"Valid","Invalid")</f>
        <v>Valid</v>
      </c>
      <c r="AM367" t="str">
        <f t="shared" si="71"/>
        <v>Valid</v>
      </c>
      <c r="AN367" t="str">
        <f t="shared" si="72"/>
        <v>Valid</v>
      </c>
      <c r="AO367" t="str">
        <f t="shared" si="73"/>
        <v>Valid</v>
      </c>
      <c r="AP367" t="str">
        <f t="shared" si="74"/>
        <v>Valid</v>
      </c>
      <c r="AQ367" t="str">
        <f>IF(Audit_Data[[#This Row],[Z_CostContact]]=3,"Valid","Invalid")</f>
        <v>Valid</v>
      </c>
      <c r="AR367" t="str">
        <f t="shared" si="75"/>
        <v>Valid</v>
      </c>
      <c r="AS367" t="str">
        <f t="shared" si="76"/>
        <v>Valid</v>
      </c>
    </row>
    <row r="368" spans="1:45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 t="str">
        <f t="shared" si="65"/>
        <v>Ok</v>
      </c>
      <c r="AE368" t="str">
        <f>IF(AND(Audit_Data[[#This Row],[Year_Birth]]&gt;=1900,Audit_Data[[#This Row],[Year_Birth]]&lt;=2010),"OK","Invalid")</f>
        <v>OK</v>
      </c>
      <c r="AF368" t="str">
        <f t="shared" si="66"/>
        <v>Valid</v>
      </c>
      <c r="AG368" t="str">
        <f t="shared" si="67"/>
        <v>Valid</v>
      </c>
      <c r="AH368" t="str">
        <f t="shared" si="68"/>
        <v>Valid</v>
      </c>
      <c r="AI368" t="str">
        <f t="shared" si="69"/>
        <v>Valid</v>
      </c>
      <c r="AJ368" t="str">
        <f t="shared" si="70"/>
        <v>Valid</v>
      </c>
      <c r="AK368" t="str">
        <f t="shared" si="77"/>
        <v xml:space="preserve">Valid </v>
      </c>
      <c r="AL368" t="str">
        <f>IF(AND(Audit_Data[[#This Row],[Recency]]&gt;=0,Audit_Data[[#This Row],[Recency]]&lt;=100),"Valid","Invalid")</f>
        <v>Valid</v>
      </c>
      <c r="AM368" t="str">
        <f t="shared" si="71"/>
        <v>Valid</v>
      </c>
      <c r="AN368" t="str">
        <f t="shared" si="72"/>
        <v>Valid</v>
      </c>
      <c r="AO368" t="str">
        <f t="shared" si="73"/>
        <v>Valid</v>
      </c>
      <c r="AP368" t="str">
        <f t="shared" si="74"/>
        <v>Valid</v>
      </c>
      <c r="AQ368" t="str">
        <f>IF(Audit_Data[[#This Row],[Z_CostContact]]=3,"Valid","Invalid")</f>
        <v>Valid</v>
      </c>
      <c r="AR368" t="str">
        <f t="shared" si="75"/>
        <v>Valid</v>
      </c>
      <c r="AS368" t="str">
        <f t="shared" si="76"/>
        <v>Valid</v>
      </c>
    </row>
    <row r="369" spans="1:45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 t="str">
        <f t="shared" si="65"/>
        <v>Ok</v>
      </c>
      <c r="AE369" t="str">
        <f>IF(AND(Audit_Data[[#This Row],[Year_Birth]]&gt;=1900,Audit_Data[[#This Row],[Year_Birth]]&lt;=2010),"OK","Invalid")</f>
        <v>OK</v>
      </c>
      <c r="AF369" t="str">
        <f t="shared" si="66"/>
        <v>Valid</v>
      </c>
      <c r="AG369" t="str">
        <f t="shared" si="67"/>
        <v>Valid</v>
      </c>
      <c r="AH369" t="str">
        <f t="shared" si="68"/>
        <v>Valid</v>
      </c>
      <c r="AI369" t="str">
        <f t="shared" si="69"/>
        <v>Valid</v>
      </c>
      <c r="AJ369" t="str">
        <f t="shared" si="70"/>
        <v>Valid</v>
      </c>
      <c r="AK369" t="str">
        <f t="shared" si="77"/>
        <v xml:space="preserve">Valid </v>
      </c>
      <c r="AL369" t="str">
        <f>IF(AND(Audit_Data[[#This Row],[Recency]]&gt;=0,Audit_Data[[#This Row],[Recency]]&lt;=100),"Valid","Invalid")</f>
        <v>Valid</v>
      </c>
      <c r="AM369" t="str">
        <f t="shared" si="71"/>
        <v>Valid</v>
      </c>
      <c r="AN369" t="str">
        <f t="shared" si="72"/>
        <v>Valid</v>
      </c>
      <c r="AO369" t="str">
        <f t="shared" si="73"/>
        <v>Valid</v>
      </c>
      <c r="AP369" t="str">
        <f t="shared" si="74"/>
        <v>Valid</v>
      </c>
      <c r="AQ369" t="str">
        <f>IF(Audit_Data[[#This Row],[Z_CostContact]]=3,"Valid","Invalid")</f>
        <v>Valid</v>
      </c>
      <c r="AR369" t="str">
        <f t="shared" si="75"/>
        <v>Valid</v>
      </c>
      <c r="AS369" t="str">
        <f t="shared" si="76"/>
        <v>Valid</v>
      </c>
    </row>
    <row r="370" spans="1:45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 t="str">
        <f t="shared" si="65"/>
        <v>Ok</v>
      </c>
      <c r="AE370" t="str">
        <f>IF(AND(Audit_Data[[#This Row],[Year_Birth]]&gt;=1900,Audit_Data[[#This Row],[Year_Birth]]&lt;=2010),"OK","Invalid")</f>
        <v>OK</v>
      </c>
      <c r="AF370" t="str">
        <f t="shared" si="66"/>
        <v>Valid</v>
      </c>
      <c r="AG370" t="str">
        <f t="shared" si="67"/>
        <v>Valid</v>
      </c>
      <c r="AH370" t="str">
        <f t="shared" si="68"/>
        <v>Valid</v>
      </c>
      <c r="AI370" t="str">
        <f t="shared" si="69"/>
        <v>Valid</v>
      </c>
      <c r="AJ370" t="str">
        <f t="shared" si="70"/>
        <v>Valid</v>
      </c>
      <c r="AK370" t="str">
        <f t="shared" si="77"/>
        <v xml:space="preserve">Valid </v>
      </c>
      <c r="AL370" t="str">
        <f>IF(AND(Audit_Data[[#This Row],[Recency]]&gt;=0,Audit_Data[[#This Row],[Recency]]&lt;=100),"Valid","Invalid")</f>
        <v>Valid</v>
      </c>
      <c r="AM370" t="str">
        <f t="shared" si="71"/>
        <v>Valid</v>
      </c>
      <c r="AN370" t="str">
        <f t="shared" si="72"/>
        <v>Valid</v>
      </c>
      <c r="AO370" t="str">
        <f t="shared" si="73"/>
        <v>Valid</v>
      </c>
      <c r="AP370" t="str">
        <f t="shared" si="74"/>
        <v>Valid</v>
      </c>
      <c r="AQ370" t="str">
        <f>IF(Audit_Data[[#This Row],[Z_CostContact]]=3,"Valid","Invalid")</f>
        <v>Valid</v>
      </c>
      <c r="AR370" t="str">
        <f t="shared" si="75"/>
        <v>Valid</v>
      </c>
      <c r="AS370" t="str">
        <f t="shared" si="76"/>
        <v>Valid</v>
      </c>
    </row>
    <row r="371" spans="1:45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 t="str">
        <f t="shared" si="65"/>
        <v>Ok</v>
      </c>
      <c r="AE371" t="str">
        <f>IF(AND(Audit_Data[[#This Row],[Year_Birth]]&gt;=1900,Audit_Data[[#This Row],[Year_Birth]]&lt;=2010),"OK","Invalid")</f>
        <v>OK</v>
      </c>
      <c r="AF371" t="str">
        <f t="shared" si="66"/>
        <v>Valid</v>
      </c>
      <c r="AG371" t="str">
        <f t="shared" si="67"/>
        <v>Valid</v>
      </c>
      <c r="AH371" t="str">
        <f t="shared" si="68"/>
        <v>Valid</v>
      </c>
      <c r="AI371" t="str">
        <f t="shared" si="69"/>
        <v>Valid</v>
      </c>
      <c r="AJ371" t="str">
        <f t="shared" si="70"/>
        <v>Valid</v>
      </c>
      <c r="AK371" t="str">
        <f t="shared" si="77"/>
        <v xml:space="preserve">Valid </v>
      </c>
      <c r="AL371" t="str">
        <f>IF(AND(Audit_Data[[#This Row],[Recency]]&gt;=0,Audit_Data[[#This Row],[Recency]]&lt;=100),"Valid","Invalid")</f>
        <v>Valid</v>
      </c>
      <c r="AM371" t="str">
        <f t="shared" si="71"/>
        <v>Valid</v>
      </c>
      <c r="AN371" t="str">
        <f t="shared" si="72"/>
        <v>Valid</v>
      </c>
      <c r="AO371" t="str">
        <f t="shared" si="73"/>
        <v>Valid</v>
      </c>
      <c r="AP371" t="str">
        <f t="shared" si="74"/>
        <v>Valid</v>
      </c>
      <c r="AQ371" t="str">
        <f>IF(Audit_Data[[#This Row],[Z_CostContact]]=3,"Valid","Invalid")</f>
        <v>Valid</v>
      </c>
      <c r="AR371" t="str">
        <f t="shared" si="75"/>
        <v>Valid</v>
      </c>
      <c r="AS371" t="str">
        <f t="shared" si="76"/>
        <v>Valid</v>
      </c>
    </row>
    <row r="372" spans="1:45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 t="str">
        <f t="shared" si="65"/>
        <v>Ok</v>
      </c>
      <c r="AE372" t="str">
        <f>IF(AND(Audit_Data[[#This Row],[Year_Birth]]&gt;=1900,Audit_Data[[#This Row],[Year_Birth]]&lt;=2010),"OK","Invalid")</f>
        <v>OK</v>
      </c>
      <c r="AF372" t="str">
        <f t="shared" si="66"/>
        <v>Valid</v>
      </c>
      <c r="AG372" t="str">
        <f t="shared" si="67"/>
        <v>Valid</v>
      </c>
      <c r="AH372" t="str">
        <f t="shared" si="68"/>
        <v>Valid</v>
      </c>
      <c r="AI372" t="str">
        <f t="shared" si="69"/>
        <v>Valid</v>
      </c>
      <c r="AJ372" t="str">
        <f t="shared" si="70"/>
        <v>Valid</v>
      </c>
      <c r="AK372" t="str">
        <f t="shared" si="77"/>
        <v xml:space="preserve">Valid </v>
      </c>
      <c r="AL372" t="str">
        <f>IF(AND(Audit_Data[[#This Row],[Recency]]&gt;=0,Audit_Data[[#This Row],[Recency]]&lt;=100),"Valid","Invalid")</f>
        <v>Valid</v>
      </c>
      <c r="AM372" t="str">
        <f t="shared" si="71"/>
        <v>Valid</v>
      </c>
      <c r="AN372" t="str">
        <f t="shared" si="72"/>
        <v>Valid</v>
      </c>
      <c r="AO372" t="str">
        <f t="shared" si="73"/>
        <v>Valid</v>
      </c>
      <c r="AP372" t="str">
        <f t="shared" si="74"/>
        <v>Valid</v>
      </c>
      <c r="AQ372" t="str">
        <f>IF(Audit_Data[[#This Row],[Z_CostContact]]=3,"Valid","Invalid")</f>
        <v>Valid</v>
      </c>
      <c r="AR372" t="str">
        <f t="shared" si="75"/>
        <v>Valid</v>
      </c>
      <c r="AS372" t="str">
        <f t="shared" si="76"/>
        <v>Valid</v>
      </c>
    </row>
    <row r="373" spans="1:45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 t="str">
        <f t="shared" si="65"/>
        <v>Ok</v>
      </c>
      <c r="AE373" t="str">
        <f>IF(AND(Audit_Data[[#This Row],[Year_Birth]]&gt;=1900,Audit_Data[[#This Row],[Year_Birth]]&lt;=2010),"OK","Invalid")</f>
        <v>OK</v>
      </c>
      <c r="AF373" t="str">
        <f t="shared" si="66"/>
        <v>Valid</v>
      </c>
      <c r="AG373" t="str">
        <f t="shared" si="67"/>
        <v>Valid</v>
      </c>
      <c r="AH373" t="str">
        <f t="shared" si="68"/>
        <v>Valid</v>
      </c>
      <c r="AI373" t="str">
        <f t="shared" si="69"/>
        <v>Valid</v>
      </c>
      <c r="AJ373" t="str">
        <f t="shared" si="70"/>
        <v>Valid</v>
      </c>
      <c r="AK373" t="str">
        <f t="shared" si="77"/>
        <v xml:space="preserve">Valid </v>
      </c>
      <c r="AL373" t="str">
        <f>IF(AND(Audit_Data[[#This Row],[Recency]]&gt;=0,Audit_Data[[#This Row],[Recency]]&lt;=100),"Valid","Invalid")</f>
        <v>Valid</v>
      </c>
      <c r="AM373" t="str">
        <f t="shared" si="71"/>
        <v>Valid</v>
      </c>
      <c r="AN373" t="str">
        <f t="shared" si="72"/>
        <v>Valid</v>
      </c>
      <c r="AO373" t="str">
        <f t="shared" si="73"/>
        <v>Valid</v>
      </c>
      <c r="AP373" t="str">
        <f t="shared" si="74"/>
        <v>Valid</v>
      </c>
      <c r="AQ373" t="str">
        <f>IF(Audit_Data[[#This Row],[Z_CostContact]]=3,"Valid","Invalid")</f>
        <v>Valid</v>
      </c>
      <c r="AR373" t="str">
        <f t="shared" si="75"/>
        <v>Valid</v>
      </c>
      <c r="AS373" t="str">
        <f t="shared" si="76"/>
        <v>Valid</v>
      </c>
    </row>
    <row r="374" spans="1:45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 t="str">
        <f t="shared" si="65"/>
        <v>Ok</v>
      </c>
      <c r="AE374" t="str">
        <f>IF(AND(Audit_Data[[#This Row],[Year_Birth]]&gt;=1900,Audit_Data[[#This Row],[Year_Birth]]&lt;=2010),"OK","Invalid")</f>
        <v>OK</v>
      </c>
      <c r="AF374" t="str">
        <f t="shared" si="66"/>
        <v>Valid</v>
      </c>
      <c r="AG374" t="str">
        <f t="shared" si="67"/>
        <v>Valid</v>
      </c>
      <c r="AH374" t="str">
        <f t="shared" si="68"/>
        <v>Valid</v>
      </c>
      <c r="AI374" t="str">
        <f t="shared" si="69"/>
        <v>Valid</v>
      </c>
      <c r="AJ374" t="str">
        <f t="shared" si="70"/>
        <v>Valid</v>
      </c>
      <c r="AK374" t="str">
        <f t="shared" si="77"/>
        <v xml:space="preserve">Valid </v>
      </c>
      <c r="AL374" t="str">
        <f>IF(AND(Audit_Data[[#This Row],[Recency]]&gt;=0,Audit_Data[[#This Row],[Recency]]&lt;=100),"Valid","Invalid")</f>
        <v>Valid</v>
      </c>
      <c r="AM374" t="str">
        <f t="shared" si="71"/>
        <v>Valid</v>
      </c>
      <c r="AN374" t="str">
        <f t="shared" si="72"/>
        <v>Valid</v>
      </c>
      <c r="AO374" t="str">
        <f t="shared" si="73"/>
        <v>Valid</v>
      </c>
      <c r="AP374" t="str">
        <f t="shared" si="74"/>
        <v>Valid</v>
      </c>
      <c r="AQ374" t="str">
        <f>IF(Audit_Data[[#This Row],[Z_CostContact]]=3,"Valid","Invalid")</f>
        <v>Valid</v>
      </c>
      <c r="AR374" t="str">
        <f t="shared" si="75"/>
        <v>Valid</v>
      </c>
      <c r="AS374" t="str">
        <f t="shared" si="76"/>
        <v>Valid</v>
      </c>
    </row>
    <row r="375" spans="1:45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 t="str">
        <f t="shared" si="65"/>
        <v>Ok</v>
      </c>
      <c r="AE375" t="str">
        <f>IF(AND(Audit_Data[[#This Row],[Year_Birth]]&gt;=1900,Audit_Data[[#This Row],[Year_Birth]]&lt;=2010),"OK","Invalid")</f>
        <v>OK</v>
      </c>
      <c r="AF375" t="str">
        <f t="shared" si="66"/>
        <v>Valid</v>
      </c>
      <c r="AG375" t="str">
        <f t="shared" si="67"/>
        <v>Valid</v>
      </c>
      <c r="AH375" t="str">
        <f t="shared" si="68"/>
        <v>Valid</v>
      </c>
      <c r="AI375" t="str">
        <f t="shared" si="69"/>
        <v>Valid</v>
      </c>
      <c r="AJ375" t="str">
        <f t="shared" si="70"/>
        <v>Valid</v>
      </c>
      <c r="AK375" t="str">
        <f t="shared" si="77"/>
        <v xml:space="preserve">Valid </v>
      </c>
      <c r="AL375" t="str">
        <f>IF(AND(Audit_Data[[#This Row],[Recency]]&gt;=0,Audit_Data[[#This Row],[Recency]]&lt;=100),"Valid","Invalid")</f>
        <v>Valid</v>
      </c>
      <c r="AM375" t="str">
        <f t="shared" si="71"/>
        <v>Valid</v>
      </c>
      <c r="AN375" t="str">
        <f t="shared" si="72"/>
        <v>Valid</v>
      </c>
      <c r="AO375" t="str">
        <f t="shared" si="73"/>
        <v>Valid</v>
      </c>
      <c r="AP375" t="str">
        <f t="shared" si="74"/>
        <v>Valid</v>
      </c>
      <c r="AQ375" t="str">
        <f>IF(Audit_Data[[#This Row],[Z_CostContact]]=3,"Valid","Invalid")</f>
        <v>Valid</v>
      </c>
      <c r="AR375" t="str">
        <f t="shared" si="75"/>
        <v>Valid</v>
      </c>
      <c r="AS375" t="str">
        <f t="shared" si="76"/>
        <v>Valid</v>
      </c>
    </row>
    <row r="376" spans="1:45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 t="str">
        <f t="shared" si="65"/>
        <v>Ok</v>
      </c>
      <c r="AE376" t="str">
        <f>IF(AND(Audit_Data[[#This Row],[Year_Birth]]&gt;=1900,Audit_Data[[#This Row],[Year_Birth]]&lt;=2010),"OK","Invalid")</f>
        <v>OK</v>
      </c>
      <c r="AF376" t="str">
        <f t="shared" si="66"/>
        <v>Valid</v>
      </c>
      <c r="AG376" t="str">
        <f t="shared" si="67"/>
        <v>Valid</v>
      </c>
      <c r="AH376" t="str">
        <f t="shared" si="68"/>
        <v>Valid</v>
      </c>
      <c r="AI376" t="str">
        <f t="shared" si="69"/>
        <v>Valid</v>
      </c>
      <c r="AJ376" t="str">
        <f t="shared" si="70"/>
        <v>Valid</v>
      </c>
      <c r="AK376" t="str">
        <f t="shared" si="77"/>
        <v xml:space="preserve">Valid </v>
      </c>
      <c r="AL376" t="str">
        <f>IF(AND(Audit_Data[[#This Row],[Recency]]&gt;=0,Audit_Data[[#This Row],[Recency]]&lt;=100),"Valid","Invalid")</f>
        <v>Valid</v>
      </c>
      <c r="AM376" t="str">
        <f t="shared" si="71"/>
        <v>Valid</v>
      </c>
      <c r="AN376" t="str">
        <f t="shared" si="72"/>
        <v>Valid</v>
      </c>
      <c r="AO376" t="str">
        <f t="shared" si="73"/>
        <v>Valid</v>
      </c>
      <c r="AP376" t="str">
        <f t="shared" si="74"/>
        <v>Valid</v>
      </c>
      <c r="AQ376" t="str">
        <f>IF(Audit_Data[[#This Row],[Z_CostContact]]=3,"Valid","Invalid")</f>
        <v>Valid</v>
      </c>
      <c r="AR376" t="str">
        <f t="shared" si="75"/>
        <v>Valid</v>
      </c>
      <c r="AS376" t="str">
        <f t="shared" si="76"/>
        <v>Valid</v>
      </c>
    </row>
    <row r="377" spans="1:45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 t="str">
        <f t="shared" si="65"/>
        <v>Ok</v>
      </c>
      <c r="AE377" t="str">
        <f>IF(AND(Audit_Data[[#This Row],[Year_Birth]]&gt;=1900,Audit_Data[[#This Row],[Year_Birth]]&lt;=2010),"OK","Invalid")</f>
        <v>OK</v>
      </c>
      <c r="AF377" t="str">
        <f t="shared" si="66"/>
        <v>Valid</v>
      </c>
      <c r="AG377" t="str">
        <f t="shared" si="67"/>
        <v>Valid</v>
      </c>
      <c r="AH377" t="str">
        <f t="shared" si="68"/>
        <v>Valid</v>
      </c>
      <c r="AI377" t="str">
        <f t="shared" si="69"/>
        <v>Valid</v>
      </c>
      <c r="AJ377" t="str">
        <f t="shared" si="70"/>
        <v>Valid</v>
      </c>
      <c r="AK377" t="str">
        <f t="shared" si="77"/>
        <v xml:space="preserve">Valid </v>
      </c>
      <c r="AL377" t="str">
        <f>IF(AND(Audit_Data[[#This Row],[Recency]]&gt;=0,Audit_Data[[#This Row],[Recency]]&lt;=100),"Valid","Invalid")</f>
        <v>Valid</v>
      </c>
      <c r="AM377" t="str">
        <f t="shared" si="71"/>
        <v>Valid</v>
      </c>
      <c r="AN377" t="str">
        <f t="shared" si="72"/>
        <v>Valid</v>
      </c>
      <c r="AO377" t="str">
        <f t="shared" si="73"/>
        <v>Valid</v>
      </c>
      <c r="AP377" t="str">
        <f t="shared" si="74"/>
        <v>Valid</v>
      </c>
      <c r="AQ377" t="str">
        <f>IF(Audit_Data[[#This Row],[Z_CostContact]]=3,"Valid","Invalid")</f>
        <v>Valid</v>
      </c>
      <c r="AR377" t="str">
        <f t="shared" si="75"/>
        <v>Valid</v>
      </c>
      <c r="AS377" t="str">
        <f t="shared" si="76"/>
        <v>Valid</v>
      </c>
    </row>
    <row r="378" spans="1:45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 t="str">
        <f t="shared" si="65"/>
        <v>Ok</v>
      </c>
      <c r="AE378" t="str">
        <f>IF(AND(Audit_Data[[#This Row],[Year_Birth]]&gt;=1900,Audit_Data[[#This Row],[Year_Birth]]&lt;=2010),"OK","Invalid")</f>
        <v>OK</v>
      </c>
      <c r="AF378" t="str">
        <f t="shared" si="66"/>
        <v>Valid</v>
      </c>
      <c r="AG378" t="str">
        <f t="shared" si="67"/>
        <v>Valid</v>
      </c>
      <c r="AH378" t="str">
        <f t="shared" si="68"/>
        <v>Valid</v>
      </c>
      <c r="AI378" t="str">
        <f t="shared" si="69"/>
        <v>Valid</v>
      </c>
      <c r="AJ378" t="str">
        <f t="shared" si="70"/>
        <v>Valid</v>
      </c>
      <c r="AK378" t="str">
        <f t="shared" si="77"/>
        <v xml:space="preserve">Valid </v>
      </c>
      <c r="AL378" t="str">
        <f>IF(AND(Audit_Data[[#This Row],[Recency]]&gt;=0,Audit_Data[[#This Row],[Recency]]&lt;=100),"Valid","Invalid")</f>
        <v>Valid</v>
      </c>
      <c r="AM378" t="str">
        <f t="shared" si="71"/>
        <v>Valid</v>
      </c>
      <c r="AN378" t="str">
        <f t="shared" si="72"/>
        <v>Valid</v>
      </c>
      <c r="AO378" t="str">
        <f t="shared" si="73"/>
        <v>Valid</v>
      </c>
      <c r="AP378" t="str">
        <f t="shared" si="74"/>
        <v>Valid</v>
      </c>
      <c r="AQ378" t="str">
        <f>IF(Audit_Data[[#This Row],[Z_CostContact]]=3,"Valid","Invalid")</f>
        <v>Valid</v>
      </c>
      <c r="AR378" t="str">
        <f t="shared" si="75"/>
        <v>Valid</v>
      </c>
      <c r="AS378" t="str">
        <f t="shared" si="76"/>
        <v>Valid</v>
      </c>
    </row>
    <row r="379" spans="1:45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 t="str">
        <f t="shared" si="65"/>
        <v>Ok</v>
      </c>
      <c r="AE379" t="str">
        <f>IF(AND(Audit_Data[[#This Row],[Year_Birth]]&gt;=1900,Audit_Data[[#This Row],[Year_Birth]]&lt;=2010),"OK","Invalid")</f>
        <v>OK</v>
      </c>
      <c r="AF379" t="str">
        <f t="shared" si="66"/>
        <v>Valid</v>
      </c>
      <c r="AG379" t="str">
        <f t="shared" si="67"/>
        <v>Valid</v>
      </c>
      <c r="AH379" t="str">
        <f t="shared" si="68"/>
        <v>Valid</v>
      </c>
      <c r="AI379" t="str">
        <f t="shared" si="69"/>
        <v>Valid</v>
      </c>
      <c r="AJ379" t="str">
        <f t="shared" si="70"/>
        <v>Valid</v>
      </c>
      <c r="AK379" t="str">
        <f t="shared" si="77"/>
        <v xml:space="preserve">Valid </v>
      </c>
      <c r="AL379" t="str">
        <f>IF(AND(Audit_Data[[#This Row],[Recency]]&gt;=0,Audit_Data[[#This Row],[Recency]]&lt;=100),"Valid","Invalid")</f>
        <v>Valid</v>
      </c>
      <c r="AM379" t="str">
        <f t="shared" si="71"/>
        <v>Valid</v>
      </c>
      <c r="AN379" t="str">
        <f t="shared" si="72"/>
        <v>Valid</v>
      </c>
      <c r="AO379" t="str">
        <f t="shared" si="73"/>
        <v>Valid</v>
      </c>
      <c r="AP379" t="str">
        <f t="shared" si="74"/>
        <v>Valid</v>
      </c>
      <c r="AQ379" t="str">
        <f>IF(Audit_Data[[#This Row],[Z_CostContact]]=3,"Valid","Invalid")</f>
        <v>Valid</v>
      </c>
      <c r="AR379" t="str">
        <f t="shared" si="75"/>
        <v>Valid</v>
      </c>
      <c r="AS379" t="str">
        <f t="shared" si="76"/>
        <v>Valid</v>
      </c>
    </row>
    <row r="380" spans="1:45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 t="str">
        <f t="shared" si="65"/>
        <v>Ok</v>
      </c>
      <c r="AE380" t="str">
        <f>IF(AND(Audit_Data[[#This Row],[Year_Birth]]&gt;=1900,Audit_Data[[#This Row],[Year_Birth]]&lt;=2010),"OK","Invalid")</f>
        <v>OK</v>
      </c>
      <c r="AF380" t="str">
        <f t="shared" si="66"/>
        <v>Valid</v>
      </c>
      <c r="AG380" t="str">
        <f t="shared" si="67"/>
        <v>Valid</v>
      </c>
      <c r="AH380" t="str">
        <f t="shared" si="68"/>
        <v>Valid</v>
      </c>
      <c r="AI380" t="str">
        <f t="shared" si="69"/>
        <v>Valid</v>
      </c>
      <c r="AJ380" t="str">
        <f t="shared" si="70"/>
        <v>Valid</v>
      </c>
      <c r="AK380" t="str">
        <f t="shared" si="77"/>
        <v xml:space="preserve">Valid </v>
      </c>
      <c r="AL380" t="str">
        <f>IF(AND(Audit_Data[[#This Row],[Recency]]&gt;=0,Audit_Data[[#This Row],[Recency]]&lt;=100),"Valid","Invalid")</f>
        <v>Valid</v>
      </c>
      <c r="AM380" t="str">
        <f t="shared" si="71"/>
        <v>Valid</v>
      </c>
      <c r="AN380" t="str">
        <f t="shared" si="72"/>
        <v>Valid</v>
      </c>
      <c r="AO380" t="str">
        <f t="shared" si="73"/>
        <v>Valid</v>
      </c>
      <c r="AP380" t="str">
        <f t="shared" si="74"/>
        <v>Valid</v>
      </c>
      <c r="AQ380" t="str">
        <f>IF(Audit_Data[[#This Row],[Z_CostContact]]=3,"Valid","Invalid")</f>
        <v>Valid</v>
      </c>
      <c r="AR380" t="str">
        <f t="shared" si="75"/>
        <v>Valid</v>
      </c>
      <c r="AS380" t="str">
        <f t="shared" si="76"/>
        <v>Valid</v>
      </c>
    </row>
    <row r="381" spans="1:45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 t="str">
        <f t="shared" si="65"/>
        <v>Ok</v>
      </c>
      <c r="AE381" t="str">
        <f>IF(AND(Audit_Data[[#This Row],[Year_Birth]]&gt;=1900,Audit_Data[[#This Row],[Year_Birth]]&lt;=2010),"OK","Invalid")</f>
        <v>OK</v>
      </c>
      <c r="AF381" t="str">
        <f t="shared" si="66"/>
        <v>Valid</v>
      </c>
      <c r="AG381" t="str">
        <f t="shared" si="67"/>
        <v>Valid</v>
      </c>
      <c r="AH381" t="str">
        <f t="shared" si="68"/>
        <v>Valid</v>
      </c>
      <c r="AI381" t="str">
        <f t="shared" si="69"/>
        <v>Valid</v>
      </c>
      <c r="AJ381" t="str">
        <f t="shared" si="70"/>
        <v>Valid</v>
      </c>
      <c r="AK381" t="str">
        <f t="shared" si="77"/>
        <v xml:space="preserve">Valid </v>
      </c>
      <c r="AL381" t="str">
        <f>IF(AND(Audit_Data[[#This Row],[Recency]]&gt;=0,Audit_Data[[#This Row],[Recency]]&lt;=100),"Valid","Invalid")</f>
        <v>Valid</v>
      </c>
      <c r="AM381" t="str">
        <f t="shared" si="71"/>
        <v>Valid</v>
      </c>
      <c r="AN381" t="str">
        <f t="shared" si="72"/>
        <v>Valid</v>
      </c>
      <c r="AO381" t="str">
        <f t="shared" si="73"/>
        <v>Valid</v>
      </c>
      <c r="AP381" t="str">
        <f t="shared" si="74"/>
        <v>Valid</v>
      </c>
      <c r="AQ381" t="str">
        <f>IF(Audit_Data[[#This Row],[Z_CostContact]]=3,"Valid","Invalid")</f>
        <v>Valid</v>
      </c>
      <c r="AR381" t="str">
        <f t="shared" si="75"/>
        <v>Valid</v>
      </c>
      <c r="AS381" t="str">
        <f t="shared" si="76"/>
        <v>Valid</v>
      </c>
    </row>
    <row r="382" spans="1:45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 t="str">
        <f t="shared" si="65"/>
        <v>Ok</v>
      </c>
      <c r="AE382" t="str">
        <f>IF(AND(Audit_Data[[#This Row],[Year_Birth]]&gt;=1900,Audit_Data[[#This Row],[Year_Birth]]&lt;=2010),"OK","Invalid")</f>
        <v>OK</v>
      </c>
      <c r="AF382" t="str">
        <f t="shared" si="66"/>
        <v>Valid</v>
      </c>
      <c r="AG382" t="str">
        <f t="shared" si="67"/>
        <v>Valid</v>
      </c>
      <c r="AH382" t="str">
        <f t="shared" si="68"/>
        <v>Valid</v>
      </c>
      <c r="AI382" t="str">
        <f t="shared" si="69"/>
        <v>Valid</v>
      </c>
      <c r="AJ382" t="str">
        <f t="shared" si="70"/>
        <v>Valid</v>
      </c>
      <c r="AK382" t="str">
        <f t="shared" si="77"/>
        <v xml:space="preserve">Valid </v>
      </c>
      <c r="AL382" t="str">
        <f>IF(AND(Audit_Data[[#This Row],[Recency]]&gt;=0,Audit_Data[[#This Row],[Recency]]&lt;=100),"Valid","Invalid")</f>
        <v>Valid</v>
      </c>
      <c r="AM382" t="str">
        <f t="shared" si="71"/>
        <v>Valid</v>
      </c>
      <c r="AN382" t="str">
        <f t="shared" si="72"/>
        <v>Valid</v>
      </c>
      <c r="AO382" t="str">
        <f t="shared" si="73"/>
        <v>Valid</v>
      </c>
      <c r="AP382" t="str">
        <f t="shared" si="74"/>
        <v>Valid</v>
      </c>
      <c r="AQ382" t="str">
        <f>IF(Audit_Data[[#This Row],[Z_CostContact]]=3,"Valid","Invalid")</f>
        <v>Valid</v>
      </c>
      <c r="AR382" t="str">
        <f t="shared" si="75"/>
        <v>Valid</v>
      </c>
      <c r="AS382" t="str">
        <f t="shared" si="76"/>
        <v>Valid</v>
      </c>
    </row>
    <row r="383" spans="1:45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 t="str">
        <f t="shared" si="65"/>
        <v>Ok</v>
      </c>
      <c r="AE383" t="str">
        <f>IF(AND(Audit_Data[[#This Row],[Year_Birth]]&gt;=1900,Audit_Data[[#This Row],[Year_Birth]]&lt;=2010),"OK","Invalid")</f>
        <v>OK</v>
      </c>
      <c r="AF383" t="str">
        <f t="shared" si="66"/>
        <v>Valid</v>
      </c>
      <c r="AG383" t="str">
        <f t="shared" si="67"/>
        <v>Valid</v>
      </c>
      <c r="AH383" t="str">
        <f t="shared" si="68"/>
        <v>Valid</v>
      </c>
      <c r="AI383" t="str">
        <f t="shared" si="69"/>
        <v>Valid</v>
      </c>
      <c r="AJ383" t="str">
        <f t="shared" si="70"/>
        <v>Valid</v>
      </c>
      <c r="AK383" t="str">
        <f t="shared" si="77"/>
        <v xml:space="preserve">Valid </v>
      </c>
      <c r="AL383" t="str">
        <f>IF(AND(Audit_Data[[#This Row],[Recency]]&gt;=0,Audit_Data[[#This Row],[Recency]]&lt;=100),"Valid","Invalid")</f>
        <v>Valid</v>
      </c>
      <c r="AM383" t="str">
        <f t="shared" si="71"/>
        <v>Valid</v>
      </c>
      <c r="AN383" t="str">
        <f t="shared" si="72"/>
        <v>Valid</v>
      </c>
      <c r="AO383" t="str">
        <f t="shared" si="73"/>
        <v>Valid</v>
      </c>
      <c r="AP383" t="str">
        <f t="shared" si="74"/>
        <v>Valid</v>
      </c>
      <c r="AQ383" t="str">
        <f>IF(Audit_Data[[#This Row],[Z_CostContact]]=3,"Valid","Invalid")</f>
        <v>Valid</v>
      </c>
      <c r="AR383" t="str">
        <f t="shared" si="75"/>
        <v>Valid</v>
      </c>
      <c r="AS383" t="str">
        <f t="shared" si="76"/>
        <v>Valid</v>
      </c>
    </row>
    <row r="384" spans="1:45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 t="str">
        <f t="shared" si="65"/>
        <v>Ok</v>
      </c>
      <c r="AE384" t="str">
        <f>IF(AND(Audit_Data[[#This Row],[Year_Birth]]&gt;=1900,Audit_Data[[#This Row],[Year_Birth]]&lt;=2010),"OK","Invalid")</f>
        <v>OK</v>
      </c>
      <c r="AF384" t="str">
        <f t="shared" si="66"/>
        <v>Valid</v>
      </c>
      <c r="AG384" t="str">
        <f t="shared" si="67"/>
        <v>Valid</v>
      </c>
      <c r="AH384" t="str">
        <f t="shared" si="68"/>
        <v>Valid</v>
      </c>
      <c r="AI384" t="str">
        <f t="shared" si="69"/>
        <v>Valid</v>
      </c>
      <c r="AJ384" t="str">
        <f t="shared" si="70"/>
        <v>Valid</v>
      </c>
      <c r="AK384" t="str">
        <f t="shared" si="77"/>
        <v xml:space="preserve">Valid </v>
      </c>
      <c r="AL384" t="str">
        <f>IF(AND(Audit_Data[[#This Row],[Recency]]&gt;=0,Audit_Data[[#This Row],[Recency]]&lt;=100),"Valid","Invalid")</f>
        <v>Valid</v>
      </c>
      <c r="AM384" t="str">
        <f t="shared" si="71"/>
        <v>Valid</v>
      </c>
      <c r="AN384" t="str">
        <f t="shared" si="72"/>
        <v>Valid</v>
      </c>
      <c r="AO384" t="str">
        <f t="shared" si="73"/>
        <v>Valid</v>
      </c>
      <c r="AP384" t="str">
        <f t="shared" si="74"/>
        <v>Valid</v>
      </c>
      <c r="AQ384" t="str">
        <f>IF(Audit_Data[[#This Row],[Z_CostContact]]=3,"Valid","Invalid")</f>
        <v>Valid</v>
      </c>
      <c r="AR384" t="str">
        <f t="shared" si="75"/>
        <v>Valid</v>
      </c>
      <c r="AS384" t="str">
        <f t="shared" si="76"/>
        <v>Valid</v>
      </c>
    </row>
    <row r="385" spans="1:45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 t="str">
        <f t="shared" si="65"/>
        <v>Ok</v>
      </c>
      <c r="AE385" t="str">
        <f>IF(AND(Audit_Data[[#This Row],[Year_Birth]]&gt;=1900,Audit_Data[[#This Row],[Year_Birth]]&lt;=2010),"OK","Invalid")</f>
        <v>OK</v>
      </c>
      <c r="AF385" t="str">
        <f t="shared" si="66"/>
        <v>Valid</v>
      </c>
      <c r="AG385" t="str">
        <f t="shared" si="67"/>
        <v>Valid</v>
      </c>
      <c r="AH385" t="str">
        <f t="shared" si="68"/>
        <v>Valid</v>
      </c>
      <c r="AI385" t="str">
        <f t="shared" si="69"/>
        <v>Valid</v>
      </c>
      <c r="AJ385" t="str">
        <f t="shared" si="70"/>
        <v>Valid</v>
      </c>
      <c r="AK385" t="str">
        <f t="shared" si="77"/>
        <v xml:space="preserve">Valid </v>
      </c>
      <c r="AL385" t="str">
        <f>IF(AND(Audit_Data[[#This Row],[Recency]]&gt;=0,Audit_Data[[#This Row],[Recency]]&lt;=100),"Valid","Invalid")</f>
        <v>Valid</v>
      </c>
      <c r="AM385" t="str">
        <f t="shared" si="71"/>
        <v>Valid</v>
      </c>
      <c r="AN385" t="str">
        <f t="shared" si="72"/>
        <v>Valid</v>
      </c>
      <c r="AO385" t="str">
        <f t="shared" si="73"/>
        <v>Valid</v>
      </c>
      <c r="AP385" t="str">
        <f t="shared" si="74"/>
        <v>Valid</v>
      </c>
      <c r="AQ385" t="str">
        <f>IF(Audit_Data[[#This Row],[Z_CostContact]]=3,"Valid","Invalid")</f>
        <v>Valid</v>
      </c>
      <c r="AR385" t="str">
        <f t="shared" si="75"/>
        <v>Valid</v>
      </c>
      <c r="AS385" t="str">
        <f t="shared" si="76"/>
        <v>Valid</v>
      </c>
    </row>
    <row r="386" spans="1:45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 t="str">
        <f t="shared" ref="AD386:AD449" si="78">IF(COUNTIF(A:A,A386)&gt;1,"Duplicate","Ok")</f>
        <v>Ok</v>
      </c>
      <c r="AE386" t="str">
        <f>IF(AND(Audit_Data[[#This Row],[Year_Birth]]&gt;=1900,Audit_Data[[#This Row],[Year_Birth]]&lt;=2010),"OK","Invalid")</f>
        <v>OK</v>
      </c>
      <c r="AF386" t="str">
        <f t="shared" ref="AF386:AF449" si="79">IF(OR(C386="Graduation",C386="phD",C386="Master",C386="Basic",C386="2n Cycle"),"Valid","Invalid")</f>
        <v>Valid</v>
      </c>
      <c r="AG386" t="str">
        <f t="shared" ref="AG386:AG449" si="80">IF(OR(D386="Single",D386="Married",D386="Divorced",D386="Together",D386="Widow",D386="Alone"),"Valid","Invalid")</f>
        <v>Valid</v>
      </c>
      <c r="AH386" t="str">
        <f t="shared" ref="AH386:AH449" si="81">IF(AND(ISNUMBER(E386),E386&lt;&gt;""),"Valid","Invalid")</f>
        <v>Valid</v>
      </c>
      <c r="AI386" t="str">
        <f t="shared" ref="AI386:AI449" si="82">IF(AND(F386&gt;=0,F386&lt;=2),"Valid","Invalid")</f>
        <v>Valid</v>
      </c>
      <c r="AJ386" t="str">
        <f t="shared" ref="AJ386:AJ449" si="83">IF(AND(G386&gt;=0,G386&lt;=2),"Valid","Invalid")</f>
        <v>Valid</v>
      </c>
      <c r="AK386" t="str">
        <f t="shared" si="77"/>
        <v xml:space="preserve">Valid </v>
      </c>
      <c r="AL386" t="str">
        <f>IF(AND(Audit_Data[[#This Row],[Recency]]&gt;=0,Audit_Data[[#This Row],[Recency]]&lt;=100),"Valid","Invalid")</f>
        <v>Valid</v>
      </c>
      <c r="AM386" t="str">
        <f t="shared" ref="AM386:AM449" si="84">IF(AND(ISNUMBER(J386),J386&gt;=0,ISNUMBER(K386),K386&gt;=0,ISNUMBER(L386),L386&gt;=0,ISNUMBER(M386),M386&gt;=0,ISNUMBER(N386),N386&gt;=0,ISNUMBER(O386),O386&gt;=0),"Valid","Invalid")</f>
        <v>Valid</v>
      </c>
      <c r="AN386" t="str">
        <f t="shared" ref="AN386:AN449" si="85">IF(AND(ISNUMBER(P386),P386&gt;=0,ISNUMBER(Q386),Q386&gt;=0,ISNUMBER(R386),R386&gt;=0,ISNUMBER(S386),S386&gt;=0,ISNUMBER(T386),T386&gt;=0),"Valid","Invalid")</f>
        <v>Valid</v>
      </c>
      <c r="AO386" t="str">
        <f t="shared" ref="AO386:AO449" si="86">IF(AND(U386&lt;=1,V386&lt;=1,W386&lt;=1,X386&lt;=1,Y386&lt;=1),"Valid","Invalid")</f>
        <v>Valid</v>
      </c>
      <c r="AP386" t="str">
        <f t="shared" ref="AP386:AP449" si="87">IF(OR(Z386=0,Z386=1),"Valid","Invalid")</f>
        <v>Valid</v>
      </c>
      <c r="AQ386" t="str">
        <f>IF(Audit_Data[[#This Row],[Z_CostContact]]=3,"Valid","Invalid")</f>
        <v>Valid</v>
      </c>
      <c r="AR386" t="str">
        <f t="shared" ref="AR386:AR449" si="88">IF(AB386=11,"Valid","Invalid")</f>
        <v>Valid</v>
      </c>
      <c r="AS386" t="str">
        <f t="shared" ref="AS386:AS449" si="89">IF(OR(AC386=0,AC386=1),"Valid","Invalid")</f>
        <v>Valid</v>
      </c>
    </row>
    <row r="387" spans="1:45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 t="str">
        <f t="shared" si="78"/>
        <v>Ok</v>
      </c>
      <c r="AE387" t="str">
        <f>IF(AND(Audit_Data[[#This Row],[Year_Birth]]&gt;=1900,Audit_Data[[#This Row],[Year_Birth]]&lt;=2010),"OK","Invalid")</f>
        <v>OK</v>
      </c>
      <c r="AF387" t="str">
        <f t="shared" si="79"/>
        <v>Valid</v>
      </c>
      <c r="AG387" t="str">
        <f t="shared" si="80"/>
        <v>Valid</v>
      </c>
      <c r="AH387" t="str">
        <f t="shared" si="81"/>
        <v>Valid</v>
      </c>
      <c r="AI387" t="str">
        <f t="shared" si="82"/>
        <v>Valid</v>
      </c>
      <c r="AJ387" t="str">
        <f t="shared" si="83"/>
        <v>Valid</v>
      </c>
      <c r="AK387" t="str">
        <f t="shared" ref="AK387:AK450" si="90">IF(AND(ISNUMBER(H387),H387&gt;=DATE(2012,1,1),H387&lt;=DATE(2014,12,31)),"Valid ","Invalid")</f>
        <v xml:space="preserve">Valid </v>
      </c>
      <c r="AL387" t="str">
        <f>IF(AND(Audit_Data[[#This Row],[Recency]]&gt;=0,Audit_Data[[#This Row],[Recency]]&lt;=100),"Valid","Invalid")</f>
        <v>Valid</v>
      </c>
      <c r="AM387" t="str">
        <f t="shared" si="84"/>
        <v>Valid</v>
      </c>
      <c r="AN387" t="str">
        <f t="shared" si="85"/>
        <v>Valid</v>
      </c>
      <c r="AO387" t="str">
        <f t="shared" si="86"/>
        <v>Valid</v>
      </c>
      <c r="AP387" t="str">
        <f t="shared" si="87"/>
        <v>Valid</v>
      </c>
      <c r="AQ387" t="str">
        <f>IF(Audit_Data[[#This Row],[Z_CostContact]]=3,"Valid","Invalid")</f>
        <v>Valid</v>
      </c>
      <c r="AR387" t="str">
        <f t="shared" si="88"/>
        <v>Valid</v>
      </c>
      <c r="AS387" t="str">
        <f t="shared" si="89"/>
        <v>Valid</v>
      </c>
    </row>
    <row r="388" spans="1:45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 t="str">
        <f t="shared" si="78"/>
        <v>Ok</v>
      </c>
      <c r="AE388" t="str">
        <f>IF(AND(Audit_Data[[#This Row],[Year_Birth]]&gt;=1900,Audit_Data[[#This Row],[Year_Birth]]&lt;=2010),"OK","Invalid")</f>
        <v>OK</v>
      </c>
      <c r="AF388" t="str">
        <f t="shared" si="79"/>
        <v>Valid</v>
      </c>
      <c r="AG388" t="str">
        <f t="shared" si="80"/>
        <v>Valid</v>
      </c>
      <c r="AH388" t="str">
        <f t="shared" si="81"/>
        <v>Valid</v>
      </c>
      <c r="AI388" t="str">
        <f t="shared" si="82"/>
        <v>Valid</v>
      </c>
      <c r="AJ388" t="str">
        <f t="shared" si="83"/>
        <v>Valid</v>
      </c>
      <c r="AK388" t="str">
        <f t="shared" si="90"/>
        <v xml:space="preserve">Valid </v>
      </c>
      <c r="AL388" t="str">
        <f>IF(AND(Audit_Data[[#This Row],[Recency]]&gt;=0,Audit_Data[[#This Row],[Recency]]&lt;=100),"Valid","Invalid")</f>
        <v>Valid</v>
      </c>
      <c r="AM388" t="str">
        <f t="shared" si="84"/>
        <v>Valid</v>
      </c>
      <c r="AN388" t="str">
        <f t="shared" si="85"/>
        <v>Valid</v>
      </c>
      <c r="AO388" t="str">
        <f t="shared" si="86"/>
        <v>Valid</v>
      </c>
      <c r="AP388" t="str">
        <f t="shared" si="87"/>
        <v>Valid</v>
      </c>
      <c r="AQ388" t="str">
        <f>IF(Audit_Data[[#This Row],[Z_CostContact]]=3,"Valid","Invalid")</f>
        <v>Valid</v>
      </c>
      <c r="AR388" t="str">
        <f t="shared" si="88"/>
        <v>Valid</v>
      </c>
      <c r="AS388" t="str">
        <f t="shared" si="89"/>
        <v>Valid</v>
      </c>
    </row>
    <row r="389" spans="1:45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 t="str">
        <f t="shared" si="78"/>
        <v>Ok</v>
      </c>
      <c r="AE389" t="str">
        <f>IF(AND(Audit_Data[[#This Row],[Year_Birth]]&gt;=1900,Audit_Data[[#This Row],[Year_Birth]]&lt;=2010),"OK","Invalid")</f>
        <v>OK</v>
      </c>
      <c r="AF389" t="str">
        <f t="shared" si="79"/>
        <v>Valid</v>
      </c>
      <c r="AG389" t="str">
        <f t="shared" si="80"/>
        <v>Valid</v>
      </c>
      <c r="AH389" t="str">
        <f t="shared" si="81"/>
        <v>Valid</v>
      </c>
      <c r="AI389" t="str">
        <f t="shared" si="82"/>
        <v>Valid</v>
      </c>
      <c r="AJ389" t="str">
        <f t="shared" si="83"/>
        <v>Valid</v>
      </c>
      <c r="AK389" t="str">
        <f t="shared" si="90"/>
        <v xml:space="preserve">Valid </v>
      </c>
      <c r="AL389" t="str">
        <f>IF(AND(Audit_Data[[#This Row],[Recency]]&gt;=0,Audit_Data[[#This Row],[Recency]]&lt;=100),"Valid","Invalid")</f>
        <v>Valid</v>
      </c>
      <c r="AM389" t="str">
        <f t="shared" si="84"/>
        <v>Valid</v>
      </c>
      <c r="AN389" t="str">
        <f t="shared" si="85"/>
        <v>Valid</v>
      </c>
      <c r="AO389" t="str">
        <f t="shared" si="86"/>
        <v>Valid</v>
      </c>
      <c r="AP389" t="str">
        <f t="shared" si="87"/>
        <v>Valid</v>
      </c>
      <c r="AQ389" t="str">
        <f>IF(Audit_Data[[#This Row],[Z_CostContact]]=3,"Valid","Invalid")</f>
        <v>Valid</v>
      </c>
      <c r="AR389" t="str">
        <f t="shared" si="88"/>
        <v>Valid</v>
      </c>
      <c r="AS389" t="str">
        <f t="shared" si="89"/>
        <v>Valid</v>
      </c>
    </row>
    <row r="390" spans="1:45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 t="str">
        <f t="shared" si="78"/>
        <v>Ok</v>
      </c>
      <c r="AE390" t="str">
        <f>IF(AND(Audit_Data[[#This Row],[Year_Birth]]&gt;=1900,Audit_Data[[#This Row],[Year_Birth]]&lt;=2010),"OK","Invalid")</f>
        <v>OK</v>
      </c>
      <c r="AF390" t="str">
        <f t="shared" si="79"/>
        <v>Valid</v>
      </c>
      <c r="AG390" t="str">
        <f t="shared" si="80"/>
        <v>Valid</v>
      </c>
      <c r="AH390" t="str">
        <f t="shared" si="81"/>
        <v>Valid</v>
      </c>
      <c r="AI390" t="str">
        <f t="shared" si="82"/>
        <v>Valid</v>
      </c>
      <c r="AJ390" t="str">
        <f t="shared" si="83"/>
        <v>Valid</v>
      </c>
      <c r="AK390" t="str">
        <f t="shared" si="90"/>
        <v xml:space="preserve">Valid </v>
      </c>
      <c r="AL390" t="str">
        <f>IF(AND(Audit_Data[[#This Row],[Recency]]&gt;=0,Audit_Data[[#This Row],[Recency]]&lt;=100),"Valid","Invalid")</f>
        <v>Valid</v>
      </c>
      <c r="AM390" t="str">
        <f t="shared" si="84"/>
        <v>Valid</v>
      </c>
      <c r="AN390" t="str">
        <f t="shared" si="85"/>
        <v>Valid</v>
      </c>
      <c r="AO390" t="str">
        <f t="shared" si="86"/>
        <v>Valid</v>
      </c>
      <c r="AP390" t="str">
        <f t="shared" si="87"/>
        <v>Valid</v>
      </c>
      <c r="AQ390" t="str">
        <f>IF(Audit_Data[[#This Row],[Z_CostContact]]=3,"Valid","Invalid")</f>
        <v>Valid</v>
      </c>
      <c r="AR390" t="str">
        <f t="shared" si="88"/>
        <v>Valid</v>
      </c>
      <c r="AS390" t="str">
        <f t="shared" si="89"/>
        <v>Valid</v>
      </c>
    </row>
    <row r="391" spans="1:45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 t="str">
        <f t="shared" si="78"/>
        <v>Ok</v>
      </c>
      <c r="AE391" t="str">
        <f>IF(AND(Audit_Data[[#This Row],[Year_Birth]]&gt;=1900,Audit_Data[[#This Row],[Year_Birth]]&lt;=2010),"OK","Invalid")</f>
        <v>OK</v>
      </c>
      <c r="AF391" t="str">
        <f t="shared" si="79"/>
        <v>Valid</v>
      </c>
      <c r="AG391" t="str">
        <f t="shared" si="80"/>
        <v>Valid</v>
      </c>
      <c r="AH391" t="str">
        <f t="shared" si="81"/>
        <v>Valid</v>
      </c>
      <c r="AI391" t="str">
        <f t="shared" si="82"/>
        <v>Valid</v>
      </c>
      <c r="AJ391" t="str">
        <f t="shared" si="83"/>
        <v>Valid</v>
      </c>
      <c r="AK391" t="str">
        <f t="shared" si="90"/>
        <v xml:space="preserve">Valid </v>
      </c>
      <c r="AL391" t="str">
        <f>IF(AND(Audit_Data[[#This Row],[Recency]]&gt;=0,Audit_Data[[#This Row],[Recency]]&lt;=100),"Valid","Invalid")</f>
        <v>Valid</v>
      </c>
      <c r="AM391" t="str">
        <f t="shared" si="84"/>
        <v>Valid</v>
      </c>
      <c r="AN391" t="str">
        <f t="shared" si="85"/>
        <v>Valid</v>
      </c>
      <c r="AO391" t="str">
        <f t="shared" si="86"/>
        <v>Valid</v>
      </c>
      <c r="AP391" t="str">
        <f t="shared" si="87"/>
        <v>Valid</v>
      </c>
      <c r="AQ391" t="str">
        <f>IF(Audit_Data[[#This Row],[Z_CostContact]]=3,"Valid","Invalid")</f>
        <v>Valid</v>
      </c>
      <c r="AR391" t="str">
        <f t="shared" si="88"/>
        <v>Valid</v>
      </c>
      <c r="AS391" t="str">
        <f t="shared" si="89"/>
        <v>Valid</v>
      </c>
    </row>
    <row r="392" spans="1:45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 t="str">
        <f t="shared" si="78"/>
        <v>Ok</v>
      </c>
      <c r="AE392" t="str">
        <f>IF(AND(Audit_Data[[#This Row],[Year_Birth]]&gt;=1900,Audit_Data[[#This Row],[Year_Birth]]&lt;=2010),"OK","Invalid")</f>
        <v>OK</v>
      </c>
      <c r="AF392" t="str">
        <f t="shared" si="79"/>
        <v>Valid</v>
      </c>
      <c r="AG392" t="str">
        <f t="shared" si="80"/>
        <v>Valid</v>
      </c>
      <c r="AH392" t="str">
        <f t="shared" si="81"/>
        <v>Valid</v>
      </c>
      <c r="AI392" t="str">
        <f t="shared" si="82"/>
        <v>Valid</v>
      </c>
      <c r="AJ392" t="str">
        <f t="shared" si="83"/>
        <v>Valid</v>
      </c>
      <c r="AK392" t="str">
        <f t="shared" si="90"/>
        <v xml:space="preserve">Valid </v>
      </c>
      <c r="AL392" t="str">
        <f>IF(AND(Audit_Data[[#This Row],[Recency]]&gt;=0,Audit_Data[[#This Row],[Recency]]&lt;=100),"Valid","Invalid")</f>
        <v>Valid</v>
      </c>
      <c r="AM392" t="str">
        <f t="shared" si="84"/>
        <v>Valid</v>
      </c>
      <c r="AN392" t="str">
        <f t="shared" si="85"/>
        <v>Valid</v>
      </c>
      <c r="AO392" t="str">
        <f t="shared" si="86"/>
        <v>Valid</v>
      </c>
      <c r="AP392" t="str">
        <f t="shared" si="87"/>
        <v>Valid</v>
      </c>
      <c r="AQ392" t="str">
        <f>IF(Audit_Data[[#This Row],[Z_CostContact]]=3,"Valid","Invalid")</f>
        <v>Valid</v>
      </c>
      <c r="AR392" t="str">
        <f t="shared" si="88"/>
        <v>Valid</v>
      </c>
      <c r="AS392" t="str">
        <f t="shared" si="89"/>
        <v>Valid</v>
      </c>
    </row>
    <row r="393" spans="1:45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 t="str">
        <f t="shared" si="78"/>
        <v>Ok</v>
      </c>
      <c r="AE393" t="str">
        <f>IF(AND(Audit_Data[[#This Row],[Year_Birth]]&gt;=1900,Audit_Data[[#This Row],[Year_Birth]]&lt;=2010),"OK","Invalid")</f>
        <v>OK</v>
      </c>
      <c r="AF393" t="str">
        <f t="shared" si="79"/>
        <v>Valid</v>
      </c>
      <c r="AG393" t="str">
        <f t="shared" si="80"/>
        <v>Valid</v>
      </c>
      <c r="AH393" t="str">
        <f t="shared" si="81"/>
        <v>Valid</v>
      </c>
      <c r="AI393" t="str">
        <f t="shared" si="82"/>
        <v>Valid</v>
      </c>
      <c r="AJ393" t="str">
        <f t="shared" si="83"/>
        <v>Valid</v>
      </c>
      <c r="AK393" t="str">
        <f t="shared" si="90"/>
        <v xml:space="preserve">Valid </v>
      </c>
      <c r="AL393" t="str">
        <f>IF(AND(Audit_Data[[#This Row],[Recency]]&gt;=0,Audit_Data[[#This Row],[Recency]]&lt;=100),"Valid","Invalid")</f>
        <v>Valid</v>
      </c>
      <c r="AM393" t="str">
        <f t="shared" si="84"/>
        <v>Valid</v>
      </c>
      <c r="AN393" t="str">
        <f t="shared" si="85"/>
        <v>Valid</v>
      </c>
      <c r="AO393" t="str">
        <f t="shared" si="86"/>
        <v>Valid</v>
      </c>
      <c r="AP393" t="str">
        <f t="shared" si="87"/>
        <v>Valid</v>
      </c>
      <c r="AQ393" t="str">
        <f>IF(Audit_Data[[#This Row],[Z_CostContact]]=3,"Valid","Invalid")</f>
        <v>Valid</v>
      </c>
      <c r="AR393" t="str">
        <f t="shared" si="88"/>
        <v>Valid</v>
      </c>
      <c r="AS393" t="str">
        <f t="shared" si="89"/>
        <v>Valid</v>
      </c>
    </row>
    <row r="394" spans="1:45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 t="str">
        <f t="shared" si="78"/>
        <v>Ok</v>
      </c>
      <c r="AE394" t="str">
        <f>IF(AND(Audit_Data[[#This Row],[Year_Birth]]&gt;=1900,Audit_Data[[#This Row],[Year_Birth]]&lt;=2010),"OK","Invalid")</f>
        <v>OK</v>
      </c>
      <c r="AF394" t="str">
        <f t="shared" si="79"/>
        <v>Valid</v>
      </c>
      <c r="AG394" t="str">
        <f t="shared" si="80"/>
        <v>Valid</v>
      </c>
      <c r="AH394" t="str">
        <f t="shared" si="81"/>
        <v>Valid</v>
      </c>
      <c r="AI394" t="str">
        <f t="shared" si="82"/>
        <v>Valid</v>
      </c>
      <c r="AJ394" t="str">
        <f t="shared" si="83"/>
        <v>Valid</v>
      </c>
      <c r="AK394" t="str">
        <f t="shared" si="90"/>
        <v xml:space="preserve">Valid </v>
      </c>
      <c r="AL394" t="str">
        <f>IF(AND(Audit_Data[[#This Row],[Recency]]&gt;=0,Audit_Data[[#This Row],[Recency]]&lt;=100),"Valid","Invalid")</f>
        <v>Valid</v>
      </c>
      <c r="AM394" t="str">
        <f t="shared" si="84"/>
        <v>Valid</v>
      </c>
      <c r="AN394" t="str">
        <f t="shared" si="85"/>
        <v>Valid</v>
      </c>
      <c r="AO394" t="str">
        <f t="shared" si="86"/>
        <v>Valid</v>
      </c>
      <c r="AP394" t="str">
        <f t="shared" si="87"/>
        <v>Valid</v>
      </c>
      <c r="AQ394" t="str">
        <f>IF(Audit_Data[[#This Row],[Z_CostContact]]=3,"Valid","Invalid")</f>
        <v>Valid</v>
      </c>
      <c r="AR394" t="str">
        <f t="shared" si="88"/>
        <v>Valid</v>
      </c>
      <c r="AS394" t="str">
        <f t="shared" si="89"/>
        <v>Valid</v>
      </c>
    </row>
    <row r="395" spans="1:45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 t="str">
        <f t="shared" si="78"/>
        <v>Ok</v>
      </c>
      <c r="AE395" t="str">
        <f>IF(AND(Audit_Data[[#This Row],[Year_Birth]]&gt;=1900,Audit_Data[[#This Row],[Year_Birth]]&lt;=2010),"OK","Invalid")</f>
        <v>OK</v>
      </c>
      <c r="AF395" t="str">
        <f t="shared" si="79"/>
        <v>Valid</v>
      </c>
      <c r="AG395" t="str">
        <f t="shared" si="80"/>
        <v>Valid</v>
      </c>
      <c r="AH395" t="str">
        <f t="shared" si="81"/>
        <v>Valid</v>
      </c>
      <c r="AI395" t="str">
        <f t="shared" si="82"/>
        <v>Valid</v>
      </c>
      <c r="AJ395" t="str">
        <f t="shared" si="83"/>
        <v>Valid</v>
      </c>
      <c r="AK395" t="str">
        <f t="shared" si="90"/>
        <v xml:space="preserve">Valid </v>
      </c>
      <c r="AL395" t="str">
        <f>IF(AND(Audit_Data[[#This Row],[Recency]]&gt;=0,Audit_Data[[#This Row],[Recency]]&lt;=100),"Valid","Invalid")</f>
        <v>Valid</v>
      </c>
      <c r="AM395" t="str">
        <f t="shared" si="84"/>
        <v>Valid</v>
      </c>
      <c r="AN395" t="str">
        <f t="shared" si="85"/>
        <v>Valid</v>
      </c>
      <c r="AO395" t="str">
        <f t="shared" si="86"/>
        <v>Valid</v>
      </c>
      <c r="AP395" t="str">
        <f t="shared" si="87"/>
        <v>Valid</v>
      </c>
      <c r="AQ395" t="str">
        <f>IF(Audit_Data[[#This Row],[Z_CostContact]]=3,"Valid","Invalid")</f>
        <v>Valid</v>
      </c>
      <c r="AR395" t="str">
        <f t="shared" si="88"/>
        <v>Valid</v>
      </c>
      <c r="AS395" t="str">
        <f t="shared" si="89"/>
        <v>Valid</v>
      </c>
    </row>
    <row r="396" spans="1:45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 t="str">
        <f t="shared" si="78"/>
        <v>Ok</v>
      </c>
      <c r="AE396" t="str">
        <f>IF(AND(Audit_Data[[#This Row],[Year_Birth]]&gt;=1900,Audit_Data[[#This Row],[Year_Birth]]&lt;=2010),"OK","Invalid")</f>
        <v>OK</v>
      </c>
      <c r="AF396" t="str">
        <f t="shared" si="79"/>
        <v>Valid</v>
      </c>
      <c r="AG396" t="str">
        <f t="shared" si="80"/>
        <v>Valid</v>
      </c>
      <c r="AH396" t="str">
        <f t="shared" si="81"/>
        <v>Valid</v>
      </c>
      <c r="AI396" t="str">
        <f t="shared" si="82"/>
        <v>Valid</v>
      </c>
      <c r="AJ396" t="str">
        <f t="shared" si="83"/>
        <v>Valid</v>
      </c>
      <c r="AK396" t="str">
        <f t="shared" si="90"/>
        <v xml:space="preserve">Valid </v>
      </c>
      <c r="AL396" t="str">
        <f>IF(AND(Audit_Data[[#This Row],[Recency]]&gt;=0,Audit_Data[[#This Row],[Recency]]&lt;=100),"Valid","Invalid")</f>
        <v>Valid</v>
      </c>
      <c r="AM396" t="str">
        <f t="shared" si="84"/>
        <v>Valid</v>
      </c>
      <c r="AN396" t="str">
        <f t="shared" si="85"/>
        <v>Valid</v>
      </c>
      <c r="AO396" t="str">
        <f t="shared" si="86"/>
        <v>Valid</v>
      </c>
      <c r="AP396" t="str">
        <f t="shared" si="87"/>
        <v>Valid</v>
      </c>
      <c r="AQ396" t="str">
        <f>IF(Audit_Data[[#This Row],[Z_CostContact]]=3,"Valid","Invalid")</f>
        <v>Valid</v>
      </c>
      <c r="AR396" t="str">
        <f t="shared" si="88"/>
        <v>Valid</v>
      </c>
      <c r="AS396" t="str">
        <f t="shared" si="89"/>
        <v>Valid</v>
      </c>
    </row>
    <row r="397" spans="1:45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 t="str">
        <f t="shared" si="78"/>
        <v>Ok</v>
      </c>
      <c r="AE397" t="str">
        <f>IF(AND(Audit_Data[[#This Row],[Year_Birth]]&gt;=1900,Audit_Data[[#This Row],[Year_Birth]]&lt;=2010),"OK","Invalid")</f>
        <v>OK</v>
      </c>
      <c r="AF397" t="str">
        <f t="shared" si="79"/>
        <v>Valid</v>
      </c>
      <c r="AG397" t="str">
        <f t="shared" si="80"/>
        <v>Valid</v>
      </c>
      <c r="AH397" t="str">
        <f t="shared" si="81"/>
        <v>Valid</v>
      </c>
      <c r="AI397" t="str">
        <f t="shared" si="82"/>
        <v>Valid</v>
      </c>
      <c r="AJ397" t="str">
        <f t="shared" si="83"/>
        <v>Valid</v>
      </c>
      <c r="AK397" t="str">
        <f t="shared" si="90"/>
        <v xml:space="preserve">Valid </v>
      </c>
      <c r="AL397" t="str">
        <f>IF(AND(Audit_Data[[#This Row],[Recency]]&gt;=0,Audit_Data[[#This Row],[Recency]]&lt;=100),"Valid","Invalid")</f>
        <v>Valid</v>
      </c>
      <c r="AM397" t="str">
        <f t="shared" si="84"/>
        <v>Valid</v>
      </c>
      <c r="AN397" t="str">
        <f t="shared" si="85"/>
        <v>Valid</v>
      </c>
      <c r="AO397" t="str">
        <f t="shared" si="86"/>
        <v>Valid</v>
      </c>
      <c r="AP397" t="str">
        <f t="shared" si="87"/>
        <v>Valid</v>
      </c>
      <c r="AQ397" t="str">
        <f>IF(Audit_Data[[#This Row],[Z_CostContact]]=3,"Valid","Invalid")</f>
        <v>Valid</v>
      </c>
      <c r="AR397" t="str">
        <f t="shared" si="88"/>
        <v>Valid</v>
      </c>
      <c r="AS397" t="str">
        <f t="shared" si="89"/>
        <v>Valid</v>
      </c>
    </row>
    <row r="398" spans="1:45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 t="str">
        <f t="shared" si="78"/>
        <v>Ok</v>
      </c>
      <c r="AE398" t="str">
        <f>IF(AND(Audit_Data[[#This Row],[Year_Birth]]&gt;=1900,Audit_Data[[#This Row],[Year_Birth]]&lt;=2010),"OK","Invalid")</f>
        <v>OK</v>
      </c>
      <c r="AF398" t="str">
        <f t="shared" si="79"/>
        <v>Valid</v>
      </c>
      <c r="AG398" t="str">
        <f t="shared" si="80"/>
        <v>Valid</v>
      </c>
      <c r="AH398" t="str">
        <f t="shared" si="81"/>
        <v>Valid</v>
      </c>
      <c r="AI398" t="str">
        <f t="shared" si="82"/>
        <v>Valid</v>
      </c>
      <c r="AJ398" t="str">
        <f t="shared" si="83"/>
        <v>Valid</v>
      </c>
      <c r="AK398" t="str">
        <f t="shared" si="90"/>
        <v xml:space="preserve">Valid </v>
      </c>
      <c r="AL398" t="str">
        <f>IF(AND(Audit_Data[[#This Row],[Recency]]&gt;=0,Audit_Data[[#This Row],[Recency]]&lt;=100),"Valid","Invalid")</f>
        <v>Valid</v>
      </c>
      <c r="AM398" t="str">
        <f t="shared" si="84"/>
        <v>Valid</v>
      </c>
      <c r="AN398" t="str">
        <f t="shared" si="85"/>
        <v>Valid</v>
      </c>
      <c r="AO398" t="str">
        <f t="shared" si="86"/>
        <v>Valid</v>
      </c>
      <c r="AP398" t="str">
        <f t="shared" si="87"/>
        <v>Valid</v>
      </c>
      <c r="AQ398" t="str">
        <f>IF(Audit_Data[[#This Row],[Z_CostContact]]=3,"Valid","Invalid")</f>
        <v>Valid</v>
      </c>
      <c r="AR398" t="str">
        <f t="shared" si="88"/>
        <v>Valid</v>
      </c>
      <c r="AS398" t="str">
        <f t="shared" si="89"/>
        <v>Valid</v>
      </c>
    </row>
    <row r="399" spans="1:45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 t="str">
        <f t="shared" si="78"/>
        <v>Ok</v>
      </c>
      <c r="AE399" t="str">
        <f>IF(AND(Audit_Data[[#This Row],[Year_Birth]]&gt;=1900,Audit_Data[[#This Row],[Year_Birth]]&lt;=2010),"OK","Invalid")</f>
        <v>OK</v>
      </c>
      <c r="AF399" t="str">
        <f t="shared" si="79"/>
        <v>Valid</v>
      </c>
      <c r="AG399" t="str">
        <f t="shared" si="80"/>
        <v>Valid</v>
      </c>
      <c r="AH399" t="str">
        <f t="shared" si="81"/>
        <v>Valid</v>
      </c>
      <c r="AI399" t="str">
        <f t="shared" si="82"/>
        <v>Valid</v>
      </c>
      <c r="AJ399" t="str">
        <f t="shared" si="83"/>
        <v>Valid</v>
      </c>
      <c r="AK399" t="str">
        <f t="shared" si="90"/>
        <v xml:space="preserve">Valid </v>
      </c>
      <c r="AL399" t="str">
        <f>IF(AND(Audit_Data[[#This Row],[Recency]]&gt;=0,Audit_Data[[#This Row],[Recency]]&lt;=100),"Valid","Invalid")</f>
        <v>Valid</v>
      </c>
      <c r="AM399" t="str">
        <f t="shared" si="84"/>
        <v>Valid</v>
      </c>
      <c r="AN399" t="str">
        <f t="shared" si="85"/>
        <v>Valid</v>
      </c>
      <c r="AO399" t="str">
        <f t="shared" si="86"/>
        <v>Valid</v>
      </c>
      <c r="AP399" t="str">
        <f t="shared" si="87"/>
        <v>Valid</v>
      </c>
      <c r="AQ399" t="str">
        <f>IF(Audit_Data[[#This Row],[Z_CostContact]]=3,"Valid","Invalid")</f>
        <v>Valid</v>
      </c>
      <c r="AR399" t="str">
        <f t="shared" si="88"/>
        <v>Valid</v>
      </c>
      <c r="AS399" t="str">
        <f t="shared" si="89"/>
        <v>Valid</v>
      </c>
    </row>
    <row r="400" spans="1:45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 t="str">
        <f t="shared" si="78"/>
        <v>Ok</v>
      </c>
      <c r="AE400" t="str">
        <f>IF(AND(Audit_Data[[#This Row],[Year_Birth]]&gt;=1900,Audit_Data[[#This Row],[Year_Birth]]&lt;=2010),"OK","Invalid")</f>
        <v>OK</v>
      </c>
      <c r="AF400" t="str">
        <f t="shared" si="79"/>
        <v>Valid</v>
      </c>
      <c r="AG400" t="str">
        <f t="shared" si="80"/>
        <v>Valid</v>
      </c>
      <c r="AH400" t="str">
        <f t="shared" si="81"/>
        <v>Valid</v>
      </c>
      <c r="AI400" t="str">
        <f t="shared" si="82"/>
        <v>Valid</v>
      </c>
      <c r="AJ400" t="str">
        <f t="shared" si="83"/>
        <v>Valid</v>
      </c>
      <c r="AK400" t="str">
        <f t="shared" si="90"/>
        <v xml:space="preserve">Valid </v>
      </c>
      <c r="AL400" t="str">
        <f>IF(AND(Audit_Data[[#This Row],[Recency]]&gt;=0,Audit_Data[[#This Row],[Recency]]&lt;=100),"Valid","Invalid")</f>
        <v>Valid</v>
      </c>
      <c r="AM400" t="str">
        <f t="shared" si="84"/>
        <v>Valid</v>
      </c>
      <c r="AN400" t="str">
        <f t="shared" si="85"/>
        <v>Valid</v>
      </c>
      <c r="AO400" t="str">
        <f t="shared" si="86"/>
        <v>Valid</v>
      </c>
      <c r="AP400" t="str">
        <f t="shared" si="87"/>
        <v>Valid</v>
      </c>
      <c r="AQ400" t="str">
        <f>IF(Audit_Data[[#This Row],[Z_CostContact]]=3,"Valid","Invalid")</f>
        <v>Valid</v>
      </c>
      <c r="AR400" t="str">
        <f t="shared" si="88"/>
        <v>Valid</v>
      </c>
      <c r="AS400" t="str">
        <f t="shared" si="89"/>
        <v>Valid</v>
      </c>
    </row>
    <row r="401" spans="1:45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 t="str">
        <f t="shared" si="78"/>
        <v>Ok</v>
      </c>
      <c r="AE401" t="str">
        <f>IF(AND(Audit_Data[[#This Row],[Year_Birth]]&gt;=1900,Audit_Data[[#This Row],[Year_Birth]]&lt;=2010),"OK","Invalid")</f>
        <v>OK</v>
      </c>
      <c r="AF401" t="str">
        <f t="shared" si="79"/>
        <v>Valid</v>
      </c>
      <c r="AG401" t="str">
        <f t="shared" si="80"/>
        <v>Valid</v>
      </c>
      <c r="AH401" t="str">
        <f t="shared" si="81"/>
        <v>Valid</v>
      </c>
      <c r="AI401" t="str">
        <f t="shared" si="82"/>
        <v>Valid</v>
      </c>
      <c r="AJ401" t="str">
        <f t="shared" si="83"/>
        <v>Valid</v>
      </c>
      <c r="AK401" t="str">
        <f t="shared" si="90"/>
        <v xml:space="preserve">Valid </v>
      </c>
      <c r="AL401" t="str">
        <f>IF(AND(Audit_Data[[#This Row],[Recency]]&gt;=0,Audit_Data[[#This Row],[Recency]]&lt;=100),"Valid","Invalid")</f>
        <v>Valid</v>
      </c>
      <c r="AM401" t="str">
        <f t="shared" si="84"/>
        <v>Valid</v>
      </c>
      <c r="AN401" t="str">
        <f t="shared" si="85"/>
        <v>Valid</v>
      </c>
      <c r="AO401" t="str">
        <f t="shared" si="86"/>
        <v>Valid</v>
      </c>
      <c r="AP401" t="str">
        <f t="shared" si="87"/>
        <v>Valid</v>
      </c>
      <c r="AQ401" t="str">
        <f>IF(Audit_Data[[#This Row],[Z_CostContact]]=3,"Valid","Invalid")</f>
        <v>Valid</v>
      </c>
      <c r="AR401" t="str">
        <f t="shared" si="88"/>
        <v>Valid</v>
      </c>
      <c r="AS401" t="str">
        <f t="shared" si="89"/>
        <v>Valid</v>
      </c>
    </row>
    <row r="402" spans="1:45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 t="str">
        <f t="shared" si="78"/>
        <v>Ok</v>
      </c>
      <c r="AE402" t="str">
        <f>IF(AND(Audit_Data[[#This Row],[Year_Birth]]&gt;=1900,Audit_Data[[#This Row],[Year_Birth]]&lt;=2010),"OK","Invalid")</f>
        <v>OK</v>
      </c>
      <c r="AF402" t="str">
        <f t="shared" si="79"/>
        <v>Valid</v>
      </c>
      <c r="AG402" t="str">
        <f t="shared" si="80"/>
        <v>Valid</v>
      </c>
      <c r="AH402" t="str">
        <f t="shared" si="81"/>
        <v>Valid</v>
      </c>
      <c r="AI402" t="str">
        <f t="shared" si="82"/>
        <v>Valid</v>
      </c>
      <c r="AJ402" t="str">
        <f t="shared" si="83"/>
        <v>Valid</v>
      </c>
      <c r="AK402" t="str">
        <f t="shared" si="90"/>
        <v xml:space="preserve">Valid </v>
      </c>
      <c r="AL402" t="str">
        <f>IF(AND(Audit_Data[[#This Row],[Recency]]&gt;=0,Audit_Data[[#This Row],[Recency]]&lt;=100),"Valid","Invalid")</f>
        <v>Valid</v>
      </c>
      <c r="AM402" t="str">
        <f t="shared" si="84"/>
        <v>Valid</v>
      </c>
      <c r="AN402" t="str">
        <f t="shared" si="85"/>
        <v>Valid</v>
      </c>
      <c r="AO402" t="str">
        <f t="shared" si="86"/>
        <v>Valid</v>
      </c>
      <c r="AP402" t="str">
        <f t="shared" si="87"/>
        <v>Valid</v>
      </c>
      <c r="AQ402" t="str">
        <f>IF(Audit_Data[[#This Row],[Z_CostContact]]=3,"Valid","Invalid")</f>
        <v>Valid</v>
      </c>
      <c r="AR402" t="str">
        <f t="shared" si="88"/>
        <v>Valid</v>
      </c>
      <c r="AS402" t="str">
        <f t="shared" si="89"/>
        <v>Valid</v>
      </c>
    </row>
    <row r="403" spans="1:45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 t="str">
        <f t="shared" si="78"/>
        <v>Ok</v>
      </c>
      <c r="AE403" t="str">
        <f>IF(AND(Audit_Data[[#This Row],[Year_Birth]]&gt;=1900,Audit_Data[[#This Row],[Year_Birth]]&lt;=2010),"OK","Invalid")</f>
        <v>OK</v>
      </c>
      <c r="AF403" t="str">
        <f t="shared" si="79"/>
        <v>Valid</v>
      </c>
      <c r="AG403" t="str">
        <f t="shared" si="80"/>
        <v>Valid</v>
      </c>
      <c r="AH403" t="str">
        <f t="shared" si="81"/>
        <v>Valid</v>
      </c>
      <c r="AI403" t="str">
        <f t="shared" si="82"/>
        <v>Valid</v>
      </c>
      <c r="AJ403" t="str">
        <f t="shared" si="83"/>
        <v>Valid</v>
      </c>
      <c r="AK403" t="str">
        <f t="shared" si="90"/>
        <v xml:space="preserve">Valid </v>
      </c>
      <c r="AL403" t="str">
        <f>IF(AND(Audit_Data[[#This Row],[Recency]]&gt;=0,Audit_Data[[#This Row],[Recency]]&lt;=100),"Valid","Invalid")</f>
        <v>Valid</v>
      </c>
      <c r="AM403" t="str">
        <f t="shared" si="84"/>
        <v>Valid</v>
      </c>
      <c r="AN403" t="str">
        <f t="shared" si="85"/>
        <v>Valid</v>
      </c>
      <c r="AO403" t="str">
        <f t="shared" si="86"/>
        <v>Valid</v>
      </c>
      <c r="AP403" t="str">
        <f t="shared" si="87"/>
        <v>Valid</v>
      </c>
      <c r="AQ403" t="str">
        <f>IF(Audit_Data[[#This Row],[Z_CostContact]]=3,"Valid","Invalid")</f>
        <v>Valid</v>
      </c>
      <c r="AR403" t="str">
        <f t="shared" si="88"/>
        <v>Valid</v>
      </c>
      <c r="AS403" t="str">
        <f t="shared" si="89"/>
        <v>Valid</v>
      </c>
    </row>
    <row r="404" spans="1:45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 t="str">
        <f t="shared" si="78"/>
        <v>Ok</v>
      </c>
      <c r="AE404" t="str">
        <f>IF(AND(Audit_Data[[#This Row],[Year_Birth]]&gt;=1900,Audit_Data[[#This Row],[Year_Birth]]&lt;=2010),"OK","Invalid")</f>
        <v>OK</v>
      </c>
      <c r="AF404" t="str">
        <f t="shared" si="79"/>
        <v>Valid</v>
      </c>
      <c r="AG404" t="str">
        <f t="shared" si="80"/>
        <v>Valid</v>
      </c>
      <c r="AH404" t="str">
        <f t="shared" si="81"/>
        <v>Valid</v>
      </c>
      <c r="AI404" t="str">
        <f t="shared" si="82"/>
        <v>Valid</v>
      </c>
      <c r="AJ404" t="str">
        <f t="shared" si="83"/>
        <v>Valid</v>
      </c>
      <c r="AK404" t="str">
        <f t="shared" si="90"/>
        <v xml:space="preserve">Valid </v>
      </c>
      <c r="AL404" t="str">
        <f>IF(AND(Audit_Data[[#This Row],[Recency]]&gt;=0,Audit_Data[[#This Row],[Recency]]&lt;=100),"Valid","Invalid")</f>
        <v>Valid</v>
      </c>
      <c r="AM404" t="str">
        <f t="shared" si="84"/>
        <v>Valid</v>
      </c>
      <c r="AN404" t="str">
        <f t="shared" si="85"/>
        <v>Valid</v>
      </c>
      <c r="AO404" t="str">
        <f t="shared" si="86"/>
        <v>Valid</v>
      </c>
      <c r="AP404" t="str">
        <f t="shared" si="87"/>
        <v>Valid</v>
      </c>
      <c r="AQ404" t="str">
        <f>IF(Audit_Data[[#This Row],[Z_CostContact]]=3,"Valid","Invalid")</f>
        <v>Valid</v>
      </c>
      <c r="AR404" t="str">
        <f t="shared" si="88"/>
        <v>Valid</v>
      </c>
      <c r="AS404" t="str">
        <f t="shared" si="89"/>
        <v>Valid</v>
      </c>
    </row>
    <row r="405" spans="1:45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 t="str">
        <f t="shared" si="78"/>
        <v>Ok</v>
      </c>
      <c r="AE405" t="str">
        <f>IF(AND(Audit_Data[[#This Row],[Year_Birth]]&gt;=1900,Audit_Data[[#This Row],[Year_Birth]]&lt;=2010),"OK","Invalid")</f>
        <v>OK</v>
      </c>
      <c r="AF405" t="str">
        <f t="shared" si="79"/>
        <v>Valid</v>
      </c>
      <c r="AG405" t="str">
        <f t="shared" si="80"/>
        <v>Valid</v>
      </c>
      <c r="AH405" t="str">
        <f t="shared" si="81"/>
        <v>Valid</v>
      </c>
      <c r="AI405" t="str">
        <f t="shared" si="82"/>
        <v>Valid</v>
      </c>
      <c r="AJ405" t="str">
        <f t="shared" si="83"/>
        <v>Valid</v>
      </c>
      <c r="AK405" t="str">
        <f t="shared" si="90"/>
        <v xml:space="preserve">Valid </v>
      </c>
      <c r="AL405" t="str">
        <f>IF(AND(Audit_Data[[#This Row],[Recency]]&gt;=0,Audit_Data[[#This Row],[Recency]]&lt;=100),"Valid","Invalid")</f>
        <v>Valid</v>
      </c>
      <c r="AM405" t="str">
        <f t="shared" si="84"/>
        <v>Valid</v>
      </c>
      <c r="AN405" t="str">
        <f t="shared" si="85"/>
        <v>Valid</v>
      </c>
      <c r="AO405" t="str">
        <f t="shared" si="86"/>
        <v>Valid</v>
      </c>
      <c r="AP405" t="str">
        <f t="shared" si="87"/>
        <v>Valid</v>
      </c>
      <c r="AQ405" t="str">
        <f>IF(Audit_Data[[#This Row],[Z_CostContact]]=3,"Valid","Invalid")</f>
        <v>Valid</v>
      </c>
      <c r="AR405" t="str">
        <f t="shared" si="88"/>
        <v>Valid</v>
      </c>
      <c r="AS405" t="str">
        <f t="shared" si="89"/>
        <v>Valid</v>
      </c>
    </row>
    <row r="406" spans="1:45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 t="str">
        <f t="shared" si="78"/>
        <v>Ok</v>
      </c>
      <c r="AE406" t="str">
        <f>IF(AND(Audit_Data[[#This Row],[Year_Birth]]&gt;=1900,Audit_Data[[#This Row],[Year_Birth]]&lt;=2010),"OK","Invalid")</f>
        <v>OK</v>
      </c>
      <c r="AF406" t="str">
        <f t="shared" si="79"/>
        <v>Valid</v>
      </c>
      <c r="AG406" t="str">
        <f t="shared" si="80"/>
        <v>Valid</v>
      </c>
      <c r="AH406" t="str">
        <f t="shared" si="81"/>
        <v>Valid</v>
      </c>
      <c r="AI406" t="str">
        <f t="shared" si="82"/>
        <v>Valid</v>
      </c>
      <c r="AJ406" t="str">
        <f t="shared" si="83"/>
        <v>Valid</v>
      </c>
      <c r="AK406" t="str">
        <f t="shared" si="90"/>
        <v xml:space="preserve">Valid </v>
      </c>
      <c r="AL406" t="str">
        <f>IF(AND(Audit_Data[[#This Row],[Recency]]&gt;=0,Audit_Data[[#This Row],[Recency]]&lt;=100),"Valid","Invalid")</f>
        <v>Valid</v>
      </c>
      <c r="AM406" t="str">
        <f t="shared" si="84"/>
        <v>Valid</v>
      </c>
      <c r="AN406" t="str">
        <f t="shared" si="85"/>
        <v>Valid</v>
      </c>
      <c r="AO406" t="str">
        <f t="shared" si="86"/>
        <v>Valid</v>
      </c>
      <c r="AP406" t="str">
        <f t="shared" si="87"/>
        <v>Valid</v>
      </c>
      <c r="AQ406" t="str">
        <f>IF(Audit_Data[[#This Row],[Z_CostContact]]=3,"Valid","Invalid")</f>
        <v>Valid</v>
      </c>
      <c r="AR406" t="str">
        <f t="shared" si="88"/>
        <v>Valid</v>
      </c>
      <c r="AS406" t="str">
        <f t="shared" si="89"/>
        <v>Valid</v>
      </c>
    </row>
    <row r="407" spans="1:45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 t="str">
        <f t="shared" si="78"/>
        <v>Ok</v>
      </c>
      <c r="AE407" t="str">
        <f>IF(AND(Audit_Data[[#This Row],[Year_Birth]]&gt;=1900,Audit_Data[[#This Row],[Year_Birth]]&lt;=2010),"OK","Invalid")</f>
        <v>OK</v>
      </c>
      <c r="AF407" t="str">
        <f t="shared" si="79"/>
        <v>Valid</v>
      </c>
      <c r="AG407" t="str">
        <f t="shared" si="80"/>
        <v>Valid</v>
      </c>
      <c r="AH407" t="str">
        <f t="shared" si="81"/>
        <v>Valid</v>
      </c>
      <c r="AI407" t="str">
        <f t="shared" si="82"/>
        <v>Valid</v>
      </c>
      <c r="AJ407" t="str">
        <f t="shared" si="83"/>
        <v>Valid</v>
      </c>
      <c r="AK407" t="str">
        <f t="shared" si="90"/>
        <v xml:space="preserve">Valid </v>
      </c>
      <c r="AL407" t="str">
        <f>IF(AND(Audit_Data[[#This Row],[Recency]]&gt;=0,Audit_Data[[#This Row],[Recency]]&lt;=100),"Valid","Invalid")</f>
        <v>Valid</v>
      </c>
      <c r="AM407" t="str">
        <f t="shared" si="84"/>
        <v>Valid</v>
      </c>
      <c r="AN407" t="str">
        <f t="shared" si="85"/>
        <v>Valid</v>
      </c>
      <c r="AO407" t="str">
        <f t="shared" si="86"/>
        <v>Valid</v>
      </c>
      <c r="AP407" t="str">
        <f t="shared" si="87"/>
        <v>Valid</v>
      </c>
      <c r="AQ407" t="str">
        <f>IF(Audit_Data[[#This Row],[Z_CostContact]]=3,"Valid","Invalid")</f>
        <v>Valid</v>
      </c>
      <c r="AR407" t="str">
        <f t="shared" si="88"/>
        <v>Valid</v>
      </c>
      <c r="AS407" t="str">
        <f t="shared" si="89"/>
        <v>Valid</v>
      </c>
    </row>
    <row r="408" spans="1:45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 t="str">
        <f t="shared" si="78"/>
        <v>Ok</v>
      </c>
      <c r="AE408" t="str">
        <f>IF(AND(Audit_Data[[#This Row],[Year_Birth]]&gt;=1900,Audit_Data[[#This Row],[Year_Birth]]&lt;=2010),"OK","Invalid")</f>
        <v>OK</v>
      </c>
      <c r="AF408" t="str">
        <f t="shared" si="79"/>
        <v>Valid</v>
      </c>
      <c r="AG408" t="str">
        <f t="shared" si="80"/>
        <v>Valid</v>
      </c>
      <c r="AH408" t="str">
        <f t="shared" si="81"/>
        <v>Valid</v>
      </c>
      <c r="AI408" t="str">
        <f t="shared" si="82"/>
        <v>Valid</v>
      </c>
      <c r="AJ408" t="str">
        <f t="shared" si="83"/>
        <v>Valid</v>
      </c>
      <c r="AK408" t="str">
        <f t="shared" si="90"/>
        <v xml:space="preserve">Valid </v>
      </c>
      <c r="AL408" t="str">
        <f>IF(AND(Audit_Data[[#This Row],[Recency]]&gt;=0,Audit_Data[[#This Row],[Recency]]&lt;=100),"Valid","Invalid")</f>
        <v>Valid</v>
      </c>
      <c r="AM408" t="str">
        <f t="shared" si="84"/>
        <v>Valid</v>
      </c>
      <c r="AN408" t="str">
        <f t="shared" si="85"/>
        <v>Valid</v>
      </c>
      <c r="AO408" t="str">
        <f t="shared" si="86"/>
        <v>Valid</v>
      </c>
      <c r="AP408" t="str">
        <f t="shared" si="87"/>
        <v>Valid</v>
      </c>
      <c r="AQ408" t="str">
        <f>IF(Audit_Data[[#This Row],[Z_CostContact]]=3,"Valid","Invalid")</f>
        <v>Valid</v>
      </c>
      <c r="AR408" t="str">
        <f t="shared" si="88"/>
        <v>Valid</v>
      </c>
      <c r="AS408" t="str">
        <f t="shared" si="89"/>
        <v>Valid</v>
      </c>
    </row>
    <row r="409" spans="1:45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 t="str">
        <f t="shared" si="78"/>
        <v>Ok</v>
      </c>
      <c r="AE409" t="str">
        <f>IF(AND(Audit_Data[[#This Row],[Year_Birth]]&gt;=1900,Audit_Data[[#This Row],[Year_Birth]]&lt;=2010),"OK","Invalid")</f>
        <v>OK</v>
      </c>
      <c r="AF409" t="str">
        <f t="shared" si="79"/>
        <v>Valid</v>
      </c>
      <c r="AG409" t="str">
        <f t="shared" si="80"/>
        <v>Valid</v>
      </c>
      <c r="AH409" t="str">
        <f t="shared" si="81"/>
        <v>Valid</v>
      </c>
      <c r="AI409" t="str">
        <f t="shared" si="82"/>
        <v>Valid</v>
      </c>
      <c r="AJ409" t="str">
        <f t="shared" si="83"/>
        <v>Valid</v>
      </c>
      <c r="AK409" t="str">
        <f t="shared" si="90"/>
        <v xml:space="preserve">Valid </v>
      </c>
      <c r="AL409" t="str">
        <f>IF(AND(Audit_Data[[#This Row],[Recency]]&gt;=0,Audit_Data[[#This Row],[Recency]]&lt;=100),"Valid","Invalid")</f>
        <v>Valid</v>
      </c>
      <c r="AM409" t="str">
        <f t="shared" si="84"/>
        <v>Valid</v>
      </c>
      <c r="AN409" t="str">
        <f t="shared" si="85"/>
        <v>Valid</v>
      </c>
      <c r="AO409" t="str">
        <f t="shared" si="86"/>
        <v>Valid</v>
      </c>
      <c r="AP409" t="str">
        <f t="shared" si="87"/>
        <v>Valid</v>
      </c>
      <c r="AQ409" t="str">
        <f>IF(Audit_Data[[#This Row],[Z_CostContact]]=3,"Valid","Invalid")</f>
        <v>Valid</v>
      </c>
      <c r="AR409" t="str">
        <f t="shared" si="88"/>
        <v>Valid</v>
      </c>
      <c r="AS409" t="str">
        <f t="shared" si="89"/>
        <v>Valid</v>
      </c>
    </row>
    <row r="410" spans="1:45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 t="str">
        <f t="shared" si="78"/>
        <v>Ok</v>
      </c>
      <c r="AE410" t="str">
        <f>IF(AND(Audit_Data[[#This Row],[Year_Birth]]&gt;=1900,Audit_Data[[#This Row],[Year_Birth]]&lt;=2010),"OK","Invalid")</f>
        <v>OK</v>
      </c>
      <c r="AF410" t="str">
        <f t="shared" si="79"/>
        <v>Valid</v>
      </c>
      <c r="AG410" t="str">
        <f t="shared" si="80"/>
        <v>Valid</v>
      </c>
      <c r="AH410" t="str">
        <f t="shared" si="81"/>
        <v>Valid</v>
      </c>
      <c r="AI410" t="str">
        <f t="shared" si="82"/>
        <v>Valid</v>
      </c>
      <c r="AJ410" t="str">
        <f t="shared" si="83"/>
        <v>Valid</v>
      </c>
      <c r="AK410" t="str">
        <f t="shared" si="90"/>
        <v xml:space="preserve">Valid </v>
      </c>
      <c r="AL410" t="str">
        <f>IF(AND(Audit_Data[[#This Row],[Recency]]&gt;=0,Audit_Data[[#This Row],[Recency]]&lt;=100),"Valid","Invalid")</f>
        <v>Valid</v>
      </c>
      <c r="AM410" t="str">
        <f t="shared" si="84"/>
        <v>Valid</v>
      </c>
      <c r="AN410" t="str">
        <f t="shared" si="85"/>
        <v>Valid</v>
      </c>
      <c r="AO410" t="str">
        <f t="shared" si="86"/>
        <v>Valid</v>
      </c>
      <c r="AP410" t="str">
        <f t="shared" si="87"/>
        <v>Valid</v>
      </c>
      <c r="AQ410" t="str">
        <f>IF(Audit_Data[[#This Row],[Z_CostContact]]=3,"Valid","Invalid")</f>
        <v>Valid</v>
      </c>
      <c r="AR410" t="str">
        <f t="shared" si="88"/>
        <v>Valid</v>
      </c>
      <c r="AS410" t="str">
        <f t="shared" si="89"/>
        <v>Valid</v>
      </c>
    </row>
    <row r="411" spans="1:45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 t="str">
        <f t="shared" si="78"/>
        <v>Ok</v>
      </c>
      <c r="AE411" t="str">
        <f>IF(AND(Audit_Data[[#This Row],[Year_Birth]]&gt;=1900,Audit_Data[[#This Row],[Year_Birth]]&lt;=2010),"OK","Invalid")</f>
        <v>OK</v>
      </c>
      <c r="AF411" t="str">
        <f t="shared" si="79"/>
        <v>Valid</v>
      </c>
      <c r="AG411" t="str">
        <f t="shared" si="80"/>
        <v>Valid</v>
      </c>
      <c r="AH411" t="str">
        <f t="shared" si="81"/>
        <v>Valid</v>
      </c>
      <c r="AI411" t="str">
        <f t="shared" si="82"/>
        <v>Valid</v>
      </c>
      <c r="AJ411" t="str">
        <f t="shared" si="83"/>
        <v>Valid</v>
      </c>
      <c r="AK411" t="str">
        <f t="shared" si="90"/>
        <v xml:space="preserve">Valid </v>
      </c>
      <c r="AL411" t="str">
        <f>IF(AND(Audit_Data[[#This Row],[Recency]]&gt;=0,Audit_Data[[#This Row],[Recency]]&lt;=100),"Valid","Invalid")</f>
        <v>Valid</v>
      </c>
      <c r="AM411" t="str">
        <f t="shared" si="84"/>
        <v>Valid</v>
      </c>
      <c r="AN411" t="str">
        <f t="shared" si="85"/>
        <v>Valid</v>
      </c>
      <c r="AO411" t="str">
        <f t="shared" si="86"/>
        <v>Valid</v>
      </c>
      <c r="AP411" t="str">
        <f t="shared" si="87"/>
        <v>Valid</v>
      </c>
      <c r="AQ411" t="str">
        <f>IF(Audit_Data[[#This Row],[Z_CostContact]]=3,"Valid","Invalid")</f>
        <v>Valid</v>
      </c>
      <c r="AR411" t="str">
        <f t="shared" si="88"/>
        <v>Valid</v>
      </c>
      <c r="AS411" t="str">
        <f t="shared" si="89"/>
        <v>Valid</v>
      </c>
    </row>
    <row r="412" spans="1:45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 t="str">
        <f t="shared" si="78"/>
        <v>Ok</v>
      </c>
      <c r="AE412" t="str">
        <f>IF(AND(Audit_Data[[#This Row],[Year_Birth]]&gt;=1900,Audit_Data[[#This Row],[Year_Birth]]&lt;=2010),"OK","Invalid")</f>
        <v>OK</v>
      </c>
      <c r="AF412" t="str">
        <f t="shared" si="79"/>
        <v>Valid</v>
      </c>
      <c r="AG412" t="str">
        <f t="shared" si="80"/>
        <v>Valid</v>
      </c>
      <c r="AH412" t="str">
        <f t="shared" si="81"/>
        <v>Valid</v>
      </c>
      <c r="AI412" t="str">
        <f t="shared" si="82"/>
        <v>Valid</v>
      </c>
      <c r="AJ412" t="str">
        <f t="shared" si="83"/>
        <v>Valid</v>
      </c>
      <c r="AK412" t="str">
        <f t="shared" si="90"/>
        <v xml:space="preserve">Valid </v>
      </c>
      <c r="AL412" t="str">
        <f>IF(AND(Audit_Data[[#This Row],[Recency]]&gt;=0,Audit_Data[[#This Row],[Recency]]&lt;=100),"Valid","Invalid")</f>
        <v>Valid</v>
      </c>
      <c r="AM412" t="str">
        <f t="shared" si="84"/>
        <v>Valid</v>
      </c>
      <c r="AN412" t="str">
        <f t="shared" si="85"/>
        <v>Valid</v>
      </c>
      <c r="AO412" t="str">
        <f t="shared" si="86"/>
        <v>Valid</v>
      </c>
      <c r="AP412" t="str">
        <f t="shared" si="87"/>
        <v>Valid</v>
      </c>
      <c r="AQ412" t="str">
        <f>IF(Audit_Data[[#This Row],[Z_CostContact]]=3,"Valid","Invalid")</f>
        <v>Valid</v>
      </c>
      <c r="AR412" t="str">
        <f t="shared" si="88"/>
        <v>Valid</v>
      </c>
      <c r="AS412" t="str">
        <f t="shared" si="89"/>
        <v>Valid</v>
      </c>
    </row>
    <row r="413" spans="1:45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 t="str">
        <f t="shared" si="78"/>
        <v>Ok</v>
      </c>
      <c r="AE413" t="str">
        <f>IF(AND(Audit_Data[[#This Row],[Year_Birth]]&gt;=1900,Audit_Data[[#This Row],[Year_Birth]]&lt;=2010),"OK","Invalid")</f>
        <v>OK</v>
      </c>
      <c r="AF413" t="str">
        <f t="shared" si="79"/>
        <v>Valid</v>
      </c>
      <c r="AG413" t="str">
        <f t="shared" si="80"/>
        <v>Valid</v>
      </c>
      <c r="AH413" t="str">
        <f t="shared" si="81"/>
        <v>Valid</v>
      </c>
      <c r="AI413" t="str">
        <f t="shared" si="82"/>
        <v>Valid</v>
      </c>
      <c r="AJ413" t="str">
        <f t="shared" si="83"/>
        <v>Valid</v>
      </c>
      <c r="AK413" t="str">
        <f t="shared" si="90"/>
        <v xml:space="preserve">Valid </v>
      </c>
      <c r="AL413" t="str">
        <f>IF(AND(Audit_Data[[#This Row],[Recency]]&gt;=0,Audit_Data[[#This Row],[Recency]]&lt;=100),"Valid","Invalid")</f>
        <v>Valid</v>
      </c>
      <c r="AM413" t="str">
        <f t="shared" si="84"/>
        <v>Valid</v>
      </c>
      <c r="AN413" t="str">
        <f t="shared" si="85"/>
        <v>Valid</v>
      </c>
      <c r="AO413" t="str">
        <f t="shared" si="86"/>
        <v>Valid</v>
      </c>
      <c r="AP413" t="str">
        <f t="shared" si="87"/>
        <v>Valid</v>
      </c>
      <c r="AQ413" t="str">
        <f>IF(Audit_Data[[#This Row],[Z_CostContact]]=3,"Valid","Invalid")</f>
        <v>Valid</v>
      </c>
      <c r="AR413" t="str">
        <f t="shared" si="88"/>
        <v>Valid</v>
      </c>
      <c r="AS413" t="str">
        <f t="shared" si="89"/>
        <v>Valid</v>
      </c>
    </row>
    <row r="414" spans="1:45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 t="str">
        <f t="shared" si="78"/>
        <v>Ok</v>
      </c>
      <c r="AE414" t="str">
        <f>IF(AND(Audit_Data[[#This Row],[Year_Birth]]&gt;=1900,Audit_Data[[#This Row],[Year_Birth]]&lt;=2010),"OK","Invalid")</f>
        <v>OK</v>
      </c>
      <c r="AF414" t="str">
        <f t="shared" si="79"/>
        <v>Valid</v>
      </c>
      <c r="AG414" t="str">
        <f t="shared" si="80"/>
        <v>Valid</v>
      </c>
      <c r="AH414" t="str">
        <f t="shared" si="81"/>
        <v>Valid</v>
      </c>
      <c r="AI414" t="str">
        <f t="shared" si="82"/>
        <v>Valid</v>
      </c>
      <c r="AJ414" t="str">
        <f t="shared" si="83"/>
        <v>Valid</v>
      </c>
      <c r="AK414" t="str">
        <f t="shared" si="90"/>
        <v xml:space="preserve">Valid </v>
      </c>
      <c r="AL414" t="str">
        <f>IF(AND(Audit_Data[[#This Row],[Recency]]&gt;=0,Audit_Data[[#This Row],[Recency]]&lt;=100),"Valid","Invalid")</f>
        <v>Valid</v>
      </c>
      <c r="AM414" t="str">
        <f t="shared" si="84"/>
        <v>Valid</v>
      </c>
      <c r="AN414" t="str">
        <f t="shared" si="85"/>
        <v>Valid</v>
      </c>
      <c r="AO414" t="str">
        <f t="shared" si="86"/>
        <v>Valid</v>
      </c>
      <c r="AP414" t="str">
        <f t="shared" si="87"/>
        <v>Valid</v>
      </c>
      <c r="AQ414" t="str">
        <f>IF(Audit_Data[[#This Row],[Z_CostContact]]=3,"Valid","Invalid")</f>
        <v>Valid</v>
      </c>
      <c r="AR414" t="str">
        <f t="shared" si="88"/>
        <v>Valid</v>
      </c>
      <c r="AS414" t="str">
        <f t="shared" si="89"/>
        <v>Valid</v>
      </c>
    </row>
    <row r="415" spans="1:45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 t="str">
        <f t="shared" si="78"/>
        <v>Ok</v>
      </c>
      <c r="AE415" t="str">
        <f>IF(AND(Audit_Data[[#This Row],[Year_Birth]]&gt;=1900,Audit_Data[[#This Row],[Year_Birth]]&lt;=2010),"OK","Invalid")</f>
        <v>OK</v>
      </c>
      <c r="AF415" t="str">
        <f t="shared" si="79"/>
        <v>Valid</v>
      </c>
      <c r="AG415" t="str">
        <f t="shared" si="80"/>
        <v>Valid</v>
      </c>
      <c r="AH415" t="str">
        <f t="shared" si="81"/>
        <v>Valid</v>
      </c>
      <c r="AI415" t="str">
        <f t="shared" si="82"/>
        <v>Valid</v>
      </c>
      <c r="AJ415" t="str">
        <f t="shared" si="83"/>
        <v>Valid</v>
      </c>
      <c r="AK415" t="str">
        <f t="shared" si="90"/>
        <v xml:space="preserve">Valid </v>
      </c>
      <c r="AL415" t="str">
        <f>IF(AND(Audit_Data[[#This Row],[Recency]]&gt;=0,Audit_Data[[#This Row],[Recency]]&lt;=100),"Valid","Invalid")</f>
        <v>Valid</v>
      </c>
      <c r="AM415" t="str">
        <f t="shared" si="84"/>
        <v>Valid</v>
      </c>
      <c r="AN415" t="str">
        <f t="shared" si="85"/>
        <v>Valid</v>
      </c>
      <c r="AO415" t="str">
        <f t="shared" si="86"/>
        <v>Valid</v>
      </c>
      <c r="AP415" t="str">
        <f t="shared" si="87"/>
        <v>Valid</v>
      </c>
      <c r="AQ415" t="str">
        <f>IF(Audit_Data[[#This Row],[Z_CostContact]]=3,"Valid","Invalid")</f>
        <v>Valid</v>
      </c>
      <c r="AR415" t="str">
        <f t="shared" si="88"/>
        <v>Valid</v>
      </c>
      <c r="AS415" t="str">
        <f t="shared" si="89"/>
        <v>Valid</v>
      </c>
    </row>
    <row r="416" spans="1:45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 t="str">
        <f t="shared" si="78"/>
        <v>Ok</v>
      </c>
      <c r="AE416" t="str">
        <f>IF(AND(Audit_Data[[#This Row],[Year_Birth]]&gt;=1900,Audit_Data[[#This Row],[Year_Birth]]&lt;=2010),"OK","Invalid")</f>
        <v>OK</v>
      </c>
      <c r="AF416" t="str">
        <f t="shared" si="79"/>
        <v>Valid</v>
      </c>
      <c r="AG416" t="str">
        <f t="shared" si="80"/>
        <v>Valid</v>
      </c>
      <c r="AH416" t="str">
        <f t="shared" si="81"/>
        <v>Valid</v>
      </c>
      <c r="AI416" t="str">
        <f t="shared" si="82"/>
        <v>Valid</v>
      </c>
      <c r="AJ416" t="str">
        <f t="shared" si="83"/>
        <v>Valid</v>
      </c>
      <c r="AK416" t="str">
        <f t="shared" si="90"/>
        <v xml:space="preserve">Valid </v>
      </c>
      <c r="AL416" t="str">
        <f>IF(AND(Audit_Data[[#This Row],[Recency]]&gt;=0,Audit_Data[[#This Row],[Recency]]&lt;=100),"Valid","Invalid")</f>
        <v>Valid</v>
      </c>
      <c r="AM416" t="str">
        <f t="shared" si="84"/>
        <v>Valid</v>
      </c>
      <c r="AN416" t="str">
        <f t="shared" si="85"/>
        <v>Valid</v>
      </c>
      <c r="AO416" t="str">
        <f t="shared" si="86"/>
        <v>Valid</v>
      </c>
      <c r="AP416" t="str">
        <f t="shared" si="87"/>
        <v>Valid</v>
      </c>
      <c r="AQ416" t="str">
        <f>IF(Audit_Data[[#This Row],[Z_CostContact]]=3,"Valid","Invalid")</f>
        <v>Valid</v>
      </c>
      <c r="AR416" t="str">
        <f t="shared" si="88"/>
        <v>Valid</v>
      </c>
      <c r="AS416" t="str">
        <f t="shared" si="89"/>
        <v>Valid</v>
      </c>
    </row>
    <row r="417" spans="1:45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 t="str">
        <f t="shared" si="78"/>
        <v>Ok</v>
      </c>
      <c r="AE417" t="str">
        <f>IF(AND(Audit_Data[[#This Row],[Year_Birth]]&gt;=1900,Audit_Data[[#This Row],[Year_Birth]]&lt;=2010),"OK","Invalid")</f>
        <v>OK</v>
      </c>
      <c r="AF417" t="str">
        <f t="shared" si="79"/>
        <v>Valid</v>
      </c>
      <c r="AG417" t="str">
        <f t="shared" si="80"/>
        <v>Valid</v>
      </c>
      <c r="AH417" t="str">
        <f t="shared" si="81"/>
        <v>Valid</v>
      </c>
      <c r="AI417" t="str">
        <f t="shared" si="82"/>
        <v>Valid</v>
      </c>
      <c r="AJ417" t="str">
        <f t="shared" si="83"/>
        <v>Valid</v>
      </c>
      <c r="AK417" t="str">
        <f t="shared" si="90"/>
        <v xml:space="preserve">Valid </v>
      </c>
      <c r="AL417" t="str">
        <f>IF(AND(Audit_Data[[#This Row],[Recency]]&gt;=0,Audit_Data[[#This Row],[Recency]]&lt;=100),"Valid","Invalid")</f>
        <v>Valid</v>
      </c>
      <c r="AM417" t="str">
        <f t="shared" si="84"/>
        <v>Valid</v>
      </c>
      <c r="AN417" t="str">
        <f t="shared" si="85"/>
        <v>Valid</v>
      </c>
      <c r="AO417" t="str">
        <f t="shared" si="86"/>
        <v>Valid</v>
      </c>
      <c r="AP417" t="str">
        <f t="shared" si="87"/>
        <v>Valid</v>
      </c>
      <c r="AQ417" t="str">
        <f>IF(Audit_Data[[#This Row],[Z_CostContact]]=3,"Valid","Invalid")</f>
        <v>Valid</v>
      </c>
      <c r="AR417" t="str">
        <f t="shared" si="88"/>
        <v>Valid</v>
      </c>
      <c r="AS417" t="str">
        <f t="shared" si="89"/>
        <v>Valid</v>
      </c>
    </row>
    <row r="418" spans="1:45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 t="str">
        <f t="shared" si="78"/>
        <v>Ok</v>
      </c>
      <c r="AE418" t="str">
        <f>IF(AND(Audit_Data[[#This Row],[Year_Birth]]&gt;=1900,Audit_Data[[#This Row],[Year_Birth]]&lt;=2010),"OK","Invalid")</f>
        <v>OK</v>
      </c>
      <c r="AF418" t="str">
        <f t="shared" si="79"/>
        <v>Valid</v>
      </c>
      <c r="AG418" t="str">
        <f t="shared" si="80"/>
        <v>Valid</v>
      </c>
      <c r="AH418" t="str">
        <f t="shared" si="81"/>
        <v>Valid</v>
      </c>
      <c r="AI418" t="str">
        <f t="shared" si="82"/>
        <v>Valid</v>
      </c>
      <c r="AJ418" t="str">
        <f t="shared" si="83"/>
        <v>Valid</v>
      </c>
      <c r="AK418" t="str">
        <f t="shared" si="90"/>
        <v xml:space="preserve">Valid </v>
      </c>
      <c r="AL418" t="str">
        <f>IF(AND(Audit_Data[[#This Row],[Recency]]&gt;=0,Audit_Data[[#This Row],[Recency]]&lt;=100),"Valid","Invalid")</f>
        <v>Valid</v>
      </c>
      <c r="AM418" t="str">
        <f t="shared" si="84"/>
        <v>Valid</v>
      </c>
      <c r="AN418" t="str">
        <f t="shared" si="85"/>
        <v>Valid</v>
      </c>
      <c r="AO418" t="str">
        <f t="shared" si="86"/>
        <v>Valid</v>
      </c>
      <c r="AP418" t="str">
        <f t="shared" si="87"/>
        <v>Valid</v>
      </c>
      <c r="AQ418" t="str">
        <f>IF(Audit_Data[[#This Row],[Z_CostContact]]=3,"Valid","Invalid")</f>
        <v>Valid</v>
      </c>
      <c r="AR418" t="str">
        <f t="shared" si="88"/>
        <v>Valid</v>
      </c>
      <c r="AS418" t="str">
        <f t="shared" si="89"/>
        <v>Valid</v>
      </c>
    </row>
    <row r="419" spans="1:45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 t="str">
        <f t="shared" si="78"/>
        <v>Ok</v>
      </c>
      <c r="AE419" t="str">
        <f>IF(AND(Audit_Data[[#This Row],[Year_Birth]]&gt;=1900,Audit_Data[[#This Row],[Year_Birth]]&lt;=2010),"OK","Invalid")</f>
        <v>OK</v>
      </c>
      <c r="AF419" t="str">
        <f t="shared" si="79"/>
        <v>Valid</v>
      </c>
      <c r="AG419" t="str">
        <f t="shared" si="80"/>
        <v>Valid</v>
      </c>
      <c r="AH419" t="str">
        <f t="shared" si="81"/>
        <v>Valid</v>
      </c>
      <c r="AI419" t="str">
        <f t="shared" si="82"/>
        <v>Valid</v>
      </c>
      <c r="AJ419" t="str">
        <f t="shared" si="83"/>
        <v>Valid</v>
      </c>
      <c r="AK419" t="str">
        <f t="shared" si="90"/>
        <v xml:space="preserve">Valid </v>
      </c>
      <c r="AL419" t="str">
        <f>IF(AND(Audit_Data[[#This Row],[Recency]]&gt;=0,Audit_Data[[#This Row],[Recency]]&lt;=100),"Valid","Invalid")</f>
        <v>Valid</v>
      </c>
      <c r="AM419" t="str">
        <f t="shared" si="84"/>
        <v>Valid</v>
      </c>
      <c r="AN419" t="str">
        <f t="shared" si="85"/>
        <v>Valid</v>
      </c>
      <c r="AO419" t="str">
        <f t="shared" si="86"/>
        <v>Valid</v>
      </c>
      <c r="AP419" t="str">
        <f t="shared" si="87"/>
        <v>Valid</v>
      </c>
      <c r="AQ419" t="str">
        <f>IF(Audit_Data[[#This Row],[Z_CostContact]]=3,"Valid","Invalid")</f>
        <v>Valid</v>
      </c>
      <c r="AR419" t="str">
        <f t="shared" si="88"/>
        <v>Valid</v>
      </c>
      <c r="AS419" t="str">
        <f t="shared" si="89"/>
        <v>Valid</v>
      </c>
    </row>
    <row r="420" spans="1:45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 t="str">
        <f t="shared" si="78"/>
        <v>Ok</v>
      </c>
      <c r="AE420" t="str">
        <f>IF(AND(Audit_Data[[#This Row],[Year_Birth]]&gt;=1900,Audit_Data[[#This Row],[Year_Birth]]&lt;=2010),"OK","Invalid")</f>
        <v>OK</v>
      </c>
      <c r="AF420" t="str">
        <f t="shared" si="79"/>
        <v>Valid</v>
      </c>
      <c r="AG420" t="str">
        <f t="shared" si="80"/>
        <v>Valid</v>
      </c>
      <c r="AH420" t="str">
        <f t="shared" si="81"/>
        <v>Valid</v>
      </c>
      <c r="AI420" t="str">
        <f t="shared" si="82"/>
        <v>Valid</v>
      </c>
      <c r="AJ420" t="str">
        <f t="shared" si="83"/>
        <v>Valid</v>
      </c>
      <c r="AK420" t="str">
        <f t="shared" si="90"/>
        <v xml:space="preserve">Valid </v>
      </c>
      <c r="AL420" t="str">
        <f>IF(AND(Audit_Data[[#This Row],[Recency]]&gt;=0,Audit_Data[[#This Row],[Recency]]&lt;=100),"Valid","Invalid")</f>
        <v>Valid</v>
      </c>
      <c r="AM420" t="str">
        <f t="shared" si="84"/>
        <v>Valid</v>
      </c>
      <c r="AN420" t="str">
        <f t="shared" si="85"/>
        <v>Valid</v>
      </c>
      <c r="AO420" t="str">
        <f t="shared" si="86"/>
        <v>Valid</v>
      </c>
      <c r="AP420" t="str">
        <f t="shared" si="87"/>
        <v>Valid</v>
      </c>
      <c r="AQ420" t="str">
        <f>IF(Audit_Data[[#This Row],[Z_CostContact]]=3,"Valid","Invalid")</f>
        <v>Valid</v>
      </c>
      <c r="AR420" t="str">
        <f t="shared" si="88"/>
        <v>Valid</v>
      </c>
      <c r="AS420" t="str">
        <f t="shared" si="89"/>
        <v>Valid</v>
      </c>
    </row>
    <row r="421" spans="1:45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 t="str">
        <f t="shared" si="78"/>
        <v>Ok</v>
      </c>
      <c r="AE421" t="str">
        <f>IF(AND(Audit_Data[[#This Row],[Year_Birth]]&gt;=1900,Audit_Data[[#This Row],[Year_Birth]]&lt;=2010),"OK","Invalid")</f>
        <v>OK</v>
      </c>
      <c r="AF421" t="str">
        <f t="shared" si="79"/>
        <v>Valid</v>
      </c>
      <c r="AG421" t="str">
        <f t="shared" si="80"/>
        <v>Valid</v>
      </c>
      <c r="AH421" t="str">
        <f t="shared" si="81"/>
        <v>Valid</v>
      </c>
      <c r="AI421" t="str">
        <f t="shared" si="82"/>
        <v>Valid</v>
      </c>
      <c r="AJ421" t="str">
        <f t="shared" si="83"/>
        <v>Valid</v>
      </c>
      <c r="AK421" t="str">
        <f t="shared" si="90"/>
        <v xml:space="preserve">Valid </v>
      </c>
      <c r="AL421" t="str">
        <f>IF(AND(Audit_Data[[#This Row],[Recency]]&gt;=0,Audit_Data[[#This Row],[Recency]]&lt;=100),"Valid","Invalid")</f>
        <v>Valid</v>
      </c>
      <c r="AM421" t="str">
        <f t="shared" si="84"/>
        <v>Valid</v>
      </c>
      <c r="AN421" t="str">
        <f t="shared" si="85"/>
        <v>Valid</v>
      </c>
      <c r="AO421" t="str">
        <f t="shared" si="86"/>
        <v>Valid</v>
      </c>
      <c r="AP421" t="str">
        <f t="shared" si="87"/>
        <v>Valid</v>
      </c>
      <c r="AQ421" t="str">
        <f>IF(Audit_Data[[#This Row],[Z_CostContact]]=3,"Valid","Invalid")</f>
        <v>Valid</v>
      </c>
      <c r="AR421" t="str">
        <f t="shared" si="88"/>
        <v>Valid</v>
      </c>
      <c r="AS421" t="str">
        <f t="shared" si="89"/>
        <v>Valid</v>
      </c>
    </row>
    <row r="422" spans="1:45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 t="str">
        <f t="shared" si="78"/>
        <v>Ok</v>
      </c>
      <c r="AE422" t="str">
        <f>IF(AND(Audit_Data[[#This Row],[Year_Birth]]&gt;=1900,Audit_Data[[#This Row],[Year_Birth]]&lt;=2010),"OK","Invalid")</f>
        <v>OK</v>
      </c>
      <c r="AF422" t="str">
        <f t="shared" si="79"/>
        <v>Valid</v>
      </c>
      <c r="AG422" t="str">
        <f t="shared" si="80"/>
        <v>Valid</v>
      </c>
      <c r="AH422" t="str">
        <f t="shared" si="81"/>
        <v>Valid</v>
      </c>
      <c r="AI422" t="str">
        <f t="shared" si="82"/>
        <v>Valid</v>
      </c>
      <c r="AJ422" t="str">
        <f t="shared" si="83"/>
        <v>Valid</v>
      </c>
      <c r="AK422" t="str">
        <f t="shared" si="90"/>
        <v xml:space="preserve">Valid </v>
      </c>
      <c r="AL422" t="str">
        <f>IF(AND(Audit_Data[[#This Row],[Recency]]&gt;=0,Audit_Data[[#This Row],[Recency]]&lt;=100),"Valid","Invalid")</f>
        <v>Valid</v>
      </c>
      <c r="AM422" t="str">
        <f t="shared" si="84"/>
        <v>Valid</v>
      </c>
      <c r="AN422" t="str">
        <f t="shared" si="85"/>
        <v>Valid</v>
      </c>
      <c r="AO422" t="str">
        <f t="shared" si="86"/>
        <v>Valid</v>
      </c>
      <c r="AP422" t="str">
        <f t="shared" si="87"/>
        <v>Valid</v>
      </c>
      <c r="AQ422" t="str">
        <f>IF(Audit_Data[[#This Row],[Z_CostContact]]=3,"Valid","Invalid")</f>
        <v>Valid</v>
      </c>
      <c r="AR422" t="str">
        <f t="shared" si="88"/>
        <v>Valid</v>
      </c>
      <c r="AS422" t="str">
        <f t="shared" si="89"/>
        <v>Valid</v>
      </c>
    </row>
    <row r="423" spans="1:45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 t="str">
        <f t="shared" si="78"/>
        <v>Ok</v>
      </c>
      <c r="AE423" t="str">
        <f>IF(AND(Audit_Data[[#This Row],[Year_Birth]]&gt;=1900,Audit_Data[[#This Row],[Year_Birth]]&lt;=2010),"OK","Invalid")</f>
        <v>OK</v>
      </c>
      <c r="AF423" t="str">
        <f t="shared" si="79"/>
        <v>Valid</v>
      </c>
      <c r="AG423" t="str">
        <f t="shared" si="80"/>
        <v>Valid</v>
      </c>
      <c r="AH423" t="str">
        <f t="shared" si="81"/>
        <v>Valid</v>
      </c>
      <c r="AI423" t="str">
        <f t="shared" si="82"/>
        <v>Valid</v>
      </c>
      <c r="AJ423" t="str">
        <f t="shared" si="83"/>
        <v>Valid</v>
      </c>
      <c r="AK423" t="str">
        <f t="shared" si="90"/>
        <v xml:space="preserve">Valid </v>
      </c>
      <c r="AL423" t="str">
        <f>IF(AND(Audit_Data[[#This Row],[Recency]]&gt;=0,Audit_Data[[#This Row],[Recency]]&lt;=100),"Valid","Invalid")</f>
        <v>Valid</v>
      </c>
      <c r="AM423" t="str">
        <f t="shared" si="84"/>
        <v>Valid</v>
      </c>
      <c r="AN423" t="str">
        <f t="shared" si="85"/>
        <v>Valid</v>
      </c>
      <c r="AO423" t="str">
        <f t="shared" si="86"/>
        <v>Valid</v>
      </c>
      <c r="AP423" t="str">
        <f t="shared" si="87"/>
        <v>Valid</v>
      </c>
      <c r="AQ423" t="str">
        <f>IF(Audit_Data[[#This Row],[Z_CostContact]]=3,"Valid","Invalid")</f>
        <v>Valid</v>
      </c>
      <c r="AR423" t="str">
        <f t="shared" si="88"/>
        <v>Valid</v>
      </c>
      <c r="AS423" t="str">
        <f t="shared" si="89"/>
        <v>Valid</v>
      </c>
    </row>
    <row r="424" spans="1:45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 t="str">
        <f t="shared" si="78"/>
        <v>Ok</v>
      </c>
      <c r="AE424" t="str">
        <f>IF(AND(Audit_Data[[#This Row],[Year_Birth]]&gt;=1900,Audit_Data[[#This Row],[Year_Birth]]&lt;=2010),"OK","Invalid")</f>
        <v>OK</v>
      </c>
      <c r="AF424" t="str">
        <f t="shared" si="79"/>
        <v>Valid</v>
      </c>
      <c r="AG424" t="str">
        <f t="shared" si="80"/>
        <v>Valid</v>
      </c>
      <c r="AH424" t="str">
        <f t="shared" si="81"/>
        <v>Valid</v>
      </c>
      <c r="AI424" t="str">
        <f t="shared" si="82"/>
        <v>Valid</v>
      </c>
      <c r="AJ424" t="str">
        <f t="shared" si="83"/>
        <v>Valid</v>
      </c>
      <c r="AK424" t="str">
        <f t="shared" si="90"/>
        <v xml:space="preserve">Valid </v>
      </c>
      <c r="AL424" t="str">
        <f>IF(AND(Audit_Data[[#This Row],[Recency]]&gt;=0,Audit_Data[[#This Row],[Recency]]&lt;=100),"Valid","Invalid")</f>
        <v>Valid</v>
      </c>
      <c r="AM424" t="str">
        <f t="shared" si="84"/>
        <v>Valid</v>
      </c>
      <c r="AN424" t="str">
        <f t="shared" si="85"/>
        <v>Valid</v>
      </c>
      <c r="AO424" t="str">
        <f t="shared" si="86"/>
        <v>Valid</v>
      </c>
      <c r="AP424" t="str">
        <f t="shared" si="87"/>
        <v>Valid</v>
      </c>
      <c r="AQ424" t="str">
        <f>IF(Audit_Data[[#This Row],[Z_CostContact]]=3,"Valid","Invalid")</f>
        <v>Valid</v>
      </c>
      <c r="AR424" t="str">
        <f t="shared" si="88"/>
        <v>Valid</v>
      </c>
      <c r="AS424" t="str">
        <f t="shared" si="89"/>
        <v>Valid</v>
      </c>
    </row>
    <row r="425" spans="1:45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 t="str">
        <f t="shared" si="78"/>
        <v>Ok</v>
      </c>
      <c r="AE425" t="str">
        <f>IF(AND(Audit_Data[[#This Row],[Year_Birth]]&gt;=1900,Audit_Data[[#This Row],[Year_Birth]]&lt;=2010),"OK","Invalid")</f>
        <v>OK</v>
      </c>
      <c r="AF425" t="str">
        <f t="shared" si="79"/>
        <v>Valid</v>
      </c>
      <c r="AG425" t="str">
        <f t="shared" si="80"/>
        <v>Valid</v>
      </c>
      <c r="AH425" t="str">
        <f t="shared" si="81"/>
        <v>Valid</v>
      </c>
      <c r="AI425" t="str">
        <f t="shared" si="82"/>
        <v>Valid</v>
      </c>
      <c r="AJ425" t="str">
        <f t="shared" si="83"/>
        <v>Valid</v>
      </c>
      <c r="AK425" t="str">
        <f t="shared" si="90"/>
        <v xml:space="preserve">Valid </v>
      </c>
      <c r="AL425" t="str">
        <f>IF(AND(Audit_Data[[#This Row],[Recency]]&gt;=0,Audit_Data[[#This Row],[Recency]]&lt;=100),"Valid","Invalid")</f>
        <v>Valid</v>
      </c>
      <c r="AM425" t="str">
        <f t="shared" si="84"/>
        <v>Valid</v>
      </c>
      <c r="AN425" t="str">
        <f t="shared" si="85"/>
        <v>Valid</v>
      </c>
      <c r="AO425" t="str">
        <f t="shared" si="86"/>
        <v>Valid</v>
      </c>
      <c r="AP425" t="str">
        <f t="shared" si="87"/>
        <v>Valid</v>
      </c>
      <c r="AQ425" t="str">
        <f>IF(Audit_Data[[#This Row],[Z_CostContact]]=3,"Valid","Invalid")</f>
        <v>Valid</v>
      </c>
      <c r="AR425" t="str">
        <f t="shared" si="88"/>
        <v>Valid</v>
      </c>
      <c r="AS425" t="str">
        <f t="shared" si="89"/>
        <v>Valid</v>
      </c>
    </row>
    <row r="426" spans="1:45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 t="str">
        <f t="shared" si="78"/>
        <v>Ok</v>
      </c>
      <c r="AE426" t="str">
        <f>IF(AND(Audit_Data[[#This Row],[Year_Birth]]&gt;=1900,Audit_Data[[#This Row],[Year_Birth]]&lt;=2010),"OK","Invalid")</f>
        <v>OK</v>
      </c>
      <c r="AF426" t="str">
        <f t="shared" si="79"/>
        <v>Valid</v>
      </c>
      <c r="AG426" t="str">
        <f t="shared" si="80"/>
        <v>Valid</v>
      </c>
      <c r="AH426" t="str">
        <f t="shared" si="81"/>
        <v>Valid</v>
      </c>
      <c r="AI426" t="str">
        <f t="shared" si="82"/>
        <v>Valid</v>
      </c>
      <c r="AJ426" t="str">
        <f t="shared" si="83"/>
        <v>Valid</v>
      </c>
      <c r="AK426" t="str">
        <f t="shared" si="90"/>
        <v xml:space="preserve">Valid </v>
      </c>
      <c r="AL426" t="str">
        <f>IF(AND(Audit_Data[[#This Row],[Recency]]&gt;=0,Audit_Data[[#This Row],[Recency]]&lt;=100),"Valid","Invalid")</f>
        <v>Valid</v>
      </c>
      <c r="AM426" t="str">
        <f t="shared" si="84"/>
        <v>Valid</v>
      </c>
      <c r="AN426" t="str">
        <f t="shared" si="85"/>
        <v>Valid</v>
      </c>
      <c r="AO426" t="str">
        <f t="shared" si="86"/>
        <v>Valid</v>
      </c>
      <c r="AP426" t="str">
        <f t="shared" si="87"/>
        <v>Valid</v>
      </c>
      <c r="AQ426" t="str">
        <f>IF(Audit_Data[[#This Row],[Z_CostContact]]=3,"Valid","Invalid")</f>
        <v>Valid</v>
      </c>
      <c r="AR426" t="str">
        <f t="shared" si="88"/>
        <v>Valid</v>
      </c>
      <c r="AS426" t="str">
        <f t="shared" si="89"/>
        <v>Valid</v>
      </c>
    </row>
    <row r="427" spans="1:45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 t="str">
        <f t="shared" si="78"/>
        <v>Ok</v>
      </c>
      <c r="AE427" t="str">
        <f>IF(AND(Audit_Data[[#This Row],[Year_Birth]]&gt;=1900,Audit_Data[[#This Row],[Year_Birth]]&lt;=2010),"OK","Invalid")</f>
        <v>OK</v>
      </c>
      <c r="AF427" t="str">
        <f t="shared" si="79"/>
        <v>Valid</v>
      </c>
      <c r="AG427" t="str">
        <f t="shared" si="80"/>
        <v>Valid</v>
      </c>
      <c r="AH427" t="str">
        <f t="shared" si="81"/>
        <v>Valid</v>
      </c>
      <c r="AI427" t="str">
        <f t="shared" si="82"/>
        <v>Valid</v>
      </c>
      <c r="AJ427" t="str">
        <f t="shared" si="83"/>
        <v>Valid</v>
      </c>
      <c r="AK427" t="str">
        <f t="shared" si="90"/>
        <v xml:space="preserve">Valid </v>
      </c>
      <c r="AL427" t="str">
        <f>IF(AND(Audit_Data[[#This Row],[Recency]]&gt;=0,Audit_Data[[#This Row],[Recency]]&lt;=100),"Valid","Invalid")</f>
        <v>Valid</v>
      </c>
      <c r="AM427" t="str">
        <f t="shared" si="84"/>
        <v>Valid</v>
      </c>
      <c r="AN427" t="str">
        <f t="shared" si="85"/>
        <v>Valid</v>
      </c>
      <c r="AO427" t="str">
        <f t="shared" si="86"/>
        <v>Valid</v>
      </c>
      <c r="AP427" t="str">
        <f t="shared" si="87"/>
        <v>Valid</v>
      </c>
      <c r="AQ427" t="str">
        <f>IF(Audit_Data[[#This Row],[Z_CostContact]]=3,"Valid","Invalid")</f>
        <v>Valid</v>
      </c>
      <c r="AR427" t="str">
        <f t="shared" si="88"/>
        <v>Valid</v>
      </c>
      <c r="AS427" t="str">
        <f t="shared" si="89"/>
        <v>Valid</v>
      </c>
    </row>
    <row r="428" spans="1:45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 t="str">
        <f t="shared" si="78"/>
        <v>Ok</v>
      </c>
      <c r="AE428" t="str">
        <f>IF(AND(Audit_Data[[#This Row],[Year_Birth]]&gt;=1900,Audit_Data[[#This Row],[Year_Birth]]&lt;=2010),"OK","Invalid")</f>
        <v>OK</v>
      </c>
      <c r="AF428" t="str">
        <f t="shared" si="79"/>
        <v>Valid</v>
      </c>
      <c r="AG428" t="str">
        <f t="shared" si="80"/>
        <v>Valid</v>
      </c>
      <c r="AH428" t="str">
        <f t="shared" si="81"/>
        <v>Valid</v>
      </c>
      <c r="AI428" t="str">
        <f t="shared" si="82"/>
        <v>Valid</v>
      </c>
      <c r="AJ428" t="str">
        <f t="shared" si="83"/>
        <v>Valid</v>
      </c>
      <c r="AK428" t="str">
        <f t="shared" si="90"/>
        <v xml:space="preserve">Valid </v>
      </c>
      <c r="AL428" t="str">
        <f>IF(AND(Audit_Data[[#This Row],[Recency]]&gt;=0,Audit_Data[[#This Row],[Recency]]&lt;=100),"Valid","Invalid")</f>
        <v>Valid</v>
      </c>
      <c r="AM428" t="str">
        <f t="shared" si="84"/>
        <v>Valid</v>
      </c>
      <c r="AN428" t="str">
        <f t="shared" si="85"/>
        <v>Valid</v>
      </c>
      <c r="AO428" t="str">
        <f t="shared" si="86"/>
        <v>Valid</v>
      </c>
      <c r="AP428" t="str">
        <f t="shared" si="87"/>
        <v>Valid</v>
      </c>
      <c r="AQ428" t="str">
        <f>IF(Audit_Data[[#This Row],[Z_CostContact]]=3,"Valid","Invalid")</f>
        <v>Valid</v>
      </c>
      <c r="AR428" t="str">
        <f t="shared" si="88"/>
        <v>Valid</v>
      </c>
      <c r="AS428" t="str">
        <f t="shared" si="89"/>
        <v>Valid</v>
      </c>
    </row>
    <row r="429" spans="1:45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 t="str">
        <f t="shared" si="78"/>
        <v>Ok</v>
      </c>
      <c r="AE429" t="str">
        <f>IF(AND(Audit_Data[[#This Row],[Year_Birth]]&gt;=1900,Audit_Data[[#This Row],[Year_Birth]]&lt;=2010),"OK","Invalid")</f>
        <v>OK</v>
      </c>
      <c r="AF429" t="str">
        <f t="shared" si="79"/>
        <v>Valid</v>
      </c>
      <c r="AG429" t="str">
        <f t="shared" si="80"/>
        <v>Valid</v>
      </c>
      <c r="AH429" t="str">
        <f t="shared" si="81"/>
        <v>Valid</v>
      </c>
      <c r="AI429" t="str">
        <f t="shared" si="82"/>
        <v>Valid</v>
      </c>
      <c r="AJ429" t="str">
        <f t="shared" si="83"/>
        <v>Valid</v>
      </c>
      <c r="AK429" t="str">
        <f t="shared" si="90"/>
        <v xml:space="preserve">Valid </v>
      </c>
      <c r="AL429" t="str">
        <f>IF(AND(Audit_Data[[#This Row],[Recency]]&gt;=0,Audit_Data[[#This Row],[Recency]]&lt;=100),"Valid","Invalid")</f>
        <v>Valid</v>
      </c>
      <c r="AM429" t="str">
        <f t="shared" si="84"/>
        <v>Valid</v>
      </c>
      <c r="AN429" t="str">
        <f t="shared" si="85"/>
        <v>Valid</v>
      </c>
      <c r="AO429" t="str">
        <f t="shared" si="86"/>
        <v>Valid</v>
      </c>
      <c r="AP429" t="str">
        <f t="shared" si="87"/>
        <v>Valid</v>
      </c>
      <c r="AQ429" t="str">
        <f>IF(Audit_Data[[#This Row],[Z_CostContact]]=3,"Valid","Invalid")</f>
        <v>Valid</v>
      </c>
      <c r="AR429" t="str">
        <f t="shared" si="88"/>
        <v>Valid</v>
      </c>
      <c r="AS429" t="str">
        <f t="shared" si="89"/>
        <v>Valid</v>
      </c>
    </row>
    <row r="430" spans="1:45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 t="str">
        <f t="shared" si="78"/>
        <v>Ok</v>
      </c>
      <c r="AE430" t="str">
        <f>IF(AND(Audit_Data[[#This Row],[Year_Birth]]&gt;=1900,Audit_Data[[#This Row],[Year_Birth]]&lt;=2010),"OK","Invalid")</f>
        <v>OK</v>
      </c>
      <c r="AF430" t="str">
        <f t="shared" si="79"/>
        <v>Valid</v>
      </c>
      <c r="AG430" t="str">
        <f t="shared" si="80"/>
        <v>Valid</v>
      </c>
      <c r="AH430" t="str">
        <f t="shared" si="81"/>
        <v>Valid</v>
      </c>
      <c r="AI430" t="str">
        <f t="shared" si="82"/>
        <v>Valid</v>
      </c>
      <c r="AJ430" t="str">
        <f t="shared" si="83"/>
        <v>Valid</v>
      </c>
      <c r="AK430" t="str">
        <f t="shared" si="90"/>
        <v xml:space="preserve">Valid </v>
      </c>
      <c r="AL430" t="str">
        <f>IF(AND(Audit_Data[[#This Row],[Recency]]&gt;=0,Audit_Data[[#This Row],[Recency]]&lt;=100),"Valid","Invalid")</f>
        <v>Valid</v>
      </c>
      <c r="AM430" t="str">
        <f t="shared" si="84"/>
        <v>Valid</v>
      </c>
      <c r="AN430" t="str">
        <f t="shared" si="85"/>
        <v>Valid</v>
      </c>
      <c r="AO430" t="str">
        <f t="shared" si="86"/>
        <v>Valid</v>
      </c>
      <c r="AP430" t="str">
        <f t="shared" si="87"/>
        <v>Valid</v>
      </c>
      <c r="AQ430" t="str">
        <f>IF(Audit_Data[[#This Row],[Z_CostContact]]=3,"Valid","Invalid")</f>
        <v>Valid</v>
      </c>
      <c r="AR430" t="str">
        <f t="shared" si="88"/>
        <v>Valid</v>
      </c>
      <c r="AS430" t="str">
        <f t="shared" si="89"/>
        <v>Valid</v>
      </c>
    </row>
    <row r="431" spans="1:45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 t="str">
        <f t="shared" si="78"/>
        <v>Ok</v>
      </c>
      <c r="AE431" t="str">
        <f>IF(AND(Audit_Data[[#This Row],[Year_Birth]]&gt;=1900,Audit_Data[[#This Row],[Year_Birth]]&lt;=2010),"OK","Invalid")</f>
        <v>OK</v>
      </c>
      <c r="AF431" t="str">
        <f t="shared" si="79"/>
        <v>Valid</v>
      </c>
      <c r="AG431" t="str">
        <f t="shared" si="80"/>
        <v>Valid</v>
      </c>
      <c r="AH431" t="str">
        <f t="shared" si="81"/>
        <v>Valid</v>
      </c>
      <c r="AI431" t="str">
        <f t="shared" si="82"/>
        <v>Valid</v>
      </c>
      <c r="AJ431" t="str">
        <f t="shared" si="83"/>
        <v>Valid</v>
      </c>
      <c r="AK431" t="str">
        <f t="shared" si="90"/>
        <v xml:space="preserve">Valid </v>
      </c>
      <c r="AL431" t="str">
        <f>IF(AND(Audit_Data[[#This Row],[Recency]]&gt;=0,Audit_Data[[#This Row],[Recency]]&lt;=100),"Valid","Invalid")</f>
        <v>Valid</v>
      </c>
      <c r="AM431" t="str">
        <f t="shared" si="84"/>
        <v>Valid</v>
      </c>
      <c r="AN431" t="str">
        <f t="shared" si="85"/>
        <v>Valid</v>
      </c>
      <c r="AO431" t="str">
        <f t="shared" si="86"/>
        <v>Valid</v>
      </c>
      <c r="AP431" t="str">
        <f t="shared" si="87"/>
        <v>Valid</v>
      </c>
      <c r="AQ431" t="str">
        <f>IF(Audit_Data[[#This Row],[Z_CostContact]]=3,"Valid","Invalid")</f>
        <v>Valid</v>
      </c>
      <c r="AR431" t="str">
        <f t="shared" si="88"/>
        <v>Valid</v>
      </c>
      <c r="AS431" t="str">
        <f t="shared" si="89"/>
        <v>Valid</v>
      </c>
    </row>
    <row r="432" spans="1:45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 t="str">
        <f t="shared" si="78"/>
        <v>Ok</v>
      </c>
      <c r="AE432" t="str">
        <f>IF(AND(Audit_Data[[#This Row],[Year_Birth]]&gt;=1900,Audit_Data[[#This Row],[Year_Birth]]&lt;=2010),"OK","Invalid")</f>
        <v>OK</v>
      </c>
      <c r="AF432" t="str">
        <f t="shared" si="79"/>
        <v>Valid</v>
      </c>
      <c r="AG432" t="str">
        <f t="shared" si="80"/>
        <v>Valid</v>
      </c>
      <c r="AH432" t="str">
        <f t="shared" si="81"/>
        <v>Valid</v>
      </c>
      <c r="AI432" t="str">
        <f t="shared" si="82"/>
        <v>Valid</v>
      </c>
      <c r="AJ432" t="str">
        <f t="shared" si="83"/>
        <v>Valid</v>
      </c>
      <c r="AK432" t="str">
        <f t="shared" si="90"/>
        <v xml:space="preserve">Valid </v>
      </c>
      <c r="AL432" t="str">
        <f>IF(AND(Audit_Data[[#This Row],[Recency]]&gt;=0,Audit_Data[[#This Row],[Recency]]&lt;=100),"Valid","Invalid")</f>
        <v>Valid</v>
      </c>
      <c r="AM432" t="str">
        <f t="shared" si="84"/>
        <v>Valid</v>
      </c>
      <c r="AN432" t="str">
        <f t="shared" si="85"/>
        <v>Valid</v>
      </c>
      <c r="AO432" t="str">
        <f t="shared" si="86"/>
        <v>Valid</v>
      </c>
      <c r="AP432" t="str">
        <f t="shared" si="87"/>
        <v>Valid</v>
      </c>
      <c r="AQ432" t="str">
        <f>IF(Audit_Data[[#This Row],[Z_CostContact]]=3,"Valid","Invalid")</f>
        <v>Valid</v>
      </c>
      <c r="AR432" t="str">
        <f t="shared" si="88"/>
        <v>Valid</v>
      </c>
      <c r="AS432" t="str">
        <f t="shared" si="89"/>
        <v>Valid</v>
      </c>
    </row>
    <row r="433" spans="1:45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 t="str">
        <f t="shared" si="78"/>
        <v>Ok</v>
      </c>
      <c r="AE433" t="str">
        <f>IF(AND(Audit_Data[[#This Row],[Year_Birth]]&gt;=1900,Audit_Data[[#This Row],[Year_Birth]]&lt;=2010),"OK","Invalid")</f>
        <v>OK</v>
      </c>
      <c r="AF433" t="str">
        <f t="shared" si="79"/>
        <v>Valid</v>
      </c>
      <c r="AG433" t="str">
        <f t="shared" si="80"/>
        <v>Valid</v>
      </c>
      <c r="AH433" t="str">
        <f t="shared" si="81"/>
        <v>Valid</v>
      </c>
      <c r="AI433" t="str">
        <f t="shared" si="82"/>
        <v>Valid</v>
      </c>
      <c r="AJ433" t="str">
        <f t="shared" si="83"/>
        <v>Valid</v>
      </c>
      <c r="AK433" t="str">
        <f t="shared" si="90"/>
        <v xml:space="preserve">Valid </v>
      </c>
      <c r="AL433" t="str">
        <f>IF(AND(Audit_Data[[#This Row],[Recency]]&gt;=0,Audit_Data[[#This Row],[Recency]]&lt;=100),"Valid","Invalid")</f>
        <v>Valid</v>
      </c>
      <c r="AM433" t="str">
        <f t="shared" si="84"/>
        <v>Valid</v>
      </c>
      <c r="AN433" t="str">
        <f t="shared" si="85"/>
        <v>Valid</v>
      </c>
      <c r="AO433" t="str">
        <f t="shared" si="86"/>
        <v>Valid</v>
      </c>
      <c r="AP433" t="str">
        <f t="shared" si="87"/>
        <v>Valid</v>
      </c>
      <c r="AQ433" t="str">
        <f>IF(Audit_Data[[#This Row],[Z_CostContact]]=3,"Valid","Invalid")</f>
        <v>Valid</v>
      </c>
      <c r="AR433" t="str">
        <f t="shared" si="88"/>
        <v>Valid</v>
      </c>
      <c r="AS433" t="str">
        <f t="shared" si="89"/>
        <v>Valid</v>
      </c>
    </row>
    <row r="434" spans="1:45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 t="str">
        <f t="shared" si="78"/>
        <v>Ok</v>
      </c>
      <c r="AE434" t="str">
        <f>IF(AND(Audit_Data[[#This Row],[Year_Birth]]&gt;=1900,Audit_Data[[#This Row],[Year_Birth]]&lt;=2010),"OK","Invalid")</f>
        <v>OK</v>
      </c>
      <c r="AF434" t="str">
        <f t="shared" si="79"/>
        <v>Valid</v>
      </c>
      <c r="AG434" t="str">
        <f t="shared" si="80"/>
        <v>Valid</v>
      </c>
      <c r="AH434" t="str">
        <f t="shared" si="81"/>
        <v>Valid</v>
      </c>
      <c r="AI434" t="str">
        <f t="shared" si="82"/>
        <v>Valid</v>
      </c>
      <c r="AJ434" t="str">
        <f t="shared" si="83"/>
        <v>Valid</v>
      </c>
      <c r="AK434" t="str">
        <f t="shared" si="90"/>
        <v xml:space="preserve">Valid </v>
      </c>
      <c r="AL434" t="str">
        <f>IF(AND(Audit_Data[[#This Row],[Recency]]&gt;=0,Audit_Data[[#This Row],[Recency]]&lt;=100),"Valid","Invalid")</f>
        <v>Valid</v>
      </c>
      <c r="AM434" t="str">
        <f t="shared" si="84"/>
        <v>Valid</v>
      </c>
      <c r="AN434" t="str">
        <f t="shared" si="85"/>
        <v>Valid</v>
      </c>
      <c r="AO434" t="str">
        <f t="shared" si="86"/>
        <v>Valid</v>
      </c>
      <c r="AP434" t="str">
        <f t="shared" si="87"/>
        <v>Valid</v>
      </c>
      <c r="AQ434" t="str">
        <f>IF(Audit_Data[[#This Row],[Z_CostContact]]=3,"Valid","Invalid")</f>
        <v>Valid</v>
      </c>
      <c r="AR434" t="str">
        <f t="shared" si="88"/>
        <v>Valid</v>
      </c>
      <c r="AS434" t="str">
        <f t="shared" si="89"/>
        <v>Valid</v>
      </c>
    </row>
    <row r="435" spans="1:45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 t="str">
        <f t="shared" si="78"/>
        <v>Ok</v>
      </c>
      <c r="AE435" t="str">
        <f>IF(AND(Audit_Data[[#This Row],[Year_Birth]]&gt;=1900,Audit_Data[[#This Row],[Year_Birth]]&lt;=2010),"OK","Invalid")</f>
        <v>OK</v>
      </c>
      <c r="AF435" t="str">
        <f t="shared" si="79"/>
        <v>Valid</v>
      </c>
      <c r="AG435" t="str">
        <f t="shared" si="80"/>
        <v>Valid</v>
      </c>
      <c r="AH435" t="str">
        <f t="shared" si="81"/>
        <v>Valid</v>
      </c>
      <c r="AI435" t="str">
        <f t="shared" si="82"/>
        <v>Valid</v>
      </c>
      <c r="AJ435" t="str">
        <f t="shared" si="83"/>
        <v>Valid</v>
      </c>
      <c r="AK435" t="str">
        <f t="shared" si="90"/>
        <v xml:space="preserve">Valid </v>
      </c>
      <c r="AL435" t="str">
        <f>IF(AND(Audit_Data[[#This Row],[Recency]]&gt;=0,Audit_Data[[#This Row],[Recency]]&lt;=100),"Valid","Invalid")</f>
        <v>Valid</v>
      </c>
      <c r="AM435" t="str">
        <f t="shared" si="84"/>
        <v>Valid</v>
      </c>
      <c r="AN435" t="str">
        <f t="shared" si="85"/>
        <v>Valid</v>
      </c>
      <c r="AO435" t="str">
        <f t="shared" si="86"/>
        <v>Valid</v>
      </c>
      <c r="AP435" t="str">
        <f t="shared" si="87"/>
        <v>Valid</v>
      </c>
      <c r="AQ435" t="str">
        <f>IF(Audit_Data[[#This Row],[Z_CostContact]]=3,"Valid","Invalid")</f>
        <v>Valid</v>
      </c>
      <c r="AR435" t="str">
        <f t="shared" si="88"/>
        <v>Valid</v>
      </c>
      <c r="AS435" t="str">
        <f t="shared" si="89"/>
        <v>Valid</v>
      </c>
    </row>
    <row r="436" spans="1:45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 t="str">
        <f t="shared" si="78"/>
        <v>Ok</v>
      </c>
      <c r="AE436" t="str">
        <f>IF(AND(Audit_Data[[#This Row],[Year_Birth]]&gt;=1900,Audit_Data[[#This Row],[Year_Birth]]&lt;=2010),"OK","Invalid")</f>
        <v>OK</v>
      </c>
      <c r="AF436" t="str">
        <f t="shared" si="79"/>
        <v>Valid</v>
      </c>
      <c r="AG436" t="str">
        <f t="shared" si="80"/>
        <v>Valid</v>
      </c>
      <c r="AH436" t="str">
        <f t="shared" si="81"/>
        <v>Valid</v>
      </c>
      <c r="AI436" t="str">
        <f t="shared" si="82"/>
        <v>Valid</v>
      </c>
      <c r="AJ436" t="str">
        <f t="shared" si="83"/>
        <v>Valid</v>
      </c>
      <c r="AK436" t="str">
        <f t="shared" si="90"/>
        <v xml:space="preserve">Valid </v>
      </c>
      <c r="AL436" t="str">
        <f>IF(AND(Audit_Data[[#This Row],[Recency]]&gt;=0,Audit_Data[[#This Row],[Recency]]&lt;=100),"Valid","Invalid")</f>
        <v>Valid</v>
      </c>
      <c r="AM436" t="str">
        <f t="shared" si="84"/>
        <v>Valid</v>
      </c>
      <c r="AN436" t="str">
        <f t="shared" si="85"/>
        <v>Valid</v>
      </c>
      <c r="AO436" t="str">
        <f t="shared" si="86"/>
        <v>Valid</v>
      </c>
      <c r="AP436" t="str">
        <f t="shared" si="87"/>
        <v>Valid</v>
      </c>
      <c r="AQ436" t="str">
        <f>IF(Audit_Data[[#This Row],[Z_CostContact]]=3,"Valid","Invalid")</f>
        <v>Valid</v>
      </c>
      <c r="AR436" t="str">
        <f t="shared" si="88"/>
        <v>Valid</v>
      </c>
      <c r="AS436" t="str">
        <f t="shared" si="89"/>
        <v>Valid</v>
      </c>
    </row>
    <row r="437" spans="1:45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 t="str">
        <f t="shared" si="78"/>
        <v>Ok</v>
      </c>
      <c r="AE437" t="str">
        <f>IF(AND(Audit_Data[[#This Row],[Year_Birth]]&gt;=1900,Audit_Data[[#This Row],[Year_Birth]]&lt;=2010),"OK","Invalid")</f>
        <v>OK</v>
      </c>
      <c r="AF437" t="str">
        <f t="shared" si="79"/>
        <v>Valid</v>
      </c>
      <c r="AG437" t="str">
        <f t="shared" si="80"/>
        <v>Valid</v>
      </c>
      <c r="AH437" t="str">
        <f t="shared" si="81"/>
        <v>Valid</v>
      </c>
      <c r="AI437" t="str">
        <f t="shared" si="82"/>
        <v>Valid</v>
      </c>
      <c r="AJ437" t="str">
        <f t="shared" si="83"/>
        <v>Valid</v>
      </c>
      <c r="AK437" t="str">
        <f t="shared" si="90"/>
        <v xml:space="preserve">Valid </v>
      </c>
      <c r="AL437" t="str">
        <f>IF(AND(Audit_Data[[#This Row],[Recency]]&gt;=0,Audit_Data[[#This Row],[Recency]]&lt;=100),"Valid","Invalid")</f>
        <v>Valid</v>
      </c>
      <c r="AM437" t="str">
        <f t="shared" si="84"/>
        <v>Valid</v>
      </c>
      <c r="AN437" t="str">
        <f t="shared" si="85"/>
        <v>Valid</v>
      </c>
      <c r="AO437" t="str">
        <f t="shared" si="86"/>
        <v>Valid</v>
      </c>
      <c r="AP437" t="str">
        <f t="shared" si="87"/>
        <v>Valid</v>
      </c>
      <c r="AQ437" t="str">
        <f>IF(Audit_Data[[#This Row],[Z_CostContact]]=3,"Valid","Invalid")</f>
        <v>Valid</v>
      </c>
      <c r="AR437" t="str">
        <f t="shared" si="88"/>
        <v>Valid</v>
      </c>
      <c r="AS437" t="str">
        <f t="shared" si="89"/>
        <v>Valid</v>
      </c>
    </row>
    <row r="438" spans="1:45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 t="str">
        <f t="shared" si="78"/>
        <v>Ok</v>
      </c>
      <c r="AE438" t="str">
        <f>IF(AND(Audit_Data[[#This Row],[Year_Birth]]&gt;=1900,Audit_Data[[#This Row],[Year_Birth]]&lt;=2010),"OK","Invalid")</f>
        <v>OK</v>
      </c>
      <c r="AF438" t="str">
        <f t="shared" si="79"/>
        <v>Valid</v>
      </c>
      <c r="AG438" t="str">
        <f t="shared" si="80"/>
        <v>Valid</v>
      </c>
      <c r="AH438" t="str">
        <f t="shared" si="81"/>
        <v>Valid</v>
      </c>
      <c r="AI438" t="str">
        <f t="shared" si="82"/>
        <v>Valid</v>
      </c>
      <c r="AJ438" t="str">
        <f t="shared" si="83"/>
        <v>Valid</v>
      </c>
      <c r="AK438" t="str">
        <f t="shared" si="90"/>
        <v xml:space="preserve">Valid </v>
      </c>
      <c r="AL438" t="str">
        <f>IF(AND(Audit_Data[[#This Row],[Recency]]&gt;=0,Audit_Data[[#This Row],[Recency]]&lt;=100),"Valid","Invalid")</f>
        <v>Valid</v>
      </c>
      <c r="AM438" t="str">
        <f t="shared" si="84"/>
        <v>Valid</v>
      </c>
      <c r="AN438" t="str">
        <f t="shared" si="85"/>
        <v>Valid</v>
      </c>
      <c r="AO438" t="str">
        <f t="shared" si="86"/>
        <v>Valid</v>
      </c>
      <c r="AP438" t="str">
        <f t="shared" si="87"/>
        <v>Valid</v>
      </c>
      <c r="AQ438" t="str">
        <f>IF(Audit_Data[[#This Row],[Z_CostContact]]=3,"Valid","Invalid")</f>
        <v>Valid</v>
      </c>
      <c r="AR438" t="str">
        <f t="shared" si="88"/>
        <v>Valid</v>
      </c>
      <c r="AS438" t="str">
        <f t="shared" si="89"/>
        <v>Valid</v>
      </c>
    </row>
    <row r="439" spans="1:45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 t="str">
        <f t="shared" si="78"/>
        <v>Ok</v>
      </c>
      <c r="AE439" t="str">
        <f>IF(AND(Audit_Data[[#This Row],[Year_Birth]]&gt;=1900,Audit_Data[[#This Row],[Year_Birth]]&lt;=2010),"OK","Invalid")</f>
        <v>OK</v>
      </c>
      <c r="AF439" t="str">
        <f t="shared" si="79"/>
        <v>Valid</v>
      </c>
      <c r="AG439" t="str">
        <f t="shared" si="80"/>
        <v>Valid</v>
      </c>
      <c r="AH439" t="str">
        <f t="shared" si="81"/>
        <v>Valid</v>
      </c>
      <c r="AI439" t="str">
        <f t="shared" si="82"/>
        <v>Valid</v>
      </c>
      <c r="AJ439" t="str">
        <f t="shared" si="83"/>
        <v>Valid</v>
      </c>
      <c r="AK439" t="str">
        <f t="shared" si="90"/>
        <v xml:space="preserve">Valid </v>
      </c>
      <c r="AL439" t="str">
        <f>IF(AND(Audit_Data[[#This Row],[Recency]]&gt;=0,Audit_Data[[#This Row],[Recency]]&lt;=100),"Valid","Invalid")</f>
        <v>Valid</v>
      </c>
      <c r="AM439" t="str">
        <f t="shared" si="84"/>
        <v>Valid</v>
      </c>
      <c r="AN439" t="str">
        <f t="shared" si="85"/>
        <v>Valid</v>
      </c>
      <c r="AO439" t="str">
        <f t="shared" si="86"/>
        <v>Valid</v>
      </c>
      <c r="AP439" t="str">
        <f t="shared" si="87"/>
        <v>Valid</v>
      </c>
      <c r="AQ439" t="str">
        <f>IF(Audit_Data[[#This Row],[Z_CostContact]]=3,"Valid","Invalid")</f>
        <v>Valid</v>
      </c>
      <c r="AR439" t="str">
        <f t="shared" si="88"/>
        <v>Valid</v>
      </c>
      <c r="AS439" t="str">
        <f t="shared" si="89"/>
        <v>Valid</v>
      </c>
    </row>
    <row r="440" spans="1:45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 t="str">
        <f t="shared" si="78"/>
        <v>Ok</v>
      </c>
      <c r="AE440" t="str">
        <f>IF(AND(Audit_Data[[#This Row],[Year_Birth]]&gt;=1900,Audit_Data[[#This Row],[Year_Birth]]&lt;=2010),"OK","Invalid")</f>
        <v>OK</v>
      </c>
      <c r="AF440" t="str">
        <f t="shared" si="79"/>
        <v>Valid</v>
      </c>
      <c r="AG440" t="str">
        <f t="shared" si="80"/>
        <v>Valid</v>
      </c>
      <c r="AH440" t="str">
        <f t="shared" si="81"/>
        <v>Valid</v>
      </c>
      <c r="AI440" t="str">
        <f t="shared" si="82"/>
        <v>Valid</v>
      </c>
      <c r="AJ440" t="str">
        <f t="shared" si="83"/>
        <v>Valid</v>
      </c>
      <c r="AK440" t="str">
        <f t="shared" si="90"/>
        <v xml:space="preserve">Valid </v>
      </c>
      <c r="AL440" t="str">
        <f>IF(AND(Audit_Data[[#This Row],[Recency]]&gt;=0,Audit_Data[[#This Row],[Recency]]&lt;=100),"Valid","Invalid")</f>
        <v>Valid</v>
      </c>
      <c r="AM440" t="str">
        <f t="shared" si="84"/>
        <v>Valid</v>
      </c>
      <c r="AN440" t="str">
        <f t="shared" si="85"/>
        <v>Valid</v>
      </c>
      <c r="AO440" t="str">
        <f t="shared" si="86"/>
        <v>Valid</v>
      </c>
      <c r="AP440" t="str">
        <f t="shared" si="87"/>
        <v>Valid</v>
      </c>
      <c r="AQ440" t="str">
        <f>IF(Audit_Data[[#This Row],[Z_CostContact]]=3,"Valid","Invalid")</f>
        <v>Valid</v>
      </c>
      <c r="AR440" t="str">
        <f t="shared" si="88"/>
        <v>Valid</v>
      </c>
      <c r="AS440" t="str">
        <f t="shared" si="89"/>
        <v>Valid</v>
      </c>
    </row>
    <row r="441" spans="1:45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 t="str">
        <f t="shared" si="78"/>
        <v>Ok</v>
      </c>
      <c r="AE441" t="str">
        <f>IF(AND(Audit_Data[[#This Row],[Year_Birth]]&gt;=1900,Audit_Data[[#This Row],[Year_Birth]]&lt;=2010),"OK","Invalid")</f>
        <v>OK</v>
      </c>
      <c r="AF441" t="str">
        <f t="shared" si="79"/>
        <v>Valid</v>
      </c>
      <c r="AG441" t="str">
        <f t="shared" si="80"/>
        <v>Valid</v>
      </c>
      <c r="AH441" t="str">
        <f t="shared" si="81"/>
        <v>Valid</v>
      </c>
      <c r="AI441" t="str">
        <f t="shared" si="82"/>
        <v>Valid</v>
      </c>
      <c r="AJ441" t="str">
        <f t="shared" si="83"/>
        <v>Valid</v>
      </c>
      <c r="AK441" t="str">
        <f t="shared" si="90"/>
        <v xml:space="preserve">Valid </v>
      </c>
      <c r="AL441" t="str">
        <f>IF(AND(Audit_Data[[#This Row],[Recency]]&gt;=0,Audit_Data[[#This Row],[Recency]]&lt;=100),"Valid","Invalid")</f>
        <v>Valid</v>
      </c>
      <c r="AM441" t="str">
        <f t="shared" si="84"/>
        <v>Valid</v>
      </c>
      <c r="AN441" t="str">
        <f t="shared" si="85"/>
        <v>Valid</v>
      </c>
      <c r="AO441" t="str">
        <f t="shared" si="86"/>
        <v>Valid</v>
      </c>
      <c r="AP441" t="str">
        <f t="shared" si="87"/>
        <v>Valid</v>
      </c>
      <c r="AQ441" t="str">
        <f>IF(Audit_Data[[#This Row],[Z_CostContact]]=3,"Valid","Invalid")</f>
        <v>Valid</v>
      </c>
      <c r="AR441" t="str">
        <f t="shared" si="88"/>
        <v>Valid</v>
      </c>
      <c r="AS441" t="str">
        <f t="shared" si="89"/>
        <v>Valid</v>
      </c>
    </row>
    <row r="442" spans="1:45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 t="str">
        <f t="shared" si="78"/>
        <v>Ok</v>
      </c>
      <c r="AE442" t="str">
        <f>IF(AND(Audit_Data[[#This Row],[Year_Birth]]&gt;=1900,Audit_Data[[#This Row],[Year_Birth]]&lt;=2010),"OK","Invalid")</f>
        <v>OK</v>
      </c>
      <c r="AF442" t="str">
        <f t="shared" si="79"/>
        <v>Valid</v>
      </c>
      <c r="AG442" t="str">
        <f t="shared" si="80"/>
        <v>Valid</v>
      </c>
      <c r="AH442" t="str">
        <f t="shared" si="81"/>
        <v>Valid</v>
      </c>
      <c r="AI442" t="str">
        <f t="shared" si="82"/>
        <v>Valid</v>
      </c>
      <c r="AJ442" t="str">
        <f t="shared" si="83"/>
        <v>Valid</v>
      </c>
      <c r="AK442" t="str">
        <f t="shared" si="90"/>
        <v xml:space="preserve">Valid </v>
      </c>
      <c r="AL442" t="str">
        <f>IF(AND(Audit_Data[[#This Row],[Recency]]&gt;=0,Audit_Data[[#This Row],[Recency]]&lt;=100),"Valid","Invalid")</f>
        <v>Valid</v>
      </c>
      <c r="AM442" t="str">
        <f t="shared" si="84"/>
        <v>Valid</v>
      </c>
      <c r="AN442" t="str">
        <f t="shared" si="85"/>
        <v>Valid</v>
      </c>
      <c r="AO442" t="str">
        <f t="shared" si="86"/>
        <v>Valid</v>
      </c>
      <c r="AP442" t="str">
        <f t="shared" si="87"/>
        <v>Valid</v>
      </c>
      <c r="AQ442" t="str">
        <f>IF(Audit_Data[[#This Row],[Z_CostContact]]=3,"Valid","Invalid")</f>
        <v>Valid</v>
      </c>
      <c r="AR442" t="str">
        <f t="shared" si="88"/>
        <v>Valid</v>
      </c>
      <c r="AS442" t="str">
        <f t="shared" si="89"/>
        <v>Valid</v>
      </c>
    </row>
    <row r="443" spans="1:45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 t="str">
        <f t="shared" si="78"/>
        <v>Ok</v>
      </c>
      <c r="AE443" t="str">
        <f>IF(AND(Audit_Data[[#This Row],[Year_Birth]]&gt;=1900,Audit_Data[[#This Row],[Year_Birth]]&lt;=2010),"OK","Invalid")</f>
        <v>OK</v>
      </c>
      <c r="AF443" t="str">
        <f t="shared" si="79"/>
        <v>Valid</v>
      </c>
      <c r="AG443" t="str">
        <f t="shared" si="80"/>
        <v>Valid</v>
      </c>
      <c r="AH443" t="str">
        <f t="shared" si="81"/>
        <v>Valid</v>
      </c>
      <c r="AI443" t="str">
        <f t="shared" si="82"/>
        <v>Valid</v>
      </c>
      <c r="AJ443" t="str">
        <f t="shared" si="83"/>
        <v>Valid</v>
      </c>
      <c r="AK443" t="str">
        <f t="shared" si="90"/>
        <v xml:space="preserve">Valid </v>
      </c>
      <c r="AL443" t="str">
        <f>IF(AND(Audit_Data[[#This Row],[Recency]]&gt;=0,Audit_Data[[#This Row],[Recency]]&lt;=100),"Valid","Invalid")</f>
        <v>Valid</v>
      </c>
      <c r="AM443" t="str">
        <f t="shared" si="84"/>
        <v>Valid</v>
      </c>
      <c r="AN443" t="str">
        <f t="shared" si="85"/>
        <v>Valid</v>
      </c>
      <c r="AO443" t="str">
        <f t="shared" si="86"/>
        <v>Valid</v>
      </c>
      <c r="AP443" t="str">
        <f t="shared" si="87"/>
        <v>Valid</v>
      </c>
      <c r="AQ443" t="str">
        <f>IF(Audit_Data[[#This Row],[Z_CostContact]]=3,"Valid","Invalid")</f>
        <v>Valid</v>
      </c>
      <c r="AR443" t="str">
        <f t="shared" si="88"/>
        <v>Valid</v>
      </c>
      <c r="AS443" t="str">
        <f t="shared" si="89"/>
        <v>Valid</v>
      </c>
    </row>
    <row r="444" spans="1:45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 t="str">
        <f t="shared" si="78"/>
        <v>Ok</v>
      </c>
      <c r="AE444" t="str">
        <f>IF(AND(Audit_Data[[#This Row],[Year_Birth]]&gt;=1900,Audit_Data[[#This Row],[Year_Birth]]&lt;=2010),"OK","Invalid")</f>
        <v>OK</v>
      </c>
      <c r="AF444" t="str">
        <f t="shared" si="79"/>
        <v>Valid</v>
      </c>
      <c r="AG444" t="str">
        <f t="shared" si="80"/>
        <v>Valid</v>
      </c>
      <c r="AH444" t="str">
        <f t="shared" si="81"/>
        <v>Valid</v>
      </c>
      <c r="AI444" t="str">
        <f t="shared" si="82"/>
        <v>Valid</v>
      </c>
      <c r="AJ444" t="str">
        <f t="shared" si="83"/>
        <v>Valid</v>
      </c>
      <c r="AK444" t="str">
        <f t="shared" si="90"/>
        <v xml:space="preserve">Valid </v>
      </c>
      <c r="AL444" t="str">
        <f>IF(AND(Audit_Data[[#This Row],[Recency]]&gt;=0,Audit_Data[[#This Row],[Recency]]&lt;=100),"Valid","Invalid")</f>
        <v>Valid</v>
      </c>
      <c r="AM444" t="str">
        <f t="shared" si="84"/>
        <v>Valid</v>
      </c>
      <c r="AN444" t="str">
        <f t="shared" si="85"/>
        <v>Valid</v>
      </c>
      <c r="AO444" t="str">
        <f t="shared" si="86"/>
        <v>Valid</v>
      </c>
      <c r="AP444" t="str">
        <f t="shared" si="87"/>
        <v>Valid</v>
      </c>
      <c r="AQ444" t="str">
        <f>IF(Audit_Data[[#This Row],[Z_CostContact]]=3,"Valid","Invalid")</f>
        <v>Valid</v>
      </c>
      <c r="AR444" t="str">
        <f t="shared" si="88"/>
        <v>Valid</v>
      </c>
      <c r="AS444" t="str">
        <f t="shared" si="89"/>
        <v>Valid</v>
      </c>
    </row>
    <row r="445" spans="1:45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 t="str">
        <f t="shared" si="78"/>
        <v>Ok</v>
      </c>
      <c r="AE445" t="str">
        <f>IF(AND(Audit_Data[[#This Row],[Year_Birth]]&gt;=1900,Audit_Data[[#This Row],[Year_Birth]]&lt;=2010),"OK","Invalid")</f>
        <v>OK</v>
      </c>
      <c r="AF445" t="str">
        <f t="shared" si="79"/>
        <v>Valid</v>
      </c>
      <c r="AG445" t="str">
        <f t="shared" si="80"/>
        <v>Valid</v>
      </c>
      <c r="AH445" t="str">
        <f t="shared" si="81"/>
        <v>Valid</v>
      </c>
      <c r="AI445" t="str">
        <f t="shared" si="82"/>
        <v>Valid</v>
      </c>
      <c r="AJ445" t="str">
        <f t="shared" si="83"/>
        <v>Valid</v>
      </c>
      <c r="AK445" t="str">
        <f t="shared" si="90"/>
        <v xml:space="preserve">Valid </v>
      </c>
      <c r="AL445" t="str">
        <f>IF(AND(Audit_Data[[#This Row],[Recency]]&gt;=0,Audit_Data[[#This Row],[Recency]]&lt;=100),"Valid","Invalid")</f>
        <v>Valid</v>
      </c>
      <c r="AM445" t="str">
        <f t="shared" si="84"/>
        <v>Valid</v>
      </c>
      <c r="AN445" t="str">
        <f t="shared" si="85"/>
        <v>Valid</v>
      </c>
      <c r="AO445" t="str">
        <f t="shared" si="86"/>
        <v>Valid</v>
      </c>
      <c r="AP445" t="str">
        <f t="shared" si="87"/>
        <v>Valid</v>
      </c>
      <c r="AQ445" t="str">
        <f>IF(Audit_Data[[#This Row],[Z_CostContact]]=3,"Valid","Invalid")</f>
        <v>Valid</v>
      </c>
      <c r="AR445" t="str">
        <f t="shared" si="88"/>
        <v>Valid</v>
      </c>
      <c r="AS445" t="str">
        <f t="shared" si="89"/>
        <v>Valid</v>
      </c>
    </row>
    <row r="446" spans="1:45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 t="str">
        <f t="shared" si="78"/>
        <v>Ok</v>
      </c>
      <c r="AE446" t="str">
        <f>IF(AND(Audit_Data[[#This Row],[Year_Birth]]&gt;=1900,Audit_Data[[#This Row],[Year_Birth]]&lt;=2010),"OK","Invalid")</f>
        <v>OK</v>
      </c>
      <c r="AF446" t="str">
        <f t="shared" si="79"/>
        <v>Valid</v>
      </c>
      <c r="AG446" t="str">
        <f t="shared" si="80"/>
        <v>Valid</v>
      </c>
      <c r="AH446" t="str">
        <f t="shared" si="81"/>
        <v>Valid</v>
      </c>
      <c r="AI446" t="str">
        <f t="shared" si="82"/>
        <v>Valid</v>
      </c>
      <c r="AJ446" t="str">
        <f t="shared" si="83"/>
        <v>Valid</v>
      </c>
      <c r="AK446" t="str">
        <f t="shared" si="90"/>
        <v xml:space="preserve">Valid </v>
      </c>
      <c r="AL446" t="str">
        <f>IF(AND(Audit_Data[[#This Row],[Recency]]&gt;=0,Audit_Data[[#This Row],[Recency]]&lt;=100),"Valid","Invalid")</f>
        <v>Valid</v>
      </c>
      <c r="AM446" t="str">
        <f t="shared" si="84"/>
        <v>Valid</v>
      </c>
      <c r="AN446" t="str">
        <f t="shared" si="85"/>
        <v>Valid</v>
      </c>
      <c r="AO446" t="str">
        <f t="shared" si="86"/>
        <v>Valid</v>
      </c>
      <c r="AP446" t="str">
        <f t="shared" si="87"/>
        <v>Valid</v>
      </c>
      <c r="AQ446" t="str">
        <f>IF(Audit_Data[[#This Row],[Z_CostContact]]=3,"Valid","Invalid")</f>
        <v>Valid</v>
      </c>
      <c r="AR446" t="str">
        <f t="shared" si="88"/>
        <v>Valid</v>
      </c>
      <c r="AS446" t="str">
        <f t="shared" si="89"/>
        <v>Valid</v>
      </c>
    </row>
    <row r="447" spans="1:45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 t="str">
        <f t="shared" si="78"/>
        <v>Ok</v>
      </c>
      <c r="AE447" t="str">
        <f>IF(AND(Audit_Data[[#This Row],[Year_Birth]]&gt;=1900,Audit_Data[[#This Row],[Year_Birth]]&lt;=2010),"OK","Invalid")</f>
        <v>OK</v>
      </c>
      <c r="AF447" t="str">
        <f t="shared" si="79"/>
        <v>Valid</v>
      </c>
      <c r="AG447" t="str">
        <f t="shared" si="80"/>
        <v>Valid</v>
      </c>
      <c r="AH447" t="str">
        <f t="shared" si="81"/>
        <v>Valid</v>
      </c>
      <c r="AI447" t="str">
        <f t="shared" si="82"/>
        <v>Valid</v>
      </c>
      <c r="AJ447" t="str">
        <f t="shared" si="83"/>
        <v>Valid</v>
      </c>
      <c r="AK447" t="str">
        <f t="shared" si="90"/>
        <v xml:space="preserve">Valid </v>
      </c>
      <c r="AL447" t="str">
        <f>IF(AND(Audit_Data[[#This Row],[Recency]]&gt;=0,Audit_Data[[#This Row],[Recency]]&lt;=100),"Valid","Invalid")</f>
        <v>Valid</v>
      </c>
      <c r="AM447" t="str">
        <f t="shared" si="84"/>
        <v>Valid</v>
      </c>
      <c r="AN447" t="str">
        <f t="shared" si="85"/>
        <v>Valid</v>
      </c>
      <c r="AO447" t="str">
        <f t="shared" si="86"/>
        <v>Valid</v>
      </c>
      <c r="AP447" t="str">
        <f t="shared" si="87"/>
        <v>Valid</v>
      </c>
      <c r="AQ447" t="str">
        <f>IF(Audit_Data[[#This Row],[Z_CostContact]]=3,"Valid","Invalid")</f>
        <v>Valid</v>
      </c>
      <c r="AR447" t="str">
        <f t="shared" si="88"/>
        <v>Valid</v>
      </c>
      <c r="AS447" t="str">
        <f t="shared" si="89"/>
        <v>Valid</v>
      </c>
    </row>
    <row r="448" spans="1:45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 t="str">
        <f t="shared" si="78"/>
        <v>Ok</v>
      </c>
      <c r="AE448" t="str">
        <f>IF(AND(Audit_Data[[#This Row],[Year_Birth]]&gt;=1900,Audit_Data[[#This Row],[Year_Birth]]&lt;=2010),"OK","Invalid")</f>
        <v>OK</v>
      </c>
      <c r="AF448" t="str">
        <f t="shared" si="79"/>
        <v>Valid</v>
      </c>
      <c r="AG448" t="str">
        <f t="shared" si="80"/>
        <v>Valid</v>
      </c>
      <c r="AH448" t="str">
        <f t="shared" si="81"/>
        <v>Valid</v>
      </c>
      <c r="AI448" t="str">
        <f t="shared" si="82"/>
        <v>Valid</v>
      </c>
      <c r="AJ448" t="str">
        <f t="shared" si="83"/>
        <v>Valid</v>
      </c>
      <c r="AK448" t="str">
        <f t="shared" si="90"/>
        <v xml:space="preserve">Valid </v>
      </c>
      <c r="AL448" t="str">
        <f>IF(AND(Audit_Data[[#This Row],[Recency]]&gt;=0,Audit_Data[[#This Row],[Recency]]&lt;=100),"Valid","Invalid")</f>
        <v>Valid</v>
      </c>
      <c r="AM448" t="str">
        <f t="shared" si="84"/>
        <v>Valid</v>
      </c>
      <c r="AN448" t="str">
        <f t="shared" si="85"/>
        <v>Valid</v>
      </c>
      <c r="AO448" t="str">
        <f t="shared" si="86"/>
        <v>Valid</v>
      </c>
      <c r="AP448" t="str">
        <f t="shared" si="87"/>
        <v>Valid</v>
      </c>
      <c r="AQ448" t="str">
        <f>IF(Audit_Data[[#This Row],[Z_CostContact]]=3,"Valid","Invalid")</f>
        <v>Valid</v>
      </c>
      <c r="AR448" t="str">
        <f t="shared" si="88"/>
        <v>Valid</v>
      </c>
      <c r="AS448" t="str">
        <f t="shared" si="89"/>
        <v>Valid</v>
      </c>
    </row>
    <row r="449" spans="1:45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 t="str">
        <f t="shared" si="78"/>
        <v>Ok</v>
      </c>
      <c r="AE449" t="str">
        <f>IF(AND(Audit_Data[[#This Row],[Year_Birth]]&gt;=1900,Audit_Data[[#This Row],[Year_Birth]]&lt;=2010),"OK","Invalid")</f>
        <v>OK</v>
      </c>
      <c r="AF449" t="str">
        <f t="shared" si="79"/>
        <v>Valid</v>
      </c>
      <c r="AG449" t="str">
        <f t="shared" si="80"/>
        <v>Valid</v>
      </c>
      <c r="AH449" t="str">
        <f t="shared" si="81"/>
        <v>Valid</v>
      </c>
      <c r="AI449" t="str">
        <f t="shared" si="82"/>
        <v>Valid</v>
      </c>
      <c r="AJ449" t="str">
        <f t="shared" si="83"/>
        <v>Valid</v>
      </c>
      <c r="AK449" t="str">
        <f t="shared" si="90"/>
        <v xml:space="preserve">Valid </v>
      </c>
      <c r="AL449" t="str">
        <f>IF(AND(Audit_Data[[#This Row],[Recency]]&gt;=0,Audit_Data[[#This Row],[Recency]]&lt;=100),"Valid","Invalid")</f>
        <v>Valid</v>
      </c>
      <c r="AM449" t="str">
        <f t="shared" si="84"/>
        <v>Valid</v>
      </c>
      <c r="AN449" t="str">
        <f t="shared" si="85"/>
        <v>Valid</v>
      </c>
      <c r="AO449" t="str">
        <f t="shared" si="86"/>
        <v>Valid</v>
      </c>
      <c r="AP449" t="str">
        <f t="shared" si="87"/>
        <v>Valid</v>
      </c>
      <c r="AQ449" t="str">
        <f>IF(Audit_Data[[#This Row],[Z_CostContact]]=3,"Valid","Invalid")</f>
        <v>Valid</v>
      </c>
      <c r="AR449" t="str">
        <f t="shared" si="88"/>
        <v>Valid</v>
      </c>
      <c r="AS449" t="str">
        <f t="shared" si="89"/>
        <v>Valid</v>
      </c>
    </row>
    <row r="450" spans="1:45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 t="str">
        <f t="shared" ref="AD450:AD513" si="91">IF(COUNTIF(A:A,A450)&gt;1,"Duplicate","Ok")</f>
        <v>Ok</v>
      </c>
      <c r="AE450" t="str">
        <f>IF(AND(Audit_Data[[#This Row],[Year_Birth]]&gt;=1900,Audit_Data[[#This Row],[Year_Birth]]&lt;=2010),"OK","Invalid")</f>
        <v>OK</v>
      </c>
      <c r="AF450" t="str">
        <f t="shared" ref="AF450:AF513" si="92">IF(OR(C450="Graduation",C450="phD",C450="Master",C450="Basic",C450="2n Cycle"),"Valid","Invalid")</f>
        <v>Valid</v>
      </c>
      <c r="AG450" t="str">
        <f t="shared" ref="AG450:AG513" si="93">IF(OR(D450="Single",D450="Married",D450="Divorced",D450="Together",D450="Widow",D450="Alone"),"Valid","Invalid")</f>
        <v>Valid</v>
      </c>
      <c r="AH450" t="str">
        <f t="shared" ref="AH450:AH513" si="94">IF(AND(ISNUMBER(E450),E450&lt;&gt;""),"Valid","Invalid")</f>
        <v>Valid</v>
      </c>
      <c r="AI450" t="str">
        <f t="shared" ref="AI450:AI513" si="95">IF(AND(F450&gt;=0,F450&lt;=2),"Valid","Invalid")</f>
        <v>Valid</v>
      </c>
      <c r="AJ450" t="str">
        <f t="shared" ref="AJ450:AJ513" si="96">IF(AND(G450&gt;=0,G450&lt;=2),"Valid","Invalid")</f>
        <v>Valid</v>
      </c>
      <c r="AK450" t="str">
        <f t="shared" si="90"/>
        <v xml:space="preserve">Valid </v>
      </c>
      <c r="AL450" t="str">
        <f>IF(AND(Audit_Data[[#This Row],[Recency]]&gt;=0,Audit_Data[[#This Row],[Recency]]&lt;=100),"Valid","Invalid")</f>
        <v>Valid</v>
      </c>
      <c r="AM450" t="str">
        <f t="shared" ref="AM450:AM513" si="97">IF(AND(ISNUMBER(J450),J450&gt;=0,ISNUMBER(K450),K450&gt;=0,ISNUMBER(L450),L450&gt;=0,ISNUMBER(M450),M450&gt;=0,ISNUMBER(N450),N450&gt;=0,ISNUMBER(O450),O450&gt;=0),"Valid","Invalid")</f>
        <v>Valid</v>
      </c>
      <c r="AN450" t="str">
        <f t="shared" ref="AN450:AN513" si="98">IF(AND(ISNUMBER(P450),P450&gt;=0,ISNUMBER(Q450),Q450&gt;=0,ISNUMBER(R450),R450&gt;=0,ISNUMBER(S450),S450&gt;=0,ISNUMBER(T450),T450&gt;=0),"Valid","Invalid")</f>
        <v>Valid</v>
      </c>
      <c r="AO450" t="str">
        <f t="shared" ref="AO450:AO513" si="99">IF(AND(U450&lt;=1,V450&lt;=1,W450&lt;=1,X450&lt;=1,Y450&lt;=1),"Valid","Invalid")</f>
        <v>Valid</v>
      </c>
      <c r="AP450" t="str">
        <f t="shared" ref="AP450:AP513" si="100">IF(OR(Z450=0,Z450=1),"Valid","Invalid")</f>
        <v>Valid</v>
      </c>
      <c r="AQ450" t="str">
        <f>IF(Audit_Data[[#This Row],[Z_CostContact]]=3,"Valid","Invalid")</f>
        <v>Valid</v>
      </c>
      <c r="AR450" t="str">
        <f t="shared" ref="AR450:AR513" si="101">IF(AB450=11,"Valid","Invalid")</f>
        <v>Valid</v>
      </c>
      <c r="AS450" t="str">
        <f t="shared" ref="AS450:AS513" si="102">IF(OR(AC450=0,AC450=1),"Valid","Invalid")</f>
        <v>Valid</v>
      </c>
    </row>
    <row r="451" spans="1:45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 t="str">
        <f t="shared" si="91"/>
        <v>Ok</v>
      </c>
      <c r="AE451" t="str">
        <f>IF(AND(Audit_Data[[#This Row],[Year_Birth]]&gt;=1900,Audit_Data[[#This Row],[Year_Birth]]&lt;=2010),"OK","Invalid")</f>
        <v>OK</v>
      </c>
      <c r="AF451" t="str">
        <f t="shared" si="92"/>
        <v>Valid</v>
      </c>
      <c r="AG451" t="str">
        <f t="shared" si="93"/>
        <v>Valid</v>
      </c>
      <c r="AH451" t="str">
        <f t="shared" si="94"/>
        <v>Valid</v>
      </c>
      <c r="AI451" t="str">
        <f t="shared" si="95"/>
        <v>Valid</v>
      </c>
      <c r="AJ451" t="str">
        <f t="shared" si="96"/>
        <v>Valid</v>
      </c>
      <c r="AK451" t="str">
        <f t="shared" ref="AK451:AK514" si="103">IF(AND(ISNUMBER(H451),H451&gt;=DATE(2012,1,1),H451&lt;=DATE(2014,12,31)),"Valid ","Invalid")</f>
        <v xml:space="preserve">Valid </v>
      </c>
      <c r="AL451" t="str">
        <f>IF(AND(Audit_Data[[#This Row],[Recency]]&gt;=0,Audit_Data[[#This Row],[Recency]]&lt;=100),"Valid","Invalid")</f>
        <v>Valid</v>
      </c>
      <c r="AM451" t="str">
        <f t="shared" si="97"/>
        <v>Valid</v>
      </c>
      <c r="AN451" t="str">
        <f t="shared" si="98"/>
        <v>Valid</v>
      </c>
      <c r="AO451" t="str">
        <f t="shared" si="99"/>
        <v>Valid</v>
      </c>
      <c r="AP451" t="str">
        <f t="shared" si="100"/>
        <v>Valid</v>
      </c>
      <c r="AQ451" t="str">
        <f>IF(Audit_Data[[#This Row],[Z_CostContact]]=3,"Valid","Invalid")</f>
        <v>Valid</v>
      </c>
      <c r="AR451" t="str">
        <f t="shared" si="101"/>
        <v>Valid</v>
      </c>
      <c r="AS451" t="str">
        <f t="shared" si="102"/>
        <v>Valid</v>
      </c>
    </row>
    <row r="452" spans="1:45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 t="str">
        <f t="shared" si="91"/>
        <v>Ok</v>
      </c>
      <c r="AE452" t="str">
        <f>IF(AND(Audit_Data[[#This Row],[Year_Birth]]&gt;=1900,Audit_Data[[#This Row],[Year_Birth]]&lt;=2010),"OK","Invalid")</f>
        <v>OK</v>
      </c>
      <c r="AF452" t="str">
        <f t="shared" si="92"/>
        <v>Valid</v>
      </c>
      <c r="AG452" t="str">
        <f t="shared" si="93"/>
        <v>Valid</v>
      </c>
      <c r="AH452" t="str">
        <f t="shared" si="94"/>
        <v>Valid</v>
      </c>
      <c r="AI452" t="str">
        <f t="shared" si="95"/>
        <v>Valid</v>
      </c>
      <c r="AJ452" t="str">
        <f t="shared" si="96"/>
        <v>Valid</v>
      </c>
      <c r="AK452" t="str">
        <f t="shared" si="103"/>
        <v xml:space="preserve">Valid </v>
      </c>
      <c r="AL452" t="str">
        <f>IF(AND(Audit_Data[[#This Row],[Recency]]&gt;=0,Audit_Data[[#This Row],[Recency]]&lt;=100),"Valid","Invalid")</f>
        <v>Valid</v>
      </c>
      <c r="AM452" t="str">
        <f t="shared" si="97"/>
        <v>Valid</v>
      </c>
      <c r="AN452" t="str">
        <f t="shared" si="98"/>
        <v>Valid</v>
      </c>
      <c r="AO452" t="str">
        <f t="shared" si="99"/>
        <v>Valid</v>
      </c>
      <c r="AP452" t="str">
        <f t="shared" si="100"/>
        <v>Valid</v>
      </c>
      <c r="AQ452" t="str">
        <f>IF(Audit_Data[[#This Row],[Z_CostContact]]=3,"Valid","Invalid")</f>
        <v>Valid</v>
      </c>
      <c r="AR452" t="str">
        <f t="shared" si="101"/>
        <v>Valid</v>
      </c>
      <c r="AS452" t="str">
        <f t="shared" si="102"/>
        <v>Valid</v>
      </c>
    </row>
    <row r="453" spans="1:45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 t="str">
        <f t="shared" si="91"/>
        <v>Ok</v>
      </c>
      <c r="AE453" t="str">
        <f>IF(AND(Audit_Data[[#This Row],[Year_Birth]]&gt;=1900,Audit_Data[[#This Row],[Year_Birth]]&lt;=2010),"OK","Invalid")</f>
        <v>OK</v>
      </c>
      <c r="AF453" t="str">
        <f t="shared" si="92"/>
        <v>Valid</v>
      </c>
      <c r="AG453" t="str">
        <f t="shared" si="93"/>
        <v>Valid</v>
      </c>
      <c r="AH453" t="str">
        <f t="shared" si="94"/>
        <v>Valid</v>
      </c>
      <c r="AI453" t="str">
        <f t="shared" si="95"/>
        <v>Valid</v>
      </c>
      <c r="AJ453" t="str">
        <f t="shared" si="96"/>
        <v>Valid</v>
      </c>
      <c r="AK453" t="str">
        <f t="shared" si="103"/>
        <v xml:space="preserve">Valid </v>
      </c>
      <c r="AL453" t="str">
        <f>IF(AND(Audit_Data[[#This Row],[Recency]]&gt;=0,Audit_Data[[#This Row],[Recency]]&lt;=100),"Valid","Invalid")</f>
        <v>Valid</v>
      </c>
      <c r="AM453" t="str">
        <f t="shared" si="97"/>
        <v>Valid</v>
      </c>
      <c r="AN453" t="str">
        <f t="shared" si="98"/>
        <v>Valid</v>
      </c>
      <c r="AO453" t="str">
        <f t="shared" si="99"/>
        <v>Valid</v>
      </c>
      <c r="AP453" t="str">
        <f t="shared" si="100"/>
        <v>Valid</v>
      </c>
      <c r="AQ453" t="str">
        <f>IF(Audit_Data[[#This Row],[Z_CostContact]]=3,"Valid","Invalid")</f>
        <v>Valid</v>
      </c>
      <c r="AR453" t="str">
        <f t="shared" si="101"/>
        <v>Valid</v>
      </c>
      <c r="AS453" t="str">
        <f t="shared" si="102"/>
        <v>Valid</v>
      </c>
    </row>
    <row r="454" spans="1:45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 t="str">
        <f t="shared" si="91"/>
        <v>Ok</v>
      </c>
      <c r="AE454" t="str">
        <f>IF(AND(Audit_Data[[#This Row],[Year_Birth]]&gt;=1900,Audit_Data[[#This Row],[Year_Birth]]&lt;=2010),"OK","Invalid")</f>
        <v>OK</v>
      </c>
      <c r="AF454" t="str">
        <f t="shared" si="92"/>
        <v>Valid</v>
      </c>
      <c r="AG454" t="str">
        <f t="shared" si="93"/>
        <v>Valid</v>
      </c>
      <c r="AH454" t="str">
        <f t="shared" si="94"/>
        <v>Valid</v>
      </c>
      <c r="AI454" t="str">
        <f t="shared" si="95"/>
        <v>Valid</v>
      </c>
      <c r="AJ454" t="str">
        <f t="shared" si="96"/>
        <v>Valid</v>
      </c>
      <c r="AK454" t="str">
        <f t="shared" si="103"/>
        <v xml:space="preserve">Valid </v>
      </c>
      <c r="AL454" t="str">
        <f>IF(AND(Audit_Data[[#This Row],[Recency]]&gt;=0,Audit_Data[[#This Row],[Recency]]&lt;=100),"Valid","Invalid")</f>
        <v>Valid</v>
      </c>
      <c r="AM454" t="str">
        <f t="shared" si="97"/>
        <v>Valid</v>
      </c>
      <c r="AN454" t="str">
        <f t="shared" si="98"/>
        <v>Valid</v>
      </c>
      <c r="AO454" t="str">
        <f t="shared" si="99"/>
        <v>Valid</v>
      </c>
      <c r="AP454" t="str">
        <f t="shared" si="100"/>
        <v>Valid</v>
      </c>
      <c r="AQ454" t="str">
        <f>IF(Audit_Data[[#This Row],[Z_CostContact]]=3,"Valid","Invalid")</f>
        <v>Valid</v>
      </c>
      <c r="AR454" t="str">
        <f t="shared" si="101"/>
        <v>Valid</v>
      </c>
      <c r="AS454" t="str">
        <f t="shared" si="102"/>
        <v>Valid</v>
      </c>
    </row>
    <row r="455" spans="1:45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 t="str">
        <f t="shared" si="91"/>
        <v>Ok</v>
      </c>
      <c r="AE455" t="str">
        <f>IF(AND(Audit_Data[[#This Row],[Year_Birth]]&gt;=1900,Audit_Data[[#This Row],[Year_Birth]]&lt;=2010),"OK","Invalid")</f>
        <v>OK</v>
      </c>
      <c r="AF455" t="str">
        <f t="shared" si="92"/>
        <v>Valid</v>
      </c>
      <c r="AG455" t="str">
        <f t="shared" si="93"/>
        <v>Valid</v>
      </c>
      <c r="AH455" t="str">
        <f t="shared" si="94"/>
        <v>Valid</v>
      </c>
      <c r="AI455" t="str">
        <f t="shared" si="95"/>
        <v>Valid</v>
      </c>
      <c r="AJ455" t="str">
        <f t="shared" si="96"/>
        <v>Valid</v>
      </c>
      <c r="AK455" t="str">
        <f t="shared" si="103"/>
        <v xml:space="preserve">Valid </v>
      </c>
      <c r="AL455" t="str">
        <f>IF(AND(Audit_Data[[#This Row],[Recency]]&gt;=0,Audit_Data[[#This Row],[Recency]]&lt;=100),"Valid","Invalid")</f>
        <v>Valid</v>
      </c>
      <c r="AM455" t="str">
        <f t="shared" si="97"/>
        <v>Valid</v>
      </c>
      <c r="AN455" t="str">
        <f t="shared" si="98"/>
        <v>Valid</v>
      </c>
      <c r="AO455" t="str">
        <f t="shared" si="99"/>
        <v>Valid</v>
      </c>
      <c r="AP455" t="str">
        <f t="shared" si="100"/>
        <v>Valid</v>
      </c>
      <c r="AQ455" t="str">
        <f>IF(Audit_Data[[#This Row],[Z_CostContact]]=3,"Valid","Invalid")</f>
        <v>Valid</v>
      </c>
      <c r="AR455" t="str">
        <f t="shared" si="101"/>
        <v>Valid</v>
      </c>
      <c r="AS455" t="str">
        <f t="shared" si="102"/>
        <v>Valid</v>
      </c>
    </row>
    <row r="456" spans="1:45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 t="str">
        <f t="shared" si="91"/>
        <v>Ok</v>
      </c>
      <c r="AE456" t="str">
        <f>IF(AND(Audit_Data[[#This Row],[Year_Birth]]&gt;=1900,Audit_Data[[#This Row],[Year_Birth]]&lt;=2010),"OK","Invalid")</f>
        <v>OK</v>
      </c>
      <c r="AF456" t="str">
        <f t="shared" si="92"/>
        <v>Valid</v>
      </c>
      <c r="AG456" t="str">
        <f t="shared" si="93"/>
        <v>Valid</v>
      </c>
      <c r="AH456" t="str">
        <f t="shared" si="94"/>
        <v>Valid</v>
      </c>
      <c r="AI456" t="str">
        <f t="shared" si="95"/>
        <v>Valid</v>
      </c>
      <c r="AJ456" t="str">
        <f t="shared" si="96"/>
        <v>Valid</v>
      </c>
      <c r="AK456" t="str">
        <f t="shared" si="103"/>
        <v xml:space="preserve">Valid </v>
      </c>
      <c r="AL456" t="str">
        <f>IF(AND(Audit_Data[[#This Row],[Recency]]&gt;=0,Audit_Data[[#This Row],[Recency]]&lt;=100),"Valid","Invalid")</f>
        <v>Valid</v>
      </c>
      <c r="AM456" t="str">
        <f t="shared" si="97"/>
        <v>Valid</v>
      </c>
      <c r="AN456" t="str">
        <f t="shared" si="98"/>
        <v>Valid</v>
      </c>
      <c r="AO456" t="str">
        <f t="shared" si="99"/>
        <v>Valid</v>
      </c>
      <c r="AP456" t="str">
        <f t="shared" si="100"/>
        <v>Valid</v>
      </c>
      <c r="AQ456" t="str">
        <f>IF(Audit_Data[[#This Row],[Z_CostContact]]=3,"Valid","Invalid")</f>
        <v>Valid</v>
      </c>
      <c r="AR456" t="str">
        <f t="shared" si="101"/>
        <v>Valid</v>
      </c>
      <c r="AS456" t="str">
        <f t="shared" si="102"/>
        <v>Valid</v>
      </c>
    </row>
    <row r="457" spans="1:45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 t="str">
        <f t="shared" si="91"/>
        <v>Ok</v>
      </c>
      <c r="AE457" t="str">
        <f>IF(AND(Audit_Data[[#This Row],[Year_Birth]]&gt;=1900,Audit_Data[[#This Row],[Year_Birth]]&lt;=2010),"OK","Invalid")</f>
        <v>OK</v>
      </c>
      <c r="AF457" t="str">
        <f t="shared" si="92"/>
        <v>Valid</v>
      </c>
      <c r="AG457" t="str">
        <f t="shared" si="93"/>
        <v>Valid</v>
      </c>
      <c r="AH457" t="str">
        <f t="shared" si="94"/>
        <v>Valid</v>
      </c>
      <c r="AI457" t="str">
        <f t="shared" si="95"/>
        <v>Valid</v>
      </c>
      <c r="AJ457" t="str">
        <f t="shared" si="96"/>
        <v>Valid</v>
      </c>
      <c r="AK457" t="str">
        <f t="shared" si="103"/>
        <v xml:space="preserve">Valid </v>
      </c>
      <c r="AL457" t="str">
        <f>IF(AND(Audit_Data[[#This Row],[Recency]]&gt;=0,Audit_Data[[#This Row],[Recency]]&lt;=100),"Valid","Invalid")</f>
        <v>Valid</v>
      </c>
      <c r="AM457" t="str">
        <f t="shared" si="97"/>
        <v>Valid</v>
      </c>
      <c r="AN457" t="str">
        <f t="shared" si="98"/>
        <v>Valid</v>
      </c>
      <c r="AO457" t="str">
        <f t="shared" si="99"/>
        <v>Valid</v>
      </c>
      <c r="AP457" t="str">
        <f t="shared" si="100"/>
        <v>Valid</v>
      </c>
      <c r="AQ457" t="str">
        <f>IF(Audit_Data[[#This Row],[Z_CostContact]]=3,"Valid","Invalid")</f>
        <v>Valid</v>
      </c>
      <c r="AR457" t="str">
        <f t="shared" si="101"/>
        <v>Valid</v>
      </c>
      <c r="AS457" t="str">
        <f t="shared" si="102"/>
        <v>Valid</v>
      </c>
    </row>
    <row r="458" spans="1:45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 t="str">
        <f t="shared" si="91"/>
        <v>Ok</v>
      </c>
      <c r="AE458" t="str">
        <f>IF(AND(Audit_Data[[#This Row],[Year_Birth]]&gt;=1900,Audit_Data[[#This Row],[Year_Birth]]&lt;=2010),"OK","Invalid")</f>
        <v>OK</v>
      </c>
      <c r="AF458" t="str">
        <f t="shared" si="92"/>
        <v>Valid</v>
      </c>
      <c r="AG458" t="str">
        <f t="shared" si="93"/>
        <v>Valid</v>
      </c>
      <c r="AH458" t="str">
        <f t="shared" si="94"/>
        <v>Valid</v>
      </c>
      <c r="AI458" t="str">
        <f t="shared" si="95"/>
        <v>Valid</v>
      </c>
      <c r="AJ458" t="str">
        <f t="shared" si="96"/>
        <v>Valid</v>
      </c>
      <c r="AK458" t="str">
        <f t="shared" si="103"/>
        <v xml:space="preserve">Valid </v>
      </c>
      <c r="AL458" t="str">
        <f>IF(AND(Audit_Data[[#This Row],[Recency]]&gt;=0,Audit_Data[[#This Row],[Recency]]&lt;=100),"Valid","Invalid")</f>
        <v>Valid</v>
      </c>
      <c r="AM458" t="str">
        <f t="shared" si="97"/>
        <v>Valid</v>
      </c>
      <c r="AN458" t="str">
        <f t="shared" si="98"/>
        <v>Valid</v>
      </c>
      <c r="AO458" t="str">
        <f t="shared" si="99"/>
        <v>Valid</v>
      </c>
      <c r="AP458" t="str">
        <f t="shared" si="100"/>
        <v>Valid</v>
      </c>
      <c r="AQ458" t="str">
        <f>IF(Audit_Data[[#This Row],[Z_CostContact]]=3,"Valid","Invalid")</f>
        <v>Valid</v>
      </c>
      <c r="AR458" t="str">
        <f t="shared" si="101"/>
        <v>Valid</v>
      </c>
      <c r="AS458" t="str">
        <f t="shared" si="102"/>
        <v>Valid</v>
      </c>
    </row>
    <row r="459" spans="1:45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 t="str">
        <f t="shared" si="91"/>
        <v>Ok</v>
      </c>
      <c r="AE459" t="str">
        <f>IF(AND(Audit_Data[[#This Row],[Year_Birth]]&gt;=1900,Audit_Data[[#This Row],[Year_Birth]]&lt;=2010),"OK","Invalid")</f>
        <v>OK</v>
      </c>
      <c r="AF459" t="str">
        <f t="shared" si="92"/>
        <v>Valid</v>
      </c>
      <c r="AG459" t="str">
        <f t="shared" si="93"/>
        <v>Valid</v>
      </c>
      <c r="AH459" t="str">
        <f t="shared" si="94"/>
        <v>Valid</v>
      </c>
      <c r="AI459" t="str">
        <f t="shared" si="95"/>
        <v>Valid</v>
      </c>
      <c r="AJ459" t="str">
        <f t="shared" si="96"/>
        <v>Valid</v>
      </c>
      <c r="AK459" t="str">
        <f t="shared" si="103"/>
        <v xml:space="preserve">Valid </v>
      </c>
      <c r="AL459" t="str">
        <f>IF(AND(Audit_Data[[#This Row],[Recency]]&gt;=0,Audit_Data[[#This Row],[Recency]]&lt;=100),"Valid","Invalid")</f>
        <v>Valid</v>
      </c>
      <c r="AM459" t="str">
        <f t="shared" si="97"/>
        <v>Valid</v>
      </c>
      <c r="AN459" t="str">
        <f t="shared" si="98"/>
        <v>Valid</v>
      </c>
      <c r="AO459" t="str">
        <f t="shared" si="99"/>
        <v>Valid</v>
      </c>
      <c r="AP459" t="str">
        <f t="shared" si="100"/>
        <v>Valid</v>
      </c>
      <c r="AQ459" t="str">
        <f>IF(Audit_Data[[#This Row],[Z_CostContact]]=3,"Valid","Invalid")</f>
        <v>Valid</v>
      </c>
      <c r="AR459" t="str">
        <f t="shared" si="101"/>
        <v>Valid</v>
      </c>
      <c r="AS459" t="str">
        <f t="shared" si="102"/>
        <v>Valid</v>
      </c>
    </row>
    <row r="460" spans="1:45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 t="str">
        <f t="shared" si="91"/>
        <v>Ok</v>
      </c>
      <c r="AE460" t="str">
        <f>IF(AND(Audit_Data[[#This Row],[Year_Birth]]&gt;=1900,Audit_Data[[#This Row],[Year_Birth]]&lt;=2010),"OK","Invalid")</f>
        <v>OK</v>
      </c>
      <c r="AF460" t="str">
        <f t="shared" si="92"/>
        <v>Valid</v>
      </c>
      <c r="AG460" t="str">
        <f t="shared" si="93"/>
        <v>Valid</v>
      </c>
      <c r="AH460" t="str">
        <f t="shared" si="94"/>
        <v>Valid</v>
      </c>
      <c r="AI460" t="str">
        <f t="shared" si="95"/>
        <v>Valid</v>
      </c>
      <c r="AJ460" t="str">
        <f t="shared" si="96"/>
        <v>Valid</v>
      </c>
      <c r="AK460" t="str">
        <f t="shared" si="103"/>
        <v xml:space="preserve">Valid </v>
      </c>
      <c r="AL460" t="str">
        <f>IF(AND(Audit_Data[[#This Row],[Recency]]&gt;=0,Audit_Data[[#This Row],[Recency]]&lt;=100),"Valid","Invalid")</f>
        <v>Valid</v>
      </c>
      <c r="AM460" t="str">
        <f t="shared" si="97"/>
        <v>Valid</v>
      </c>
      <c r="AN460" t="str">
        <f t="shared" si="98"/>
        <v>Valid</v>
      </c>
      <c r="AO460" t="str">
        <f t="shared" si="99"/>
        <v>Valid</v>
      </c>
      <c r="AP460" t="str">
        <f t="shared" si="100"/>
        <v>Valid</v>
      </c>
      <c r="AQ460" t="str">
        <f>IF(Audit_Data[[#This Row],[Z_CostContact]]=3,"Valid","Invalid")</f>
        <v>Valid</v>
      </c>
      <c r="AR460" t="str">
        <f t="shared" si="101"/>
        <v>Valid</v>
      </c>
      <c r="AS460" t="str">
        <f t="shared" si="102"/>
        <v>Valid</v>
      </c>
    </row>
    <row r="461" spans="1:45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 t="str">
        <f t="shared" si="91"/>
        <v>Ok</v>
      </c>
      <c r="AE461" t="str">
        <f>IF(AND(Audit_Data[[#This Row],[Year_Birth]]&gt;=1900,Audit_Data[[#This Row],[Year_Birth]]&lt;=2010),"OK","Invalid")</f>
        <v>OK</v>
      </c>
      <c r="AF461" t="str">
        <f t="shared" si="92"/>
        <v>Valid</v>
      </c>
      <c r="AG461" t="str">
        <f t="shared" si="93"/>
        <v>Valid</v>
      </c>
      <c r="AH461" t="str">
        <f t="shared" si="94"/>
        <v>Valid</v>
      </c>
      <c r="AI461" t="str">
        <f t="shared" si="95"/>
        <v>Valid</v>
      </c>
      <c r="AJ461" t="str">
        <f t="shared" si="96"/>
        <v>Valid</v>
      </c>
      <c r="AK461" t="str">
        <f t="shared" si="103"/>
        <v xml:space="preserve">Valid </v>
      </c>
      <c r="AL461" t="str">
        <f>IF(AND(Audit_Data[[#This Row],[Recency]]&gt;=0,Audit_Data[[#This Row],[Recency]]&lt;=100),"Valid","Invalid")</f>
        <v>Valid</v>
      </c>
      <c r="AM461" t="str">
        <f t="shared" si="97"/>
        <v>Valid</v>
      </c>
      <c r="AN461" t="str">
        <f t="shared" si="98"/>
        <v>Valid</v>
      </c>
      <c r="AO461" t="str">
        <f t="shared" si="99"/>
        <v>Valid</v>
      </c>
      <c r="AP461" t="str">
        <f t="shared" si="100"/>
        <v>Valid</v>
      </c>
      <c r="AQ461" t="str">
        <f>IF(Audit_Data[[#This Row],[Z_CostContact]]=3,"Valid","Invalid")</f>
        <v>Valid</v>
      </c>
      <c r="AR461" t="str">
        <f t="shared" si="101"/>
        <v>Valid</v>
      </c>
      <c r="AS461" t="str">
        <f t="shared" si="102"/>
        <v>Valid</v>
      </c>
    </row>
    <row r="462" spans="1:45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 t="str">
        <f t="shared" si="91"/>
        <v>Ok</v>
      </c>
      <c r="AE462" t="str">
        <f>IF(AND(Audit_Data[[#This Row],[Year_Birth]]&gt;=1900,Audit_Data[[#This Row],[Year_Birth]]&lt;=2010),"OK","Invalid")</f>
        <v>OK</v>
      </c>
      <c r="AF462" t="str">
        <f t="shared" si="92"/>
        <v>Valid</v>
      </c>
      <c r="AG462" t="str">
        <f t="shared" si="93"/>
        <v>Valid</v>
      </c>
      <c r="AH462" t="str">
        <f t="shared" si="94"/>
        <v>Valid</v>
      </c>
      <c r="AI462" t="str">
        <f t="shared" si="95"/>
        <v>Valid</v>
      </c>
      <c r="AJ462" t="str">
        <f t="shared" si="96"/>
        <v>Valid</v>
      </c>
      <c r="AK462" t="str">
        <f t="shared" si="103"/>
        <v xml:space="preserve">Valid </v>
      </c>
      <c r="AL462" t="str">
        <f>IF(AND(Audit_Data[[#This Row],[Recency]]&gt;=0,Audit_Data[[#This Row],[Recency]]&lt;=100),"Valid","Invalid")</f>
        <v>Valid</v>
      </c>
      <c r="AM462" t="str">
        <f t="shared" si="97"/>
        <v>Valid</v>
      </c>
      <c r="AN462" t="str">
        <f t="shared" si="98"/>
        <v>Valid</v>
      </c>
      <c r="AO462" t="str">
        <f t="shared" si="99"/>
        <v>Valid</v>
      </c>
      <c r="AP462" t="str">
        <f t="shared" si="100"/>
        <v>Valid</v>
      </c>
      <c r="AQ462" t="str">
        <f>IF(Audit_Data[[#This Row],[Z_CostContact]]=3,"Valid","Invalid")</f>
        <v>Valid</v>
      </c>
      <c r="AR462" t="str">
        <f t="shared" si="101"/>
        <v>Valid</v>
      </c>
      <c r="AS462" t="str">
        <f t="shared" si="102"/>
        <v>Valid</v>
      </c>
    </row>
    <row r="463" spans="1:45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 t="str">
        <f t="shared" si="91"/>
        <v>Ok</v>
      </c>
      <c r="AE463" t="str">
        <f>IF(AND(Audit_Data[[#This Row],[Year_Birth]]&gt;=1900,Audit_Data[[#This Row],[Year_Birth]]&lt;=2010),"OK","Invalid")</f>
        <v>OK</v>
      </c>
      <c r="AF463" t="str">
        <f t="shared" si="92"/>
        <v>Valid</v>
      </c>
      <c r="AG463" t="str">
        <f t="shared" si="93"/>
        <v>Valid</v>
      </c>
      <c r="AH463" t="str">
        <f t="shared" si="94"/>
        <v>Valid</v>
      </c>
      <c r="AI463" t="str">
        <f t="shared" si="95"/>
        <v>Valid</v>
      </c>
      <c r="AJ463" t="str">
        <f t="shared" si="96"/>
        <v>Valid</v>
      </c>
      <c r="AK463" t="str">
        <f t="shared" si="103"/>
        <v xml:space="preserve">Valid </v>
      </c>
      <c r="AL463" t="str">
        <f>IF(AND(Audit_Data[[#This Row],[Recency]]&gt;=0,Audit_Data[[#This Row],[Recency]]&lt;=100),"Valid","Invalid")</f>
        <v>Valid</v>
      </c>
      <c r="AM463" t="str">
        <f t="shared" si="97"/>
        <v>Valid</v>
      </c>
      <c r="AN463" t="str">
        <f t="shared" si="98"/>
        <v>Valid</v>
      </c>
      <c r="AO463" t="str">
        <f t="shared" si="99"/>
        <v>Valid</v>
      </c>
      <c r="AP463" t="str">
        <f t="shared" si="100"/>
        <v>Valid</v>
      </c>
      <c r="AQ463" t="str">
        <f>IF(Audit_Data[[#This Row],[Z_CostContact]]=3,"Valid","Invalid")</f>
        <v>Valid</v>
      </c>
      <c r="AR463" t="str">
        <f t="shared" si="101"/>
        <v>Valid</v>
      </c>
      <c r="AS463" t="str">
        <f t="shared" si="102"/>
        <v>Valid</v>
      </c>
    </row>
    <row r="464" spans="1:45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 t="str">
        <f t="shared" si="91"/>
        <v>Ok</v>
      </c>
      <c r="AE464" t="str">
        <f>IF(AND(Audit_Data[[#This Row],[Year_Birth]]&gt;=1900,Audit_Data[[#This Row],[Year_Birth]]&lt;=2010),"OK","Invalid")</f>
        <v>OK</v>
      </c>
      <c r="AF464" t="str">
        <f t="shared" si="92"/>
        <v>Valid</v>
      </c>
      <c r="AG464" t="str">
        <f t="shared" si="93"/>
        <v>Valid</v>
      </c>
      <c r="AH464" t="str">
        <f t="shared" si="94"/>
        <v>Valid</v>
      </c>
      <c r="AI464" t="str">
        <f t="shared" si="95"/>
        <v>Valid</v>
      </c>
      <c r="AJ464" t="str">
        <f t="shared" si="96"/>
        <v>Valid</v>
      </c>
      <c r="AK464" t="str">
        <f t="shared" si="103"/>
        <v xml:space="preserve">Valid </v>
      </c>
      <c r="AL464" t="str">
        <f>IF(AND(Audit_Data[[#This Row],[Recency]]&gt;=0,Audit_Data[[#This Row],[Recency]]&lt;=100),"Valid","Invalid")</f>
        <v>Valid</v>
      </c>
      <c r="AM464" t="str">
        <f t="shared" si="97"/>
        <v>Valid</v>
      </c>
      <c r="AN464" t="str">
        <f t="shared" si="98"/>
        <v>Valid</v>
      </c>
      <c r="AO464" t="str">
        <f t="shared" si="99"/>
        <v>Valid</v>
      </c>
      <c r="AP464" t="str">
        <f t="shared" si="100"/>
        <v>Valid</v>
      </c>
      <c r="AQ464" t="str">
        <f>IF(Audit_Data[[#This Row],[Z_CostContact]]=3,"Valid","Invalid")</f>
        <v>Valid</v>
      </c>
      <c r="AR464" t="str">
        <f t="shared" si="101"/>
        <v>Valid</v>
      </c>
      <c r="AS464" t="str">
        <f t="shared" si="102"/>
        <v>Valid</v>
      </c>
    </row>
    <row r="465" spans="1:45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 t="str">
        <f t="shared" si="91"/>
        <v>Ok</v>
      </c>
      <c r="AE465" t="str">
        <f>IF(AND(Audit_Data[[#This Row],[Year_Birth]]&gt;=1900,Audit_Data[[#This Row],[Year_Birth]]&lt;=2010),"OK","Invalid")</f>
        <v>OK</v>
      </c>
      <c r="AF465" t="str">
        <f t="shared" si="92"/>
        <v>Valid</v>
      </c>
      <c r="AG465" t="str">
        <f t="shared" si="93"/>
        <v>Valid</v>
      </c>
      <c r="AH465" t="str">
        <f t="shared" si="94"/>
        <v>Valid</v>
      </c>
      <c r="AI465" t="str">
        <f t="shared" si="95"/>
        <v>Valid</v>
      </c>
      <c r="AJ465" t="str">
        <f t="shared" si="96"/>
        <v>Valid</v>
      </c>
      <c r="AK465" t="str">
        <f t="shared" si="103"/>
        <v xml:space="preserve">Valid </v>
      </c>
      <c r="AL465" t="str">
        <f>IF(AND(Audit_Data[[#This Row],[Recency]]&gt;=0,Audit_Data[[#This Row],[Recency]]&lt;=100),"Valid","Invalid")</f>
        <v>Valid</v>
      </c>
      <c r="AM465" t="str">
        <f t="shared" si="97"/>
        <v>Valid</v>
      </c>
      <c r="AN465" t="str">
        <f t="shared" si="98"/>
        <v>Valid</v>
      </c>
      <c r="AO465" t="str">
        <f t="shared" si="99"/>
        <v>Valid</v>
      </c>
      <c r="AP465" t="str">
        <f t="shared" si="100"/>
        <v>Valid</v>
      </c>
      <c r="AQ465" t="str">
        <f>IF(Audit_Data[[#This Row],[Z_CostContact]]=3,"Valid","Invalid")</f>
        <v>Valid</v>
      </c>
      <c r="AR465" t="str">
        <f t="shared" si="101"/>
        <v>Valid</v>
      </c>
      <c r="AS465" t="str">
        <f t="shared" si="102"/>
        <v>Valid</v>
      </c>
    </row>
    <row r="466" spans="1:45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 t="str">
        <f t="shared" si="91"/>
        <v>Ok</v>
      </c>
      <c r="AE466" t="str">
        <f>IF(AND(Audit_Data[[#This Row],[Year_Birth]]&gt;=1900,Audit_Data[[#This Row],[Year_Birth]]&lt;=2010),"OK","Invalid")</f>
        <v>OK</v>
      </c>
      <c r="AF466" t="str">
        <f t="shared" si="92"/>
        <v>Valid</v>
      </c>
      <c r="AG466" t="str">
        <f t="shared" si="93"/>
        <v>Valid</v>
      </c>
      <c r="AH466" t="str">
        <f t="shared" si="94"/>
        <v>Valid</v>
      </c>
      <c r="AI466" t="str">
        <f t="shared" si="95"/>
        <v>Valid</v>
      </c>
      <c r="AJ466" t="str">
        <f t="shared" si="96"/>
        <v>Valid</v>
      </c>
      <c r="AK466" t="str">
        <f t="shared" si="103"/>
        <v xml:space="preserve">Valid </v>
      </c>
      <c r="AL466" t="str">
        <f>IF(AND(Audit_Data[[#This Row],[Recency]]&gt;=0,Audit_Data[[#This Row],[Recency]]&lt;=100),"Valid","Invalid")</f>
        <v>Valid</v>
      </c>
      <c r="AM466" t="str">
        <f t="shared" si="97"/>
        <v>Valid</v>
      </c>
      <c r="AN466" t="str">
        <f t="shared" si="98"/>
        <v>Valid</v>
      </c>
      <c r="AO466" t="str">
        <f t="shared" si="99"/>
        <v>Valid</v>
      </c>
      <c r="AP466" t="str">
        <f t="shared" si="100"/>
        <v>Valid</v>
      </c>
      <c r="AQ466" t="str">
        <f>IF(Audit_Data[[#This Row],[Z_CostContact]]=3,"Valid","Invalid")</f>
        <v>Valid</v>
      </c>
      <c r="AR466" t="str">
        <f t="shared" si="101"/>
        <v>Valid</v>
      </c>
      <c r="AS466" t="str">
        <f t="shared" si="102"/>
        <v>Valid</v>
      </c>
    </row>
    <row r="467" spans="1:45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 t="str">
        <f t="shared" si="91"/>
        <v>Ok</v>
      </c>
      <c r="AE467" t="str">
        <f>IF(AND(Audit_Data[[#This Row],[Year_Birth]]&gt;=1900,Audit_Data[[#This Row],[Year_Birth]]&lt;=2010),"OK","Invalid")</f>
        <v>OK</v>
      </c>
      <c r="AF467" t="str">
        <f t="shared" si="92"/>
        <v>Valid</v>
      </c>
      <c r="AG467" t="str">
        <f t="shared" si="93"/>
        <v>Valid</v>
      </c>
      <c r="AH467" t="str">
        <f t="shared" si="94"/>
        <v>Valid</v>
      </c>
      <c r="AI467" t="str">
        <f t="shared" si="95"/>
        <v>Valid</v>
      </c>
      <c r="AJ467" t="str">
        <f t="shared" si="96"/>
        <v>Valid</v>
      </c>
      <c r="AK467" t="str">
        <f t="shared" si="103"/>
        <v xml:space="preserve">Valid </v>
      </c>
      <c r="AL467" t="str">
        <f>IF(AND(Audit_Data[[#This Row],[Recency]]&gt;=0,Audit_Data[[#This Row],[Recency]]&lt;=100),"Valid","Invalid")</f>
        <v>Valid</v>
      </c>
      <c r="AM467" t="str">
        <f t="shared" si="97"/>
        <v>Valid</v>
      </c>
      <c r="AN467" t="str">
        <f t="shared" si="98"/>
        <v>Valid</v>
      </c>
      <c r="AO467" t="str">
        <f t="shared" si="99"/>
        <v>Valid</v>
      </c>
      <c r="AP467" t="str">
        <f t="shared" si="100"/>
        <v>Valid</v>
      </c>
      <c r="AQ467" t="str">
        <f>IF(Audit_Data[[#This Row],[Z_CostContact]]=3,"Valid","Invalid")</f>
        <v>Valid</v>
      </c>
      <c r="AR467" t="str">
        <f t="shared" si="101"/>
        <v>Valid</v>
      </c>
      <c r="AS467" t="str">
        <f t="shared" si="102"/>
        <v>Valid</v>
      </c>
    </row>
    <row r="468" spans="1:45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 t="str">
        <f t="shared" si="91"/>
        <v>Ok</v>
      </c>
      <c r="AE468" t="str">
        <f>IF(AND(Audit_Data[[#This Row],[Year_Birth]]&gt;=1900,Audit_Data[[#This Row],[Year_Birth]]&lt;=2010),"OK","Invalid")</f>
        <v>OK</v>
      </c>
      <c r="AF468" t="str">
        <f t="shared" si="92"/>
        <v>Valid</v>
      </c>
      <c r="AG468" t="str">
        <f t="shared" si="93"/>
        <v>Valid</v>
      </c>
      <c r="AH468" t="str">
        <f t="shared" si="94"/>
        <v>Valid</v>
      </c>
      <c r="AI468" t="str">
        <f t="shared" si="95"/>
        <v>Valid</v>
      </c>
      <c r="AJ468" t="str">
        <f t="shared" si="96"/>
        <v>Valid</v>
      </c>
      <c r="AK468" t="str">
        <f t="shared" si="103"/>
        <v xml:space="preserve">Valid </v>
      </c>
      <c r="AL468" t="str">
        <f>IF(AND(Audit_Data[[#This Row],[Recency]]&gt;=0,Audit_Data[[#This Row],[Recency]]&lt;=100),"Valid","Invalid")</f>
        <v>Valid</v>
      </c>
      <c r="AM468" t="str">
        <f t="shared" si="97"/>
        <v>Valid</v>
      </c>
      <c r="AN468" t="str">
        <f t="shared" si="98"/>
        <v>Valid</v>
      </c>
      <c r="AO468" t="str">
        <f t="shared" si="99"/>
        <v>Valid</v>
      </c>
      <c r="AP468" t="str">
        <f t="shared" si="100"/>
        <v>Valid</v>
      </c>
      <c r="AQ468" t="str">
        <f>IF(Audit_Data[[#This Row],[Z_CostContact]]=3,"Valid","Invalid")</f>
        <v>Valid</v>
      </c>
      <c r="AR468" t="str">
        <f t="shared" si="101"/>
        <v>Valid</v>
      </c>
      <c r="AS468" t="str">
        <f t="shared" si="102"/>
        <v>Valid</v>
      </c>
    </row>
    <row r="469" spans="1:45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 t="str">
        <f t="shared" si="91"/>
        <v>Ok</v>
      </c>
      <c r="AE469" t="str">
        <f>IF(AND(Audit_Data[[#This Row],[Year_Birth]]&gt;=1900,Audit_Data[[#This Row],[Year_Birth]]&lt;=2010),"OK","Invalid")</f>
        <v>OK</v>
      </c>
      <c r="AF469" t="str">
        <f t="shared" si="92"/>
        <v>Valid</v>
      </c>
      <c r="AG469" t="str">
        <f t="shared" si="93"/>
        <v>Valid</v>
      </c>
      <c r="AH469" t="str">
        <f t="shared" si="94"/>
        <v>Valid</v>
      </c>
      <c r="AI469" t="str">
        <f t="shared" si="95"/>
        <v>Valid</v>
      </c>
      <c r="AJ469" t="str">
        <f t="shared" si="96"/>
        <v>Valid</v>
      </c>
      <c r="AK469" t="str">
        <f t="shared" si="103"/>
        <v xml:space="preserve">Valid </v>
      </c>
      <c r="AL469" t="str">
        <f>IF(AND(Audit_Data[[#This Row],[Recency]]&gt;=0,Audit_Data[[#This Row],[Recency]]&lt;=100),"Valid","Invalid")</f>
        <v>Valid</v>
      </c>
      <c r="AM469" t="str">
        <f t="shared" si="97"/>
        <v>Valid</v>
      </c>
      <c r="AN469" t="str">
        <f t="shared" si="98"/>
        <v>Valid</v>
      </c>
      <c r="AO469" t="str">
        <f t="shared" si="99"/>
        <v>Valid</v>
      </c>
      <c r="AP469" t="str">
        <f t="shared" si="100"/>
        <v>Valid</v>
      </c>
      <c r="AQ469" t="str">
        <f>IF(Audit_Data[[#This Row],[Z_CostContact]]=3,"Valid","Invalid")</f>
        <v>Valid</v>
      </c>
      <c r="AR469" t="str">
        <f t="shared" si="101"/>
        <v>Valid</v>
      </c>
      <c r="AS469" t="str">
        <f t="shared" si="102"/>
        <v>Valid</v>
      </c>
    </row>
    <row r="470" spans="1:45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 t="str">
        <f t="shared" si="91"/>
        <v>Ok</v>
      </c>
      <c r="AE470" t="str">
        <f>IF(AND(Audit_Data[[#This Row],[Year_Birth]]&gt;=1900,Audit_Data[[#This Row],[Year_Birth]]&lt;=2010),"OK","Invalid")</f>
        <v>OK</v>
      </c>
      <c r="AF470" t="str">
        <f t="shared" si="92"/>
        <v>Valid</v>
      </c>
      <c r="AG470" t="str">
        <f t="shared" si="93"/>
        <v>Valid</v>
      </c>
      <c r="AH470" t="str">
        <f t="shared" si="94"/>
        <v>Valid</v>
      </c>
      <c r="AI470" t="str">
        <f t="shared" si="95"/>
        <v>Valid</v>
      </c>
      <c r="AJ470" t="str">
        <f t="shared" si="96"/>
        <v>Valid</v>
      </c>
      <c r="AK470" t="str">
        <f t="shared" si="103"/>
        <v xml:space="preserve">Valid </v>
      </c>
      <c r="AL470" t="str">
        <f>IF(AND(Audit_Data[[#This Row],[Recency]]&gt;=0,Audit_Data[[#This Row],[Recency]]&lt;=100),"Valid","Invalid")</f>
        <v>Valid</v>
      </c>
      <c r="AM470" t="str">
        <f t="shared" si="97"/>
        <v>Valid</v>
      </c>
      <c r="AN470" t="str">
        <f t="shared" si="98"/>
        <v>Valid</v>
      </c>
      <c r="AO470" t="str">
        <f t="shared" si="99"/>
        <v>Valid</v>
      </c>
      <c r="AP470" t="str">
        <f t="shared" si="100"/>
        <v>Valid</v>
      </c>
      <c r="AQ470" t="str">
        <f>IF(Audit_Data[[#This Row],[Z_CostContact]]=3,"Valid","Invalid")</f>
        <v>Valid</v>
      </c>
      <c r="AR470" t="str">
        <f t="shared" si="101"/>
        <v>Valid</v>
      </c>
      <c r="AS470" t="str">
        <f t="shared" si="102"/>
        <v>Valid</v>
      </c>
    </row>
    <row r="471" spans="1:45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 t="str">
        <f t="shared" si="91"/>
        <v>Ok</v>
      </c>
      <c r="AE471" t="str">
        <f>IF(AND(Audit_Data[[#This Row],[Year_Birth]]&gt;=1900,Audit_Data[[#This Row],[Year_Birth]]&lt;=2010),"OK","Invalid")</f>
        <v>OK</v>
      </c>
      <c r="AF471" t="str">
        <f t="shared" si="92"/>
        <v>Valid</v>
      </c>
      <c r="AG471" t="str">
        <f t="shared" si="93"/>
        <v>Valid</v>
      </c>
      <c r="AH471" t="str">
        <f t="shared" si="94"/>
        <v>Valid</v>
      </c>
      <c r="AI471" t="str">
        <f t="shared" si="95"/>
        <v>Valid</v>
      </c>
      <c r="AJ471" t="str">
        <f t="shared" si="96"/>
        <v>Valid</v>
      </c>
      <c r="AK471" t="str">
        <f t="shared" si="103"/>
        <v xml:space="preserve">Valid </v>
      </c>
      <c r="AL471" t="str">
        <f>IF(AND(Audit_Data[[#This Row],[Recency]]&gt;=0,Audit_Data[[#This Row],[Recency]]&lt;=100),"Valid","Invalid")</f>
        <v>Valid</v>
      </c>
      <c r="AM471" t="str">
        <f t="shared" si="97"/>
        <v>Valid</v>
      </c>
      <c r="AN471" t="str">
        <f t="shared" si="98"/>
        <v>Valid</v>
      </c>
      <c r="AO471" t="str">
        <f t="shared" si="99"/>
        <v>Valid</v>
      </c>
      <c r="AP471" t="str">
        <f t="shared" si="100"/>
        <v>Valid</v>
      </c>
      <c r="AQ471" t="str">
        <f>IF(Audit_Data[[#This Row],[Z_CostContact]]=3,"Valid","Invalid")</f>
        <v>Valid</v>
      </c>
      <c r="AR471" t="str">
        <f t="shared" si="101"/>
        <v>Valid</v>
      </c>
      <c r="AS471" t="str">
        <f t="shared" si="102"/>
        <v>Valid</v>
      </c>
    </row>
    <row r="472" spans="1:45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 t="str">
        <f t="shared" si="91"/>
        <v>Ok</v>
      </c>
      <c r="AE472" t="str">
        <f>IF(AND(Audit_Data[[#This Row],[Year_Birth]]&gt;=1900,Audit_Data[[#This Row],[Year_Birth]]&lt;=2010),"OK","Invalid")</f>
        <v>OK</v>
      </c>
      <c r="AF472" t="str">
        <f t="shared" si="92"/>
        <v>Valid</v>
      </c>
      <c r="AG472" t="str">
        <f t="shared" si="93"/>
        <v>Valid</v>
      </c>
      <c r="AH472" t="str">
        <f t="shared" si="94"/>
        <v>Valid</v>
      </c>
      <c r="AI472" t="str">
        <f t="shared" si="95"/>
        <v>Valid</v>
      </c>
      <c r="AJ472" t="str">
        <f t="shared" si="96"/>
        <v>Valid</v>
      </c>
      <c r="AK472" t="str">
        <f t="shared" si="103"/>
        <v xml:space="preserve">Valid </v>
      </c>
      <c r="AL472" t="str">
        <f>IF(AND(Audit_Data[[#This Row],[Recency]]&gt;=0,Audit_Data[[#This Row],[Recency]]&lt;=100),"Valid","Invalid")</f>
        <v>Valid</v>
      </c>
      <c r="AM472" t="str">
        <f t="shared" si="97"/>
        <v>Valid</v>
      </c>
      <c r="AN472" t="str">
        <f t="shared" si="98"/>
        <v>Valid</v>
      </c>
      <c r="AO472" t="str">
        <f t="shared" si="99"/>
        <v>Valid</v>
      </c>
      <c r="AP472" t="str">
        <f t="shared" si="100"/>
        <v>Valid</v>
      </c>
      <c r="AQ472" t="str">
        <f>IF(Audit_Data[[#This Row],[Z_CostContact]]=3,"Valid","Invalid")</f>
        <v>Valid</v>
      </c>
      <c r="AR472" t="str">
        <f t="shared" si="101"/>
        <v>Valid</v>
      </c>
      <c r="AS472" t="str">
        <f t="shared" si="102"/>
        <v>Valid</v>
      </c>
    </row>
    <row r="473" spans="1:45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 t="str">
        <f t="shared" si="91"/>
        <v>Ok</v>
      </c>
      <c r="AE473" t="str">
        <f>IF(AND(Audit_Data[[#This Row],[Year_Birth]]&gt;=1900,Audit_Data[[#This Row],[Year_Birth]]&lt;=2010),"OK","Invalid")</f>
        <v>OK</v>
      </c>
      <c r="AF473" t="str">
        <f t="shared" si="92"/>
        <v>Valid</v>
      </c>
      <c r="AG473" t="str">
        <f t="shared" si="93"/>
        <v>Valid</v>
      </c>
      <c r="AH473" t="str">
        <f t="shared" si="94"/>
        <v>Valid</v>
      </c>
      <c r="AI473" t="str">
        <f t="shared" si="95"/>
        <v>Valid</v>
      </c>
      <c r="AJ473" t="str">
        <f t="shared" si="96"/>
        <v>Valid</v>
      </c>
      <c r="AK473" t="str">
        <f t="shared" si="103"/>
        <v xml:space="preserve">Valid </v>
      </c>
      <c r="AL473" t="str">
        <f>IF(AND(Audit_Data[[#This Row],[Recency]]&gt;=0,Audit_Data[[#This Row],[Recency]]&lt;=100),"Valid","Invalid")</f>
        <v>Valid</v>
      </c>
      <c r="AM473" t="str">
        <f t="shared" si="97"/>
        <v>Valid</v>
      </c>
      <c r="AN473" t="str">
        <f t="shared" si="98"/>
        <v>Valid</v>
      </c>
      <c r="AO473" t="str">
        <f t="shared" si="99"/>
        <v>Valid</v>
      </c>
      <c r="AP473" t="str">
        <f t="shared" si="100"/>
        <v>Valid</v>
      </c>
      <c r="AQ473" t="str">
        <f>IF(Audit_Data[[#This Row],[Z_CostContact]]=3,"Valid","Invalid")</f>
        <v>Valid</v>
      </c>
      <c r="AR473" t="str">
        <f t="shared" si="101"/>
        <v>Valid</v>
      </c>
      <c r="AS473" t="str">
        <f t="shared" si="102"/>
        <v>Valid</v>
      </c>
    </row>
    <row r="474" spans="1:45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 t="str">
        <f t="shared" si="91"/>
        <v>Ok</v>
      </c>
      <c r="AE474" t="str">
        <f>IF(AND(Audit_Data[[#This Row],[Year_Birth]]&gt;=1900,Audit_Data[[#This Row],[Year_Birth]]&lt;=2010),"OK","Invalid")</f>
        <v>OK</v>
      </c>
      <c r="AF474" t="str">
        <f t="shared" si="92"/>
        <v>Valid</v>
      </c>
      <c r="AG474" t="str">
        <f t="shared" si="93"/>
        <v>Valid</v>
      </c>
      <c r="AH474" t="str">
        <f t="shared" si="94"/>
        <v>Valid</v>
      </c>
      <c r="AI474" t="str">
        <f t="shared" si="95"/>
        <v>Valid</v>
      </c>
      <c r="AJ474" t="str">
        <f t="shared" si="96"/>
        <v>Valid</v>
      </c>
      <c r="AK474" t="str">
        <f t="shared" si="103"/>
        <v xml:space="preserve">Valid </v>
      </c>
      <c r="AL474" t="str">
        <f>IF(AND(Audit_Data[[#This Row],[Recency]]&gt;=0,Audit_Data[[#This Row],[Recency]]&lt;=100),"Valid","Invalid")</f>
        <v>Valid</v>
      </c>
      <c r="AM474" t="str">
        <f t="shared" si="97"/>
        <v>Valid</v>
      </c>
      <c r="AN474" t="str">
        <f t="shared" si="98"/>
        <v>Valid</v>
      </c>
      <c r="AO474" t="str">
        <f t="shared" si="99"/>
        <v>Valid</v>
      </c>
      <c r="AP474" t="str">
        <f t="shared" si="100"/>
        <v>Valid</v>
      </c>
      <c r="AQ474" t="str">
        <f>IF(Audit_Data[[#This Row],[Z_CostContact]]=3,"Valid","Invalid")</f>
        <v>Valid</v>
      </c>
      <c r="AR474" t="str">
        <f t="shared" si="101"/>
        <v>Valid</v>
      </c>
      <c r="AS474" t="str">
        <f t="shared" si="102"/>
        <v>Valid</v>
      </c>
    </row>
    <row r="475" spans="1:45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 t="str">
        <f t="shared" si="91"/>
        <v>Ok</v>
      </c>
      <c r="AE475" t="str">
        <f>IF(AND(Audit_Data[[#This Row],[Year_Birth]]&gt;=1900,Audit_Data[[#This Row],[Year_Birth]]&lt;=2010),"OK","Invalid")</f>
        <v>OK</v>
      </c>
      <c r="AF475" t="str">
        <f t="shared" si="92"/>
        <v>Valid</v>
      </c>
      <c r="AG475" t="str">
        <f t="shared" si="93"/>
        <v>Valid</v>
      </c>
      <c r="AH475" t="str">
        <f t="shared" si="94"/>
        <v>Valid</v>
      </c>
      <c r="AI475" t="str">
        <f t="shared" si="95"/>
        <v>Valid</v>
      </c>
      <c r="AJ475" t="str">
        <f t="shared" si="96"/>
        <v>Valid</v>
      </c>
      <c r="AK475" t="str">
        <f t="shared" si="103"/>
        <v xml:space="preserve">Valid </v>
      </c>
      <c r="AL475" t="str">
        <f>IF(AND(Audit_Data[[#This Row],[Recency]]&gt;=0,Audit_Data[[#This Row],[Recency]]&lt;=100),"Valid","Invalid")</f>
        <v>Valid</v>
      </c>
      <c r="AM475" t="str">
        <f t="shared" si="97"/>
        <v>Valid</v>
      </c>
      <c r="AN475" t="str">
        <f t="shared" si="98"/>
        <v>Valid</v>
      </c>
      <c r="AO475" t="str">
        <f t="shared" si="99"/>
        <v>Valid</v>
      </c>
      <c r="AP475" t="str">
        <f t="shared" si="100"/>
        <v>Valid</v>
      </c>
      <c r="AQ475" t="str">
        <f>IF(Audit_Data[[#This Row],[Z_CostContact]]=3,"Valid","Invalid")</f>
        <v>Valid</v>
      </c>
      <c r="AR475" t="str">
        <f t="shared" si="101"/>
        <v>Valid</v>
      </c>
      <c r="AS475" t="str">
        <f t="shared" si="102"/>
        <v>Valid</v>
      </c>
    </row>
    <row r="476" spans="1:45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 t="str">
        <f t="shared" si="91"/>
        <v>Ok</v>
      </c>
      <c r="AE476" t="str">
        <f>IF(AND(Audit_Data[[#This Row],[Year_Birth]]&gt;=1900,Audit_Data[[#This Row],[Year_Birth]]&lt;=2010),"OK","Invalid")</f>
        <v>OK</v>
      </c>
      <c r="AF476" t="str">
        <f t="shared" si="92"/>
        <v>Valid</v>
      </c>
      <c r="AG476" t="str">
        <f t="shared" si="93"/>
        <v>Valid</v>
      </c>
      <c r="AH476" t="str">
        <f t="shared" si="94"/>
        <v>Valid</v>
      </c>
      <c r="AI476" t="str">
        <f t="shared" si="95"/>
        <v>Valid</v>
      </c>
      <c r="AJ476" t="str">
        <f t="shared" si="96"/>
        <v>Valid</v>
      </c>
      <c r="AK476" t="str">
        <f t="shared" si="103"/>
        <v xml:space="preserve">Valid </v>
      </c>
      <c r="AL476" t="str">
        <f>IF(AND(Audit_Data[[#This Row],[Recency]]&gt;=0,Audit_Data[[#This Row],[Recency]]&lt;=100),"Valid","Invalid")</f>
        <v>Valid</v>
      </c>
      <c r="AM476" t="str">
        <f t="shared" si="97"/>
        <v>Valid</v>
      </c>
      <c r="AN476" t="str">
        <f t="shared" si="98"/>
        <v>Valid</v>
      </c>
      <c r="AO476" t="str">
        <f t="shared" si="99"/>
        <v>Valid</v>
      </c>
      <c r="AP476" t="str">
        <f t="shared" si="100"/>
        <v>Valid</v>
      </c>
      <c r="AQ476" t="str">
        <f>IF(Audit_Data[[#This Row],[Z_CostContact]]=3,"Valid","Invalid")</f>
        <v>Valid</v>
      </c>
      <c r="AR476" t="str">
        <f t="shared" si="101"/>
        <v>Valid</v>
      </c>
      <c r="AS476" t="str">
        <f t="shared" si="102"/>
        <v>Valid</v>
      </c>
    </row>
    <row r="477" spans="1:45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 t="str">
        <f t="shared" si="91"/>
        <v>Ok</v>
      </c>
      <c r="AE477" t="str">
        <f>IF(AND(Audit_Data[[#This Row],[Year_Birth]]&gt;=1900,Audit_Data[[#This Row],[Year_Birth]]&lt;=2010),"OK","Invalid")</f>
        <v>OK</v>
      </c>
      <c r="AF477" t="str">
        <f t="shared" si="92"/>
        <v>Valid</v>
      </c>
      <c r="AG477" t="str">
        <f t="shared" si="93"/>
        <v>Valid</v>
      </c>
      <c r="AH477" t="str">
        <f t="shared" si="94"/>
        <v>Valid</v>
      </c>
      <c r="AI477" t="str">
        <f t="shared" si="95"/>
        <v>Valid</v>
      </c>
      <c r="AJ477" t="str">
        <f t="shared" si="96"/>
        <v>Valid</v>
      </c>
      <c r="AK477" t="str">
        <f t="shared" si="103"/>
        <v xml:space="preserve">Valid </v>
      </c>
      <c r="AL477" t="str">
        <f>IF(AND(Audit_Data[[#This Row],[Recency]]&gt;=0,Audit_Data[[#This Row],[Recency]]&lt;=100),"Valid","Invalid")</f>
        <v>Valid</v>
      </c>
      <c r="AM477" t="str">
        <f t="shared" si="97"/>
        <v>Valid</v>
      </c>
      <c r="AN477" t="str">
        <f t="shared" si="98"/>
        <v>Valid</v>
      </c>
      <c r="AO477" t="str">
        <f t="shared" si="99"/>
        <v>Valid</v>
      </c>
      <c r="AP477" t="str">
        <f t="shared" si="100"/>
        <v>Valid</v>
      </c>
      <c r="AQ477" t="str">
        <f>IF(Audit_Data[[#This Row],[Z_CostContact]]=3,"Valid","Invalid")</f>
        <v>Valid</v>
      </c>
      <c r="AR477" t="str">
        <f t="shared" si="101"/>
        <v>Valid</v>
      </c>
      <c r="AS477" t="str">
        <f t="shared" si="102"/>
        <v>Valid</v>
      </c>
    </row>
    <row r="478" spans="1:45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 t="str">
        <f t="shared" si="91"/>
        <v>Ok</v>
      </c>
      <c r="AE478" t="str">
        <f>IF(AND(Audit_Data[[#This Row],[Year_Birth]]&gt;=1900,Audit_Data[[#This Row],[Year_Birth]]&lt;=2010),"OK","Invalid")</f>
        <v>OK</v>
      </c>
      <c r="AF478" t="str">
        <f t="shared" si="92"/>
        <v>Valid</v>
      </c>
      <c r="AG478" t="str">
        <f t="shared" si="93"/>
        <v>Valid</v>
      </c>
      <c r="AH478" t="str">
        <f t="shared" si="94"/>
        <v>Valid</v>
      </c>
      <c r="AI478" t="str">
        <f t="shared" si="95"/>
        <v>Valid</v>
      </c>
      <c r="AJ478" t="str">
        <f t="shared" si="96"/>
        <v>Valid</v>
      </c>
      <c r="AK478" t="str">
        <f t="shared" si="103"/>
        <v xml:space="preserve">Valid </v>
      </c>
      <c r="AL478" t="str">
        <f>IF(AND(Audit_Data[[#This Row],[Recency]]&gt;=0,Audit_Data[[#This Row],[Recency]]&lt;=100),"Valid","Invalid")</f>
        <v>Valid</v>
      </c>
      <c r="AM478" t="str">
        <f t="shared" si="97"/>
        <v>Valid</v>
      </c>
      <c r="AN478" t="str">
        <f t="shared" si="98"/>
        <v>Valid</v>
      </c>
      <c r="AO478" t="str">
        <f t="shared" si="99"/>
        <v>Valid</v>
      </c>
      <c r="AP478" t="str">
        <f t="shared" si="100"/>
        <v>Valid</v>
      </c>
      <c r="AQ478" t="str">
        <f>IF(Audit_Data[[#This Row],[Z_CostContact]]=3,"Valid","Invalid")</f>
        <v>Valid</v>
      </c>
      <c r="AR478" t="str">
        <f t="shared" si="101"/>
        <v>Valid</v>
      </c>
      <c r="AS478" t="str">
        <f t="shared" si="102"/>
        <v>Valid</v>
      </c>
    </row>
    <row r="479" spans="1:45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 t="str">
        <f t="shared" si="91"/>
        <v>Ok</v>
      </c>
      <c r="AE479" t="str">
        <f>IF(AND(Audit_Data[[#This Row],[Year_Birth]]&gt;=1900,Audit_Data[[#This Row],[Year_Birth]]&lt;=2010),"OK","Invalid")</f>
        <v>OK</v>
      </c>
      <c r="AF479" t="str">
        <f t="shared" si="92"/>
        <v>Valid</v>
      </c>
      <c r="AG479" t="str">
        <f t="shared" si="93"/>
        <v>Valid</v>
      </c>
      <c r="AH479" t="str">
        <f t="shared" si="94"/>
        <v>Valid</v>
      </c>
      <c r="AI479" t="str">
        <f t="shared" si="95"/>
        <v>Valid</v>
      </c>
      <c r="AJ479" t="str">
        <f t="shared" si="96"/>
        <v>Valid</v>
      </c>
      <c r="AK479" t="str">
        <f t="shared" si="103"/>
        <v xml:space="preserve">Valid </v>
      </c>
      <c r="AL479" t="str">
        <f>IF(AND(Audit_Data[[#This Row],[Recency]]&gt;=0,Audit_Data[[#This Row],[Recency]]&lt;=100),"Valid","Invalid")</f>
        <v>Valid</v>
      </c>
      <c r="AM479" t="str">
        <f t="shared" si="97"/>
        <v>Valid</v>
      </c>
      <c r="AN479" t="str">
        <f t="shared" si="98"/>
        <v>Valid</v>
      </c>
      <c r="AO479" t="str">
        <f t="shared" si="99"/>
        <v>Valid</v>
      </c>
      <c r="AP479" t="str">
        <f t="shared" si="100"/>
        <v>Valid</v>
      </c>
      <c r="AQ479" t="str">
        <f>IF(Audit_Data[[#This Row],[Z_CostContact]]=3,"Valid","Invalid")</f>
        <v>Valid</v>
      </c>
      <c r="AR479" t="str">
        <f t="shared" si="101"/>
        <v>Valid</v>
      </c>
      <c r="AS479" t="str">
        <f t="shared" si="102"/>
        <v>Valid</v>
      </c>
    </row>
    <row r="480" spans="1:45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 t="str">
        <f t="shared" si="91"/>
        <v>Ok</v>
      </c>
      <c r="AE480" t="str">
        <f>IF(AND(Audit_Data[[#This Row],[Year_Birth]]&gt;=1900,Audit_Data[[#This Row],[Year_Birth]]&lt;=2010),"OK","Invalid")</f>
        <v>OK</v>
      </c>
      <c r="AF480" t="str">
        <f t="shared" si="92"/>
        <v>Valid</v>
      </c>
      <c r="AG480" t="str">
        <f t="shared" si="93"/>
        <v>Valid</v>
      </c>
      <c r="AH480" t="str">
        <f t="shared" si="94"/>
        <v>Valid</v>
      </c>
      <c r="AI480" t="str">
        <f t="shared" si="95"/>
        <v>Valid</v>
      </c>
      <c r="AJ480" t="str">
        <f t="shared" si="96"/>
        <v>Valid</v>
      </c>
      <c r="AK480" t="str">
        <f t="shared" si="103"/>
        <v xml:space="preserve">Valid </v>
      </c>
      <c r="AL480" t="str">
        <f>IF(AND(Audit_Data[[#This Row],[Recency]]&gt;=0,Audit_Data[[#This Row],[Recency]]&lt;=100),"Valid","Invalid")</f>
        <v>Valid</v>
      </c>
      <c r="AM480" t="str">
        <f t="shared" si="97"/>
        <v>Valid</v>
      </c>
      <c r="AN480" t="str">
        <f t="shared" si="98"/>
        <v>Valid</v>
      </c>
      <c r="AO480" t="str">
        <f t="shared" si="99"/>
        <v>Valid</v>
      </c>
      <c r="AP480" t="str">
        <f t="shared" si="100"/>
        <v>Valid</v>
      </c>
      <c r="AQ480" t="str">
        <f>IF(Audit_Data[[#This Row],[Z_CostContact]]=3,"Valid","Invalid")</f>
        <v>Valid</v>
      </c>
      <c r="AR480" t="str">
        <f t="shared" si="101"/>
        <v>Valid</v>
      </c>
      <c r="AS480" t="str">
        <f t="shared" si="102"/>
        <v>Valid</v>
      </c>
    </row>
    <row r="481" spans="1:45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 t="str">
        <f t="shared" si="91"/>
        <v>Ok</v>
      </c>
      <c r="AE481" t="str">
        <f>IF(AND(Audit_Data[[#This Row],[Year_Birth]]&gt;=1900,Audit_Data[[#This Row],[Year_Birth]]&lt;=2010),"OK","Invalid")</f>
        <v>OK</v>
      </c>
      <c r="AF481" t="str">
        <f t="shared" si="92"/>
        <v>Valid</v>
      </c>
      <c r="AG481" t="str">
        <f t="shared" si="93"/>
        <v>Valid</v>
      </c>
      <c r="AH481" t="str">
        <f t="shared" si="94"/>
        <v>Valid</v>
      </c>
      <c r="AI481" t="str">
        <f t="shared" si="95"/>
        <v>Valid</v>
      </c>
      <c r="AJ481" t="str">
        <f t="shared" si="96"/>
        <v>Valid</v>
      </c>
      <c r="AK481" t="str">
        <f t="shared" si="103"/>
        <v xml:space="preserve">Valid </v>
      </c>
      <c r="AL481" t="str">
        <f>IF(AND(Audit_Data[[#This Row],[Recency]]&gt;=0,Audit_Data[[#This Row],[Recency]]&lt;=100),"Valid","Invalid")</f>
        <v>Valid</v>
      </c>
      <c r="AM481" t="str">
        <f t="shared" si="97"/>
        <v>Valid</v>
      </c>
      <c r="AN481" t="str">
        <f t="shared" si="98"/>
        <v>Valid</v>
      </c>
      <c r="AO481" t="str">
        <f t="shared" si="99"/>
        <v>Valid</v>
      </c>
      <c r="AP481" t="str">
        <f t="shared" si="100"/>
        <v>Valid</v>
      </c>
      <c r="AQ481" t="str">
        <f>IF(Audit_Data[[#This Row],[Z_CostContact]]=3,"Valid","Invalid")</f>
        <v>Valid</v>
      </c>
      <c r="AR481" t="str">
        <f t="shared" si="101"/>
        <v>Valid</v>
      </c>
      <c r="AS481" t="str">
        <f t="shared" si="102"/>
        <v>Valid</v>
      </c>
    </row>
    <row r="482" spans="1:45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 t="str">
        <f t="shared" si="91"/>
        <v>Ok</v>
      </c>
      <c r="AE482" t="str">
        <f>IF(AND(Audit_Data[[#This Row],[Year_Birth]]&gt;=1900,Audit_Data[[#This Row],[Year_Birth]]&lt;=2010),"OK","Invalid")</f>
        <v>OK</v>
      </c>
      <c r="AF482" t="str">
        <f t="shared" si="92"/>
        <v>Valid</v>
      </c>
      <c r="AG482" t="str">
        <f t="shared" si="93"/>
        <v>Valid</v>
      </c>
      <c r="AH482" t="str">
        <f t="shared" si="94"/>
        <v>Valid</v>
      </c>
      <c r="AI482" t="str">
        <f t="shared" si="95"/>
        <v>Valid</v>
      </c>
      <c r="AJ482" t="str">
        <f t="shared" si="96"/>
        <v>Valid</v>
      </c>
      <c r="AK482" t="str">
        <f t="shared" si="103"/>
        <v xml:space="preserve">Valid </v>
      </c>
      <c r="AL482" t="str">
        <f>IF(AND(Audit_Data[[#This Row],[Recency]]&gt;=0,Audit_Data[[#This Row],[Recency]]&lt;=100),"Valid","Invalid")</f>
        <v>Valid</v>
      </c>
      <c r="AM482" t="str">
        <f t="shared" si="97"/>
        <v>Valid</v>
      </c>
      <c r="AN482" t="str">
        <f t="shared" si="98"/>
        <v>Valid</v>
      </c>
      <c r="AO482" t="str">
        <f t="shared" si="99"/>
        <v>Valid</v>
      </c>
      <c r="AP482" t="str">
        <f t="shared" si="100"/>
        <v>Valid</v>
      </c>
      <c r="AQ482" t="str">
        <f>IF(Audit_Data[[#This Row],[Z_CostContact]]=3,"Valid","Invalid")</f>
        <v>Valid</v>
      </c>
      <c r="AR482" t="str">
        <f t="shared" si="101"/>
        <v>Valid</v>
      </c>
      <c r="AS482" t="str">
        <f t="shared" si="102"/>
        <v>Valid</v>
      </c>
    </row>
    <row r="483" spans="1:45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 t="str">
        <f t="shared" si="91"/>
        <v>Ok</v>
      </c>
      <c r="AE483" t="str">
        <f>IF(AND(Audit_Data[[#This Row],[Year_Birth]]&gt;=1900,Audit_Data[[#This Row],[Year_Birth]]&lt;=2010),"OK","Invalid")</f>
        <v>OK</v>
      </c>
      <c r="AF483" t="str">
        <f t="shared" si="92"/>
        <v>Valid</v>
      </c>
      <c r="AG483" t="str">
        <f t="shared" si="93"/>
        <v>Valid</v>
      </c>
      <c r="AH483" t="str">
        <f t="shared" si="94"/>
        <v>Valid</v>
      </c>
      <c r="AI483" t="str">
        <f t="shared" si="95"/>
        <v>Valid</v>
      </c>
      <c r="AJ483" t="str">
        <f t="shared" si="96"/>
        <v>Valid</v>
      </c>
      <c r="AK483" t="str">
        <f t="shared" si="103"/>
        <v xml:space="preserve">Valid </v>
      </c>
      <c r="AL483" t="str">
        <f>IF(AND(Audit_Data[[#This Row],[Recency]]&gt;=0,Audit_Data[[#This Row],[Recency]]&lt;=100),"Valid","Invalid")</f>
        <v>Valid</v>
      </c>
      <c r="AM483" t="str">
        <f t="shared" si="97"/>
        <v>Valid</v>
      </c>
      <c r="AN483" t="str">
        <f t="shared" si="98"/>
        <v>Valid</v>
      </c>
      <c r="AO483" t="str">
        <f t="shared" si="99"/>
        <v>Valid</v>
      </c>
      <c r="AP483" t="str">
        <f t="shared" si="100"/>
        <v>Valid</v>
      </c>
      <c r="AQ483" t="str">
        <f>IF(Audit_Data[[#This Row],[Z_CostContact]]=3,"Valid","Invalid")</f>
        <v>Valid</v>
      </c>
      <c r="AR483" t="str">
        <f t="shared" si="101"/>
        <v>Valid</v>
      </c>
      <c r="AS483" t="str">
        <f t="shared" si="102"/>
        <v>Valid</v>
      </c>
    </row>
    <row r="484" spans="1:45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 t="str">
        <f t="shared" si="91"/>
        <v>Ok</v>
      </c>
      <c r="AE484" t="str">
        <f>IF(AND(Audit_Data[[#This Row],[Year_Birth]]&gt;=1900,Audit_Data[[#This Row],[Year_Birth]]&lt;=2010),"OK","Invalid")</f>
        <v>OK</v>
      </c>
      <c r="AF484" t="str">
        <f t="shared" si="92"/>
        <v>Valid</v>
      </c>
      <c r="AG484" t="str">
        <f t="shared" si="93"/>
        <v>Valid</v>
      </c>
      <c r="AH484" t="str">
        <f t="shared" si="94"/>
        <v>Valid</v>
      </c>
      <c r="AI484" t="str">
        <f t="shared" si="95"/>
        <v>Valid</v>
      </c>
      <c r="AJ484" t="str">
        <f t="shared" si="96"/>
        <v>Valid</v>
      </c>
      <c r="AK484" t="str">
        <f t="shared" si="103"/>
        <v xml:space="preserve">Valid </v>
      </c>
      <c r="AL484" t="str">
        <f>IF(AND(Audit_Data[[#This Row],[Recency]]&gt;=0,Audit_Data[[#This Row],[Recency]]&lt;=100),"Valid","Invalid")</f>
        <v>Valid</v>
      </c>
      <c r="AM484" t="str">
        <f t="shared" si="97"/>
        <v>Valid</v>
      </c>
      <c r="AN484" t="str">
        <f t="shared" si="98"/>
        <v>Valid</v>
      </c>
      <c r="AO484" t="str">
        <f t="shared" si="99"/>
        <v>Valid</v>
      </c>
      <c r="AP484" t="str">
        <f t="shared" si="100"/>
        <v>Valid</v>
      </c>
      <c r="AQ484" t="str">
        <f>IF(Audit_Data[[#This Row],[Z_CostContact]]=3,"Valid","Invalid")</f>
        <v>Valid</v>
      </c>
      <c r="AR484" t="str">
        <f t="shared" si="101"/>
        <v>Valid</v>
      </c>
      <c r="AS484" t="str">
        <f t="shared" si="102"/>
        <v>Valid</v>
      </c>
    </row>
    <row r="485" spans="1:45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 t="str">
        <f t="shared" si="91"/>
        <v>Ok</v>
      </c>
      <c r="AE485" t="str">
        <f>IF(AND(Audit_Data[[#This Row],[Year_Birth]]&gt;=1900,Audit_Data[[#This Row],[Year_Birth]]&lt;=2010),"OK","Invalid")</f>
        <v>OK</v>
      </c>
      <c r="AF485" t="str">
        <f t="shared" si="92"/>
        <v>Valid</v>
      </c>
      <c r="AG485" t="str">
        <f t="shared" si="93"/>
        <v>Valid</v>
      </c>
      <c r="AH485" t="str">
        <f t="shared" si="94"/>
        <v>Valid</v>
      </c>
      <c r="AI485" t="str">
        <f t="shared" si="95"/>
        <v>Valid</v>
      </c>
      <c r="AJ485" t="str">
        <f t="shared" si="96"/>
        <v>Valid</v>
      </c>
      <c r="AK485" t="str">
        <f t="shared" si="103"/>
        <v xml:space="preserve">Valid </v>
      </c>
      <c r="AL485" t="str">
        <f>IF(AND(Audit_Data[[#This Row],[Recency]]&gt;=0,Audit_Data[[#This Row],[Recency]]&lt;=100),"Valid","Invalid")</f>
        <v>Valid</v>
      </c>
      <c r="AM485" t="str">
        <f t="shared" si="97"/>
        <v>Valid</v>
      </c>
      <c r="AN485" t="str">
        <f t="shared" si="98"/>
        <v>Valid</v>
      </c>
      <c r="AO485" t="str">
        <f t="shared" si="99"/>
        <v>Valid</v>
      </c>
      <c r="AP485" t="str">
        <f t="shared" si="100"/>
        <v>Valid</v>
      </c>
      <c r="AQ485" t="str">
        <f>IF(Audit_Data[[#This Row],[Z_CostContact]]=3,"Valid","Invalid")</f>
        <v>Valid</v>
      </c>
      <c r="AR485" t="str">
        <f t="shared" si="101"/>
        <v>Valid</v>
      </c>
      <c r="AS485" t="str">
        <f t="shared" si="102"/>
        <v>Valid</v>
      </c>
    </row>
    <row r="486" spans="1:45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 t="str">
        <f t="shared" si="91"/>
        <v>Ok</v>
      </c>
      <c r="AE486" t="str">
        <f>IF(AND(Audit_Data[[#This Row],[Year_Birth]]&gt;=1900,Audit_Data[[#This Row],[Year_Birth]]&lt;=2010),"OK","Invalid")</f>
        <v>OK</v>
      </c>
      <c r="AF486" t="str">
        <f t="shared" si="92"/>
        <v>Valid</v>
      </c>
      <c r="AG486" t="str">
        <f t="shared" si="93"/>
        <v>Valid</v>
      </c>
      <c r="AH486" t="str">
        <f t="shared" si="94"/>
        <v>Valid</v>
      </c>
      <c r="AI486" t="str">
        <f t="shared" si="95"/>
        <v>Valid</v>
      </c>
      <c r="AJ486" t="str">
        <f t="shared" si="96"/>
        <v>Valid</v>
      </c>
      <c r="AK486" t="str">
        <f t="shared" si="103"/>
        <v xml:space="preserve">Valid </v>
      </c>
      <c r="AL486" t="str">
        <f>IF(AND(Audit_Data[[#This Row],[Recency]]&gt;=0,Audit_Data[[#This Row],[Recency]]&lt;=100),"Valid","Invalid")</f>
        <v>Valid</v>
      </c>
      <c r="AM486" t="str">
        <f t="shared" si="97"/>
        <v>Valid</v>
      </c>
      <c r="AN486" t="str">
        <f t="shared" si="98"/>
        <v>Valid</v>
      </c>
      <c r="AO486" t="str">
        <f t="shared" si="99"/>
        <v>Valid</v>
      </c>
      <c r="AP486" t="str">
        <f t="shared" si="100"/>
        <v>Valid</v>
      </c>
      <c r="AQ486" t="str">
        <f>IF(Audit_Data[[#This Row],[Z_CostContact]]=3,"Valid","Invalid")</f>
        <v>Valid</v>
      </c>
      <c r="AR486" t="str">
        <f t="shared" si="101"/>
        <v>Valid</v>
      </c>
      <c r="AS486" t="str">
        <f t="shared" si="102"/>
        <v>Valid</v>
      </c>
    </row>
    <row r="487" spans="1:45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 t="str">
        <f t="shared" si="91"/>
        <v>Ok</v>
      </c>
      <c r="AE487" t="str">
        <f>IF(AND(Audit_Data[[#This Row],[Year_Birth]]&gt;=1900,Audit_Data[[#This Row],[Year_Birth]]&lt;=2010),"OK","Invalid")</f>
        <v>OK</v>
      </c>
      <c r="AF487" t="str">
        <f t="shared" si="92"/>
        <v>Valid</v>
      </c>
      <c r="AG487" t="str">
        <f t="shared" si="93"/>
        <v>Valid</v>
      </c>
      <c r="AH487" t="str">
        <f t="shared" si="94"/>
        <v>Valid</v>
      </c>
      <c r="AI487" t="str">
        <f t="shared" si="95"/>
        <v>Valid</v>
      </c>
      <c r="AJ487" t="str">
        <f t="shared" si="96"/>
        <v>Valid</v>
      </c>
      <c r="AK487" t="str">
        <f t="shared" si="103"/>
        <v xml:space="preserve">Valid </v>
      </c>
      <c r="AL487" t="str">
        <f>IF(AND(Audit_Data[[#This Row],[Recency]]&gt;=0,Audit_Data[[#This Row],[Recency]]&lt;=100),"Valid","Invalid")</f>
        <v>Valid</v>
      </c>
      <c r="AM487" t="str">
        <f t="shared" si="97"/>
        <v>Valid</v>
      </c>
      <c r="AN487" t="str">
        <f t="shared" si="98"/>
        <v>Valid</v>
      </c>
      <c r="AO487" t="str">
        <f t="shared" si="99"/>
        <v>Valid</v>
      </c>
      <c r="AP487" t="str">
        <f t="shared" si="100"/>
        <v>Valid</v>
      </c>
      <c r="AQ487" t="str">
        <f>IF(Audit_Data[[#This Row],[Z_CostContact]]=3,"Valid","Invalid")</f>
        <v>Valid</v>
      </c>
      <c r="AR487" t="str">
        <f t="shared" si="101"/>
        <v>Valid</v>
      </c>
      <c r="AS487" t="str">
        <f t="shared" si="102"/>
        <v>Valid</v>
      </c>
    </row>
    <row r="488" spans="1:45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 t="str">
        <f t="shared" si="91"/>
        <v>Ok</v>
      </c>
      <c r="AE488" t="str">
        <f>IF(AND(Audit_Data[[#This Row],[Year_Birth]]&gt;=1900,Audit_Data[[#This Row],[Year_Birth]]&lt;=2010),"OK","Invalid")</f>
        <v>OK</v>
      </c>
      <c r="AF488" t="str">
        <f t="shared" si="92"/>
        <v>Valid</v>
      </c>
      <c r="AG488" t="str">
        <f t="shared" si="93"/>
        <v>Valid</v>
      </c>
      <c r="AH488" t="str">
        <f t="shared" si="94"/>
        <v>Valid</v>
      </c>
      <c r="AI488" t="str">
        <f t="shared" si="95"/>
        <v>Valid</v>
      </c>
      <c r="AJ488" t="str">
        <f t="shared" si="96"/>
        <v>Valid</v>
      </c>
      <c r="AK488" t="str">
        <f t="shared" si="103"/>
        <v xml:space="preserve">Valid </v>
      </c>
      <c r="AL488" t="str">
        <f>IF(AND(Audit_Data[[#This Row],[Recency]]&gt;=0,Audit_Data[[#This Row],[Recency]]&lt;=100),"Valid","Invalid")</f>
        <v>Valid</v>
      </c>
      <c r="AM488" t="str">
        <f t="shared" si="97"/>
        <v>Valid</v>
      </c>
      <c r="AN488" t="str">
        <f t="shared" si="98"/>
        <v>Valid</v>
      </c>
      <c r="AO488" t="str">
        <f t="shared" si="99"/>
        <v>Valid</v>
      </c>
      <c r="AP488" t="str">
        <f t="shared" si="100"/>
        <v>Valid</v>
      </c>
      <c r="AQ488" t="str">
        <f>IF(Audit_Data[[#This Row],[Z_CostContact]]=3,"Valid","Invalid")</f>
        <v>Valid</v>
      </c>
      <c r="AR488" t="str">
        <f t="shared" si="101"/>
        <v>Valid</v>
      </c>
      <c r="AS488" t="str">
        <f t="shared" si="102"/>
        <v>Valid</v>
      </c>
    </row>
    <row r="489" spans="1:45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 t="str">
        <f t="shared" si="91"/>
        <v>Ok</v>
      </c>
      <c r="AE489" t="str">
        <f>IF(AND(Audit_Data[[#This Row],[Year_Birth]]&gt;=1900,Audit_Data[[#This Row],[Year_Birth]]&lt;=2010),"OK","Invalid")</f>
        <v>OK</v>
      </c>
      <c r="AF489" t="str">
        <f t="shared" si="92"/>
        <v>Valid</v>
      </c>
      <c r="AG489" t="str">
        <f t="shared" si="93"/>
        <v>Valid</v>
      </c>
      <c r="AH489" t="str">
        <f t="shared" si="94"/>
        <v>Valid</v>
      </c>
      <c r="AI489" t="str">
        <f t="shared" si="95"/>
        <v>Valid</v>
      </c>
      <c r="AJ489" t="str">
        <f t="shared" si="96"/>
        <v>Valid</v>
      </c>
      <c r="AK489" t="str">
        <f t="shared" si="103"/>
        <v xml:space="preserve">Valid </v>
      </c>
      <c r="AL489" t="str">
        <f>IF(AND(Audit_Data[[#This Row],[Recency]]&gt;=0,Audit_Data[[#This Row],[Recency]]&lt;=100),"Valid","Invalid")</f>
        <v>Valid</v>
      </c>
      <c r="AM489" t="str">
        <f t="shared" si="97"/>
        <v>Valid</v>
      </c>
      <c r="AN489" t="str">
        <f t="shared" si="98"/>
        <v>Valid</v>
      </c>
      <c r="AO489" t="str">
        <f t="shared" si="99"/>
        <v>Valid</v>
      </c>
      <c r="AP489" t="str">
        <f t="shared" si="100"/>
        <v>Valid</v>
      </c>
      <c r="AQ489" t="str">
        <f>IF(Audit_Data[[#This Row],[Z_CostContact]]=3,"Valid","Invalid")</f>
        <v>Valid</v>
      </c>
      <c r="AR489" t="str">
        <f t="shared" si="101"/>
        <v>Valid</v>
      </c>
      <c r="AS489" t="str">
        <f t="shared" si="102"/>
        <v>Valid</v>
      </c>
    </row>
    <row r="490" spans="1:45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 t="str">
        <f t="shared" si="91"/>
        <v>Ok</v>
      </c>
      <c r="AE490" t="str">
        <f>IF(AND(Audit_Data[[#This Row],[Year_Birth]]&gt;=1900,Audit_Data[[#This Row],[Year_Birth]]&lt;=2010),"OK","Invalid")</f>
        <v>OK</v>
      </c>
      <c r="AF490" t="str">
        <f t="shared" si="92"/>
        <v>Valid</v>
      </c>
      <c r="AG490" t="str">
        <f t="shared" si="93"/>
        <v>Valid</v>
      </c>
      <c r="AH490" t="str">
        <f t="shared" si="94"/>
        <v>Valid</v>
      </c>
      <c r="AI490" t="str">
        <f t="shared" si="95"/>
        <v>Valid</v>
      </c>
      <c r="AJ490" t="str">
        <f t="shared" si="96"/>
        <v>Valid</v>
      </c>
      <c r="AK490" t="str">
        <f t="shared" si="103"/>
        <v xml:space="preserve">Valid </v>
      </c>
      <c r="AL490" t="str">
        <f>IF(AND(Audit_Data[[#This Row],[Recency]]&gt;=0,Audit_Data[[#This Row],[Recency]]&lt;=100),"Valid","Invalid")</f>
        <v>Valid</v>
      </c>
      <c r="AM490" t="str">
        <f t="shared" si="97"/>
        <v>Valid</v>
      </c>
      <c r="AN490" t="str">
        <f t="shared" si="98"/>
        <v>Valid</v>
      </c>
      <c r="AO490" t="str">
        <f t="shared" si="99"/>
        <v>Valid</v>
      </c>
      <c r="AP490" t="str">
        <f t="shared" si="100"/>
        <v>Valid</v>
      </c>
      <c r="AQ490" t="str">
        <f>IF(Audit_Data[[#This Row],[Z_CostContact]]=3,"Valid","Invalid")</f>
        <v>Valid</v>
      </c>
      <c r="AR490" t="str">
        <f t="shared" si="101"/>
        <v>Valid</v>
      </c>
      <c r="AS490" t="str">
        <f t="shared" si="102"/>
        <v>Valid</v>
      </c>
    </row>
    <row r="491" spans="1:45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 t="str">
        <f t="shared" si="91"/>
        <v>Ok</v>
      </c>
      <c r="AE491" t="str">
        <f>IF(AND(Audit_Data[[#This Row],[Year_Birth]]&gt;=1900,Audit_Data[[#This Row],[Year_Birth]]&lt;=2010),"OK","Invalid")</f>
        <v>OK</v>
      </c>
      <c r="AF491" t="str">
        <f t="shared" si="92"/>
        <v>Valid</v>
      </c>
      <c r="AG491" t="str">
        <f t="shared" si="93"/>
        <v>Valid</v>
      </c>
      <c r="AH491" t="str">
        <f t="shared" si="94"/>
        <v>Valid</v>
      </c>
      <c r="AI491" t="str">
        <f t="shared" si="95"/>
        <v>Valid</v>
      </c>
      <c r="AJ491" t="str">
        <f t="shared" si="96"/>
        <v>Valid</v>
      </c>
      <c r="AK491" t="str">
        <f t="shared" si="103"/>
        <v xml:space="preserve">Valid </v>
      </c>
      <c r="AL491" t="str">
        <f>IF(AND(Audit_Data[[#This Row],[Recency]]&gt;=0,Audit_Data[[#This Row],[Recency]]&lt;=100),"Valid","Invalid")</f>
        <v>Valid</v>
      </c>
      <c r="AM491" t="str">
        <f t="shared" si="97"/>
        <v>Valid</v>
      </c>
      <c r="AN491" t="str">
        <f t="shared" si="98"/>
        <v>Valid</v>
      </c>
      <c r="AO491" t="str">
        <f t="shared" si="99"/>
        <v>Valid</v>
      </c>
      <c r="AP491" t="str">
        <f t="shared" si="100"/>
        <v>Valid</v>
      </c>
      <c r="AQ491" t="str">
        <f>IF(Audit_Data[[#This Row],[Z_CostContact]]=3,"Valid","Invalid")</f>
        <v>Valid</v>
      </c>
      <c r="AR491" t="str">
        <f t="shared" si="101"/>
        <v>Valid</v>
      </c>
      <c r="AS491" t="str">
        <f t="shared" si="102"/>
        <v>Valid</v>
      </c>
    </row>
    <row r="492" spans="1:45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 t="str">
        <f t="shared" si="91"/>
        <v>Ok</v>
      </c>
      <c r="AE492" t="str">
        <f>IF(AND(Audit_Data[[#This Row],[Year_Birth]]&gt;=1900,Audit_Data[[#This Row],[Year_Birth]]&lt;=2010),"OK","Invalid")</f>
        <v>OK</v>
      </c>
      <c r="AF492" t="str">
        <f t="shared" si="92"/>
        <v>Valid</v>
      </c>
      <c r="AG492" t="str">
        <f t="shared" si="93"/>
        <v>Valid</v>
      </c>
      <c r="AH492" t="str">
        <f t="shared" si="94"/>
        <v>Valid</v>
      </c>
      <c r="AI492" t="str">
        <f t="shared" si="95"/>
        <v>Valid</v>
      </c>
      <c r="AJ492" t="str">
        <f t="shared" si="96"/>
        <v>Valid</v>
      </c>
      <c r="AK492" t="str">
        <f t="shared" si="103"/>
        <v xml:space="preserve">Valid </v>
      </c>
      <c r="AL492" t="str">
        <f>IF(AND(Audit_Data[[#This Row],[Recency]]&gt;=0,Audit_Data[[#This Row],[Recency]]&lt;=100),"Valid","Invalid")</f>
        <v>Valid</v>
      </c>
      <c r="AM492" t="str">
        <f t="shared" si="97"/>
        <v>Valid</v>
      </c>
      <c r="AN492" t="str">
        <f t="shared" si="98"/>
        <v>Valid</v>
      </c>
      <c r="AO492" t="str">
        <f t="shared" si="99"/>
        <v>Valid</v>
      </c>
      <c r="AP492" t="str">
        <f t="shared" si="100"/>
        <v>Valid</v>
      </c>
      <c r="AQ492" t="str">
        <f>IF(Audit_Data[[#This Row],[Z_CostContact]]=3,"Valid","Invalid")</f>
        <v>Valid</v>
      </c>
      <c r="AR492" t="str">
        <f t="shared" si="101"/>
        <v>Valid</v>
      </c>
      <c r="AS492" t="str">
        <f t="shared" si="102"/>
        <v>Valid</v>
      </c>
    </row>
    <row r="493" spans="1:45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 t="str">
        <f t="shared" si="91"/>
        <v>Ok</v>
      </c>
      <c r="AE493" t="str">
        <f>IF(AND(Audit_Data[[#This Row],[Year_Birth]]&gt;=1900,Audit_Data[[#This Row],[Year_Birth]]&lt;=2010),"OK","Invalid")</f>
        <v>OK</v>
      </c>
      <c r="AF493" t="str">
        <f t="shared" si="92"/>
        <v>Valid</v>
      </c>
      <c r="AG493" t="str">
        <f t="shared" si="93"/>
        <v>Valid</v>
      </c>
      <c r="AH493" t="str">
        <f t="shared" si="94"/>
        <v>Valid</v>
      </c>
      <c r="AI493" t="str">
        <f t="shared" si="95"/>
        <v>Valid</v>
      </c>
      <c r="AJ493" t="str">
        <f t="shared" si="96"/>
        <v>Valid</v>
      </c>
      <c r="AK493" t="str">
        <f t="shared" si="103"/>
        <v xml:space="preserve">Valid </v>
      </c>
      <c r="AL493" t="str">
        <f>IF(AND(Audit_Data[[#This Row],[Recency]]&gt;=0,Audit_Data[[#This Row],[Recency]]&lt;=100),"Valid","Invalid")</f>
        <v>Valid</v>
      </c>
      <c r="AM493" t="str">
        <f t="shared" si="97"/>
        <v>Valid</v>
      </c>
      <c r="AN493" t="str">
        <f t="shared" si="98"/>
        <v>Valid</v>
      </c>
      <c r="AO493" t="str">
        <f t="shared" si="99"/>
        <v>Valid</v>
      </c>
      <c r="AP493" t="str">
        <f t="shared" si="100"/>
        <v>Valid</v>
      </c>
      <c r="AQ493" t="str">
        <f>IF(Audit_Data[[#This Row],[Z_CostContact]]=3,"Valid","Invalid")</f>
        <v>Valid</v>
      </c>
      <c r="AR493" t="str">
        <f t="shared" si="101"/>
        <v>Valid</v>
      </c>
      <c r="AS493" t="str">
        <f t="shared" si="102"/>
        <v>Valid</v>
      </c>
    </row>
    <row r="494" spans="1:45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 t="str">
        <f t="shared" si="91"/>
        <v>Ok</v>
      </c>
      <c r="AE494" t="str">
        <f>IF(AND(Audit_Data[[#This Row],[Year_Birth]]&gt;=1900,Audit_Data[[#This Row],[Year_Birth]]&lt;=2010),"OK","Invalid")</f>
        <v>OK</v>
      </c>
      <c r="AF494" t="str">
        <f t="shared" si="92"/>
        <v>Valid</v>
      </c>
      <c r="AG494" t="str">
        <f t="shared" si="93"/>
        <v>Valid</v>
      </c>
      <c r="AH494" t="str">
        <f t="shared" si="94"/>
        <v>Valid</v>
      </c>
      <c r="AI494" t="str">
        <f t="shared" si="95"/>
        <v>Valid</v>
      </c>
      <c r="AJ494" t="str">
        <f t="shared" si="96"/>
        <v>Valid</v>
      </c>
      <c r="AK494" t="str">
        <f t="shared" si="103"/>
        <v xml:space="preserve">Valid </v>
      </c>
      <c r="AL494" t="str">
        <f>IF(AND(Audit_Data[[#This Row],[Recency]]&gt;=0,Audit_Data[[#This Row],[Recency]]&lt;=100),"Valid","Invalid")</f>
        <v>Valid</v>
      </c>
      <c r="AM494" t="str">
        <f t="shared" si="97"/>
        <v>Valid</v>
      </c>
      <c r="AN494" t="str">
        <f t="shared" si="98"/>
        <v>Valid</v>
      </c>
      <c r="AO494" t="str">
        <f t="shared" si="99"/>
        <v>Valid</v>
      </c>
      <c r="AP494" t="str">
        <f t="shared" si="100"/>
        <v>Valid</v>
      </c>
      <c r="AQ494" t="str">
        <f>IF(Audit_Data[[#This Row],[Z_CostContact]]=3,"Valid","Invalid")</f>
        <v>Valid</v>
      </c>
      <c r="AR494" t="str">
        <f t="shared" si="101"/>
        <v>Valid</v>
      </c>
      <c r="AS494" t="str">
        <f t="shared" si="102"/>
        <v>Valid</v>
      </c>
    </row>
    <row r="495" spans="1:45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 t="str">
        <f t="shared" si="91"/>
        <v>Ok</v>
      </c>
      <c r="AE495" t="str">
        <f>IF(AND(Audit_Data[[#This Row],[Year_Birth]]&gt;=1900,Audit_Data[[#This Row],[Year_Birth]]&lt;=2010),"OK","Invalid")</f>
        <v>OK</v>
      </c>
      <c r="AF495" t="str">
        <f t="shared" si="92"/>
        <v>Valid</v>
      </c>
      <c r="AG495" t="str">
        <f t="shared" si="93"/>
        <v>Valid</v>
      </c>
      <c r="AH495" t="str">
        <f t="shared" si="94"/>
        <v>Valid</v>
      </c>
      <c r="AI495" t="str">
        <f t="shared" si="95"/>
        <v>Valid</v>
      </c>
      <c r="AJ495" t="str">
        <f t="shared" si="96"/>
        <v>Valid</v>
      </c>
      <c r="AK495" t="str">
        <f t="shared" si="103"/>
        <v xml:space="preserve">Valid </v>
      </c>
      <c r="AL495" t="str">
        <f>IF(AND(Audit_Data[[#This Row],[Recency]]&gt;=0,Audit_Data[[#This Row],[Recency]]&lt;=100),"Valid","Invalid")</f>
        <v>Valid</v>
      </c>
      <c r="AM495" t="str">
        <f t="shared" si="97"/>
        <v>Valid</v>
      </c>
      <c r="AN495" t="str">
        <f t="shared" si="98"/>
        <v>Valid</v>
      </c>
      <c r="AO495" t="str">
        <f t="shared" si="99"/>
        <v>Valid</v>
      </c>
      <c r="AP495" t="str">
        <f t="shared" si="100"/>
        <v>Valid</v>
      </c>
      <c r="AQ495" t="str">
        <f>IF(Audit_Data[[#This Row],[Z_CostContact]]=3,"Valid","Invalid")</f>
        <v>Valid</v>
      </c>
      <c r="AR495" t="str">
        <f t="shared" si="101"/>
        <v>Valid</v>
      </c>
      <c r="AS495" t="str">
        <f t="shared" si="102"/>
        <v>Valid</v>
      </c>
    </row>
    <row r="496" spans="1:45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 t="str">
        <f t="shared" si="91"/>
        <v>Ok</v>
      </c>
      <c r="AE496" t="str">
        <f>IF(AND(Audit_Data[[#This Row],[Year_Birth]]&gt;=1900,Audit_Data[[#This Row],[Year_Birth]]&lt;=2010),"OK","Invalid")</f>
        <v>OK</v>
      </c>
      <c r="AF496" t="str">
        <f t="shared" si="92"/>
        <v>Valid</v>
      </c>
      <c r="AG496" t="str">
        <f t="shared" si="93"/>
        <v>Valid</v>
      </c>
      <c r="AH496" t="str">
        <f t="shared" si="94"/>
        <v>Valid</v>
      </c>
      <c r="AI496" t="str">
        <f t="shared" si="95"/>
        <v>Valid</v>
      </c>
      <c r="AJ496" t="str">
        <f t="shared" si="96"/>
        <v>Valid</v>
      </c>
      <c r="AK496" t="str">
        <f t="shared" si="103"/>
        <v xml:space="preserve">Valid </v>
      </c>
      <c r="AL496" t="str">
        <f>IF(AND(Audit_Data[[#This Row],[Recency]]&gt;=0,Audit_Data[[#This Row],[Recency]]&lt;=100),"Valid","Invalid")</f>
        <v>Valid</v>
      </c>
      <c r="AM496" t="str">
        <f t="shared" si="97"/>
        <v>Valid</v>
      </c>
      <c r="AN496" t="str">
        <f t="shared" si="98"/>
        <v>Valid</v>
      </c>
      <c r="AO496" t="str">
        <f t="shared" si="99"/>
        <v>Valid</v>
      </c>
      <c r="AP496" t="str">
        <f t="shared" si="100"/>
        <v>Valid</v>
      </c>
      <c r="AQ496" t="str">
        <f>IF(Audit_Data[[#This Row],[Z_CostContact]]=3,"Valid","Invalid")</f>
        <v>Valid</v>
      </c>
      <c r="AR496" t="str">
        <f t="shared" si="101"/>
        <v>Valid</v>
      </c>
      <c r="AS496" t="str">
        <f t="shared" si="102"/>
        <v>Valid</v>
      </c>
    </row>
    <row r="497" spans="1:45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 t="str">
        <f t="shared" si="91"/>
        <v>Ok</v>
      </c>
      <c r="AE497" t="str">
        <f>IF(AND(Audit_Data[[#This Row],[Year_Birth]]&gt;=1900,Audit_Data[[#This Row],[Year_Birth]]&lt;=2010),"OK","Invalid")</f>
        <v>OK</v>
      </c>
      <c r="AF497" t="str">
        <f t="shared" si="92"/>
        <v>Valid</v>
      </c>
      <c r="AG497" t="str">
        <f t="shared" si="93"/>
        <v>Valid</v>
      </c>
      <c r="AH497" t="str">
        <f t="shared" si="94"/>
        <v>Valid</v>
      </c>
      <c r="AI497" t="str">
        <f t="shared" si="95"/>
        <v>Valid</v>
      </c>
      <c r="AJ497" t="str">
        <f t="shared" si="96"/>
        <v>Valid</v>
      </c>
      <c r="AK497" t="str">
        <f t="shared" si="103"/>
        <v xml:space="preserve">Valid </v>
      </c>
      <c r="AL497" t="str">
        <f>IF(AND(Audit_Data[[#This Row],[Recency]]&gt;=0,Audit_Data[[#This Row],[Recency]]&lt;=100),"Valid","Invalid")</f>
        <v>Valid</v>
      </c>
      <c r="AM497" t="str">
        <f t="shared" si="97"/>
        <v>Valid</v>
      </c>
      <c r="AN497" t="str">
        <f t="shared" si="98"/>
        <v>Valid</v>
      </c>
      <c r="AO497" t="str">
        <f t="shared" si="99"/>
        <v>Valid</v>
      </c>
      <c r="AP497" t="str">
        <f t="shared" si="100"/>
        <v>Valid</v>
      </c>
      <c r="AQ497" t="str">
        <f>IF(Audit_Data[[#This Row],[Z_CostContact]]=3,"Valid","Invalid")</f>
        <v>Valid</v>
      </c>
      <c r="AR497" t="str">
        <f t="shared" si="101"/>
        <v>Valid</v>
      </c>
      <c r="AS497" t="str">
        <f t="shared" si="102"/>
        <v>Valid</v>
      </c>
    </row>
    <row r="498" spans="1:45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 t="str">
        <f t="shared" si="91"/>
        <v>Ok</v>
      </c>
      <c r="AE498" t="str">
        <f>IF(AND(Audit_Data[[#This Row],[Year_Birth]]&gt;=1900,Audit_Data[[#This Row],[Year_Birth]]&lt;=2010),"OK","Invalid")</f>
        <v>OK</v>
      </c>
      <c r="AF498" t="str">
        <f t="shared" si="92"/>
        <v>Valid</v>
      </c>
      <c r="AG498" t="str">
        <f t="shared" si="93"/>
        <v>Valid</v>
      </c>
      <c r="AH498" t="str">
        <f t="shared" si="94"/>
        <v>Valid</v>
      </c>
      <c r="AI498" t="str">
        <f t="shared" si="95"/>
        <v>Valid</v>
      </c>
      <c r="AJ498" t="str">
        <f t="shared" si="96"/>
        <v>Valid</v>
      </c>
      <c r="AK498" t="str">
        <f t="shared" si="103"/>
        <v xml:space="preserve">Valid </v>
      </c>
      <c r="AL498" t="str">
        <f>IF(AND(Audit_Data[[#This Row],[Recency]]&gt;=0,Audit_Data[[#This Row],[Recency]]&lt;=100),"Valid","Invalid")</f>
        <v>Valid</v>
      </c>
      <c r="AM498" t="str">
        <f t="shared" si="97"/>
        <v>Valid</v>
      </c>
      <c r="AN498" t="str">
        <f t="shared" si="98"/>
        <v>Valid</v>
      </c>
      <c r="AO498" t="str">
        <f t="shared" si="99"/>
        <v>Valid</v>
      </c>
      <c r="AP498" t="str">
        <f t="shared" si="100"/>
        <v>Valid</v>
      </c>
      <c r="AQ498" t="str">
        <f>IF(Audit_Data[[#This Row],[Z_CostContact]]=3,"Valid","Invalid")</f>
        <v>Valid</v>
      </c>
      <c r="AR498" t="str">
        <f t="shared" si="101"/>
        <v>Valid</v>
      </c>
      <c r="AS498" t="str">
        <f t="shared" si="102"/>
        <v>Valid</v>
      </c>
    </row>
    <row r="499" spans="1:45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 t="str">
        <f t="shared" si="91"/>
        <v>Ok</v>
      </c>
      <c r="AE499" t="str">
        <f>IF(AND(Audit_Data[[#This Row],[Year_Birth]]&gt;=1900,Audit_Data[[#This Row],[Year_Birth]]&lt;=2010),"OK","Invalid")</f>
        <v>OK</v>
      </c>
      <c r="AF499" t="str">
        <f t="shared" si="92"/>
        <v>Valid</v>
      </c>
      <c r="AG499" t="str">
        <f t="shared" si="93"/>
        <v>Valid</v>
      </c>
      <c r="AH499" t="str">
        <f t="shared" si="94"/>
        <v>Valid</v>
      </c>
      <c r="AI499" t="str">
        <f t="shared" si="95"/>
        <v>Valid</v>
      </c>
      <c r="AJ499" t="str">
        <f t="shared" si="96"/>
        <v>Valid</v>
      </c>
      <c r="AK499" t="str">
        <f t="shared" si="103"/>
        <v xml:space="preserve">Valid </v>
      </c>
      <c r="AL499" t="str">
        <f>IF(AND(Audit_Data[[#This Row],[Recency]]&gt;=0,Audit_Data[[#This Row],[Recency]]&lt;=100),"Valid","Invalid")</f>
        <v>Valid</v>
      </c>
      <c r="AM499" t="str">
        <f t="shared" si="97"/>
        <v>Valid</v>
      </c>
      <c r="AN499" t="str">
        <f t="shared" si="98"/>
        <v>Valid</v>
      </c>
      <c r="AO499" t="str">
        <f t="shared" si="99"/>
        <v>Valid</v>
      </c>
      <c r="AP499" t="str">
        <f t="shared" si="100"/>
        <v>Valid</v>
      </c>
      <c r="AQ499" t="str">
        <f>IF(Audit_Data[[#This Row],[Z_CostContact]]=3,"Valid","Invalid")</f>
        <v>Valid</v>
      </c>
      <c r="AR499" t="str">
        <f t="shared" si="101"/>
        <v>Valid</v>
      </c>
      <c r="AS499" t="str">
        <f t="shared" si="102"/>
        <v>Valid</v>
      </c>
    </row>
    <row r="500" spans="1:45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 t="str">
        <f t="shared" si="91"/>
        <v>Ok</v>
      </c>
      <c r="AE500" t="str">
        <f>IF(AND(Audit_Data[[#This Row],[Year_Birth]]&gt;=1900,Audit_Data[[#This Row],[Year_Birth]]&lt;=2010),"OK","Invalid")</f>
        <v>OK</v>
      </c>
      <c r="AF500" t="str">
        <f t="shared" si="92"/>
        <v>Valid</v>
      </c>
      <c r="AG500" t="str">
        <f t="shared" si="93"/>
        <v>Valid</v>
      </c>
      <c r="AH500" t="str">
        <f t="shared" si="94"/>
        <v>Valid</v>
      </c>
      <c r="AI500" t="str">
        <f t="shared" si="95"/>
        <v>Valid</v>
      </c>
      <c r="AJ500" t="str">
        <f t="shared" si="96"/>
        <v>Valid</v>
      </c>
      <c r="AK500" t="str">
        <f t="shared" si="103"/>
        <v xml:space="preserve">Valid </v>
      </c>
      <c r="AL500" t="str">
        <f>IF(AND(Audit_Data[[#This Row],[Recency]]&gt;=0,Audit_Data[[#This Row],[Recency]]&lt;=100),"Valid","Invalid")</f>
        <v>Valid</v>
      </c>
      <c r="AM500" t="str">
        <f t="shared" si="97"/>
        <v>Valid</v>
      </c>
      <c r="AN500" t="str">
        <f t="shared" si="98"/>
        <v>Valid</v>
      </c>
      <c r="AO500" t="str">
        <f t="shared" si="99"/>
        <v>Valid</v>
      </c>
      <c r="AP500" t="str">
        <f t="shared" si="100"/>
        <v>Valid</v>
      </c>
      <c r="AQ500" t="str">
        <f>IF(Audit_Data[[#This Row],[Z_CostContact]]=3,"Valid","Invalid")</f>
        <v>Valid</v>
      </c>
      <c r="AR500" t="str">
        <f t="shared" si="101"/>
        <v>Valid</v>
      </c>
      <c r="AS500" t="str">
        <f t="shared" si="102"/>
        <v>Valid</v>
      </c>
    </row>
    <row r="501" spans="1:45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 t="str">
        <f t="shared" si="91"/>
        <v>Ok</v>
      </c>
      <c r="AE501" t="str">
        <f>IF(AND(Audit_Data[[#This Row],[Year_Birth]]&gt;=1900,Audit_Data[[#This Row],[Year_Birth]]&lt;=2010),"OK","Invalid")</f>
        <v>OK</v>
      </c>
      <c r="AF501" t="str">
        <f t="shared" si="92"/>
        <v>Valid</v>
      </c>
      <c r="AG501" t="str">
        <f t="shared" si="93"/>
        <v>Valid</v>
      </c>
      <c r="AH501" t="str">
        <f t="shared" si="94"/>
        <v>Valid</v>
      </c>
      <c r="AI501" t="str">
        <f t="shared" si="95"/>
        <v>Valid</v>
      </c>
      <c r="AJ501" t="str">
        <f t="shared" si="96"/>
        <v>Valid</v>
      </c>
      <c r="AK501" t="str">
        <f t="shared" si="103"/>
        <v xml:space="preserve">Valid </v>
      </c>
      <c r="AL501" t="str">
        <f>IF(AND(Audit_Data[[#This Row],[Recency]]&gt;=0,Audit_Data[[#This Row],[Recency]]&lt;=100),"Valid","Invalid")</f>
        <v>Valid</v>
      </c>
      <c r="AM501" t="str">
        <f t="shared" si="97"/>
        <v>Valid</v>
      </c>
      <c r="AN501" t="str">
        <f t="shared" si="98"/>
        <v>Valid</v>
      </c>
      <c r="AO501" t="str">
        <f t="shared" si="99"/>
        <v>Valid</v>
      </c>
      <c r="AP501" t="str">
        <f t="shared" si="100"/>
        <v>Valid</v>
      </c>
      <c r="AQ501" t="str">
        <f>IF(Audit_Data[[#This Row],[Z_CostContact]]=3,"Valid","Invalid")</f>
        <v>Valid</v>
      </c>
      <c r="AR501" t="str">
        <f t="shared" si="101"/>
        <v>Valid</v>
      </c>
      <c r="AS501" t="str">
        <f t="shared" si="102"/>
        <v>Valid</v>
      </c>
    </row>
    <row r="502" spans="1:45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 t="str">
        <f t="shared" si="91"/>
        <v>Ok</v>
      </c>
      <c r="AE502" t="str">
        <f>IF(AND(Audit_Data[[#This Row],[Year_Birth]]&gt;=1900,Audit_Data[[#This Row],[Year_Birth]]&lt;=2010),"OK","Invalid")</f>
        <v>OK</v>
      </c>
      <c r="AF502" t="str">
        <f t="shared" si="92"/>
        <v>Valid</v>
      </c>
      <c r="AG502" t="str">
        <f t="shared" si="93"/>
        <v>Valid</v>
      </c>
      <c r="AH502" t="str">
        <f t="shared" si="94"/>
        <v>Valid</v>
      </c>
      <c r="AI502" t="str">
        <f t="shared" si="95"/>
        <v>Valid</v>
      </c>
      <c r="AJ502" t="str">
        <f t="shared" si="96"/>
        <v>Valid</v>
      </c>
      <c r="AK502" t="str">
        <f t="shared" si="103"/>
        <v xml:space="preserve">Valid </v>
      </c>
      <c r="AL502" t="str">
        <f>IF(AND(Audit_Data[[#This Row],[Recency]]&gt;=0,Audit_Data[[#This Row],[Recency]]&lt;=100),"Valid","Invalid")</f>
        <v>Valid</v>
      </c>
      <c r="AM502" t="str">
        <f t="shared" si="97"/>
        <v>Valid</v>
      </c>
      <c r="AN502" t="str">
        <f t="shared" si="98"/>
        <v>Valid</v>
      </c>
      <c r="AO502" t="str">
        <f t="shared" si="99"/>
        <v>Valid</v>
      </c>
      <c r="AP502" t="str">
        <f t="shared" si="100"/>
        <v>Valid</v>
      </c>
      <c r="AQ502" t="str">
        <f>IF(Audit_Data[[#This Row],[Z_CostContact]]=3,"Valid","Invalid")</f>
        <v>Valid</v>
      </c>
      <c r="AR502" t="str">
        <f t="shared" si="101"/>
        <v>Valid</v>
      </c>
      <c r="AS502" t="str">
        <f t="shared" si="102"/>
        <v>Valid</v>
      </c>
    </row>
    <row r="503" spans="1:45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 t="str">
        <f t="shared" si="91"/>
        <v>Ok</v>
      </c>
      <c r="AE503" t="str">
        <f>IF(AND(Audit_Data[[#This Row],[Year_Birth]]&gt;=1900,Audit_Data[[#This Row],[Year_Birth]]&lt;=2010),"OK","Invalid")</f>
        <v>OK</v>
      </c>
      <c r="AF503" t="str">
        <f t="shared" si="92"/>
        <v>Valid</v>
      </c>
      <c r="AG503" t="str">
        <f t="shared" si="93"/>
        <v>Valid</v>
      </c>
      <c r="AH503" t="str">
        <f t="shared" si="94"/>
        <v>Valid</v>
      </c>
      <c r="AI503" t="str">
        <f t="shared" si="95"/>
        <v>Valid</v>
      </c>
      <c r="AJ503" t="str">
        <f t="shared" si="96"/>
        <v>Valid</v>
      </c>
      <c r="AK503" t="str">
        <f t="shared" si="103"/>
        <v xml:space="preserve">Valid </v>
      </c>
      <c r="AL503" t="str">
        <f>IF(AND(Audit_Data[[#This Row],[Recency]]&gt;=0,Audit_Data[[#This Row],[Recency]]&lt;=100),"Valid","Invalid")</f>
        <v>Valid</v>
      </c>
      <c r="AM503" t="str">
        <f t="shared" si="97"/>
        <v>Valid</v>
      </c>
      <c r="AN503" t="str">
        <f t="shared" si="98"/>
        <v>Valid</v>
      </c>
      <c r="AO503" t="str">
        <f t="shared" si="99"/>
        <v>Valid</v>
      </c>
      <c r="AP503" t="str">
        <f t="shared" si="100"/>
        <v>Valid</v>
      </c>
      <c r="AQ503" t="str">
        <f>IF(Audit_Data[[#This Row],[Z_CostContact]]=3,"Valid","Invalid")</f>
        <v>Valid</v>
      </c>
      <c r="AR503" t="str">
        <f t="shared" si="101"/>
        <v>Valid</v>
      </c>
      <c r="AS503" t="str">
        <f t="shared" si="102"/>
        <v>Valid</v>
      </c>
    </row>
    <row r="504" spans="1:45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 t="str">
        <f t="shared" si="91"/>
        <v>Ok</v>
      </c>
      <c r="AE504" t="str">
        <f>IF(AND(Audit_Data[[#This Row],[Year_Birth]]&gt;=1900,Audit_Data[[#This Row],[Year_Birth]]&lt;=2010),"OK","Invalid")</f>
        <v>OK</v>
      </c>
      <c r="AF504" t="str">
        <f t="shared" si="92"/>
        <v>Valid</v>
      </c>
      <c r="AG504" t="str">
        <f t="shared" si="93"/>
        <v>Valid</v>
      </c>
      <c r="AH504" t="str">
        <f t="shared" si="94"/>
        <v>Valid</v>
      </c>
      <c r="AI504" t="str">
        <f t="shared" si="95"/>
        <v>Valid</v>
      </c>
      <c r="AJ504" t="str">
        <f t="shared" si="96"/>
        <v>Valid</v>
      </c>
      <c r="AK504" t="str">
        <f t="shared" si="103"/>
        <v xml:space="preserve">Valid </v>
      </c>
      <c r="AL504" t="str">
        <f>IF(AND(Audit_Data[[#This Row],[Recency]]&gt;=0,Audit_Data[[#This Row],[Recency]]&lt;=100),"Valid","Invalid")</f>
        <v>Valid</v>
      </c>
      <c r="AM504" t="str">
        <f t="shared" si="97"/>
        <v>Valid</v>
      </c>
      <c r="AN504" t="str">
        <f t="shared" si="98"/>
        <v>Valid</v>
      </c>
      <c r="AO504" t="str">
        <f t="shared" si="99"/>
        <v>Valid</v>
      </c>
      <c r="AP504" t="str">
        <f t="shared" si="100"/>
        <v>Valid</v>
      </c>
      <c r="AQ504" t="str">
        <f>IF(Audit_Data[[#This Row],[Z_CostContact]]=3,"Valid","Invalid")</f>
        <v>Valid</v>
      </c>
      <c r="AR504" t="str">
        <f t="shared" si="101"/>
        <v>Valid</v>
      </c>
      <c r="AS504" t="str">
        <f t="shared" si="102"/>
        <v>Valid</v>
      </c>
    </row>
    <row r="505" spans="1:45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 t="str">
        <f t="shared" si="91"/>
        <v>Ok</v>
      </c>
      <c r="AE505" t="str">
        <f>IF(AND(Audit_Data[[#This Row],[Year_Birth]]&gt;=1900,Audit_Data[[#This Row],[Year_Birth]]&lt;=2010),"OK","Invalid")</f>
        <v>OK</v>
      </c>
      <c r="AF505" t="str">
        <f t="shared" si="92"/>
        <v>Valid</v>
      </c>
      <c r="AG505" t="str">
        <f t="shared" si="93"/>
        <v>Valid</v>
      </c>
      <c r="AH505" t="str">
        <f t="shared" si="94"/>
        <v>Valid</v>
      </c>
      <c r="AI505" t="str">
        <f t="shared" si="95"/>
        <v>Valid</v>
      </c>
      <c r="AJ505" t="str">
        <f t="shared" si="96"/>
        <v>Valid</v>
      </c>
      <c r="AK505" t="str">
        <f t="shared" si="103"/>
        <v xml:space="preserve">Valid </v>
      </c>
      <c r="AL505" t="str">
        <f>IF(AND(Audit_Data[[#This Row],[Recency]]&gt;=0,Audit_Data[[#This Row],[Recency]]&lt;=100),"Valid","Invalid")</f>
        <v>Valid</v>
      </c>
      <c r="AM505" t="str">
        <f t="shared" si="97"/>
        <v>Valid</v>
      </c>
      <c r="AN505" t="str">
        <f t="shared" si="98"/>
        <v>Valid</v>
      </c>
      <c r="AO505" t="str">
        <f t="shared" si="99"/>
        <v>Valid</v>
      </c>
      <c r="AP505" t="str">
        <f t="shared" si="100"/>
        <v>Valid</v>
      </c>
      <c r="AQ505" t="str">
        <f>IF(Audit_Data[[#This Row],[Z_CostContact]]=3,"Valid","Invalid")</f>
        <v>Valid</v>
      </c>
      <c r="AR505" t="str">
        <f t="shared" si="101"/>
        <v>Valid</v>
      </c>
      <c r="AS505" t="str">
        <f t="shared" si="102"/>
        <v>Valid</v>
      </c>
    </row>
    <row r="506" spans="1:45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 t="str">
        <f t="shared" si="91"/>
        <v>Ok</v>
      </c>
      <c r="AE506" t="str">
        <f>IF(AND(Audit_Data[[#This Row],[Year_Birth]]&gt;=1900,Audit_Data[[#This Row],[Year_Birth]]&lt;=2010),"OK","Invalid")</f>
        <v>OK</v>
      </c>
      <c r="AF506" t="str">
        <f t="shared" si="92"/>
        <v>Valid</v>
      </c>
      <c r="AG506" t="str">
        <f t="shared" si="93"/>
        <v>Valid</v>
      </c>
      <c r="AH506" t="str">
        <f t="shared" si="94"/>
        <v>Valid</v>
      </c>
      <c r="AI506" t="str">
        <f t="shared" si="95"/>
        <v>Valid</v>
      </c>
      <c r="AJ506" t="str">
        <f t="shared" si="96"/>
        <v>Valid</v>
      </c>
      <c r="AK506" t="str">
        <f t="shared" si="103"/>
        <v xml:space="preserve">Valid </v>
      </c>
      <c r="AL506" t="str">
        <f>IF(AND(Audit_Data[[#This Row],[Recency]]&gt;=0,Audit_Data[[#This Row],[Recency]]&lt;=100),"Valid","Invalid")</f>
        <v>Valid</v>
      </c>
      <c r="AM506" t="str">
        <f t="shared" si="97"/>
        <v>Valid</v>
      </c>
      <c r="AN506" t="str">
        <f t="shared" si="98"/>
        <v>Valid</v>
      </c>
      <c r="AO506" t="str">
        <f t="shared" si="99"/>
        <v>Valid</v>
      </c>
      <c r="AP506" t="str">
        <f t="shared" si="100"/>
        <v>Valid</v>
      </c>
      <c r="AQ506" t="str">
        <f>IF(Audit_Data[[#This Row],[Z_CostContact]]=3,"Valid","Invalid")</f>
        <v>Valid</v>
      </c>
      <c r="AR506" t="str">
        <f t="shared" si="101"/>
        <v>Valid</v>
      </c>
      <c r="AS506" t="str">
        <f t="shared" si="102"/>
        <v>Valid</v>
      </c>
    </row>
    <row r="507" spans="1:45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 t="str">
        <f t="shared" si="91"/>
        <v>Ok</v>
      </c>
      <c r="AE507" t="str">
        <f>IF(AND(Audit_Data[[#This Row],[Year_Birth]]&gt;=1900,Audit_Data[[#This Row],[Year_Birth]]&lt;=2010),"OK","Invalid")</f>
        <v>OK</v>
      </c>
      <c r="AF507" t="str">
        <f t="shared" si="92"/>
        <v>Valid</v>
      </c>
      <c r="AG507" t="str">
        <f t="shared" si="93"/>
        <v>Valid</v>
      </c>
      <c r="AH507" t="str">
        <f t="shared" si="94"/>
        <v>Valid</v>
      </c>
      <c r="AI507" t="str">
        <f t="shared" si="95"/>
        <v>Valid</v>
      </c>
      <c r="AJ507" t="str">
        <f t="shared" si="96"/>
        <v>Valid</v>
      </c>
      <c r="AK507" t="str">
        <f t="shared" si="103"/>
        <v xml:space="preserve">Valid </v>
      </c>
      <c r="AL507" t="str">
        <f>IF(AND(Audit_Data[[#This Row],[Recency]]&gt;=0,Audit_Data[[#This Row],[Recency]]&lt;=100),"Valid","Invalid")</f>
        <v>Valid</v>
      </c>
      <c r="AM507" t="str">
        <f t="shared" si="97"/>
        <v>Valid</v>
      </c>
      <c r="AN507" t="str">
        <f t="shared" si="98"/>
        <v>Valid</v>
      </c>
      <c r="AO507" t="str">
        <f t="shared" si="99"/>
        <v>Valid</v>
      </c>
      <c r="AP507" t="str">
        <f t="shared" si="100"/>
        <v>Valid</v>
      </c>
      <c r="AQ507" t="str">
        <f>IF(Audit_Data[[#This Row],[Z_CostContact]]=3,"Valid","Invalid")</f>
        <v>Valid</v>
      </c>
      <c r="AR507" t="str">
        <f t="shared" si="101"/>
        <v>Valid</v>
      </c>
      <c r="AS507" t="str">
        <f t="shared" si="102"/>
        <v>Valid</v>
      </c>
    </row>
    <row r="508" spans="1:45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 t="str">
        <f t="shared" si="91"/>
        <v>Ok</v>
      </c>
      <c r="AE508" t="str">
        <f>IF(AND(Audit_Data[[#This Row],[Year_Birth]]&gt;=1900,Audit_Data[[#This Row],[Year_Birth]]&lt;=2010),"OK","Invalid")</f>
        <v>OK</v>
      </c>
      <c r="AF508" t="str">
        <f t="shared" si="92"/>
        <v>Valid</v>
      </c>
      <c r="AG508" t="str">
        <f t="shared" si="93"/>
        <v>Valid</v>
      </c>
      <c r="AH508" t="str">
        <f t="shared" si="94"/>
        <v>Valid</v>
      </c>
      <c r="AI508" t="str">
        <f t="shared" si="95"/>
        <v>Valid</v>
      </c>
      <c r="AJ508" t="str">
        <f t="shared" si="96"/>
        <v>Valid</v>
      </c>
      <c r="AK508" t="str">
        <f t="shared" si="103"/>
        <v xml:space="preserve">Valid </v>
      </c>
      <c r="AL508" t="str">
        <f>IF(AND(Audit_Data[[#This Row],[Recency]]&gt;=0,Audit_Data[[#This Row],[Recency]]&lt;=100),"Valid","Invalid")</f>
        <v>Valid</v>
      </c>
      <c r="AM508" t="str">
        <f t="shared" si="97"/>
        <v>Valid</v>
      </c>
      <c r="AN508" t="str">
        <f t="shared" si="98"/>
        <v>Valid</v>
      </c>
      <c r="AO508" t="str">
        <f t="shared" si="99"/>
        <v>Valid</v>
      </c>
      <c r="AP508" t="str">
        <f t="shared" si="100"/>
        <v>Valid</v>
      </c>
      <c r="AQ508" t="str">
        <f>IF(Audit_Data[[#This Row],[Z_CostContact]]=3,"Valid","Invalid")</f>
        <v>Valid</v>
      </c>
      <c r="AR508" t="str">
        <f t="shared" si="101"/>
        <v>Valid</v>
      </c>
      <c r="AS508" t="str">
        <f t="shared" si="102"/>
        <v>Valid</v>
      </c>
    </row>
    <row r="509" spans="1:45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 t="str">
        <f t="shared" si="91"/>
        <v>Ok</v>
      </c>
      <c r="AE509" t="str">
        <f>IF(AND(Audit_Data[[#This Row],[Year_Birth]]&gt;=1900,Audit_Data[[#This Row],[Year_Birth]]&lt;=2010),"OK","Invalid")</f>
        <v>OK</v>
      </c>
      <c r="AF509" t="str">
        <f t="shared" si="92"/>
        <v>Valid</v>
      </c>
      <c r="AG509" t="str">
        <f t="shared" si="93"/>
        <v>Valid</v>
      </c>
      <c r="AH509" t="str">
        <f t="shared" si="94"/>
        <v>Valid</v>
      </c>
      <c r="AI509" t="str">
        <f t="shared" si="95"/>
        <v>Valid</v>
      </c>
      <c r="AJ509" t="str">
        <f t="shared" si="96"/>
        <v>Valid</v>
      </c>
      <c r="AK509" t="str">
        <f t="shared" si="103"/>
        <v xml:space="preserve">Valid </v>
      </c>
      <c r="AL509" t="str">
        <f>IF(AND(Audit_Data[[#This Row],[Recency]]&gt;=0,Audit_Data[[#This Row],[Recency]]&lt;=100),"Valid","Invalid")</f>
        <v>Valid</v>
      </c>
      <c r="AM509" t="str">
        <f t="shared" si="97"/>
        <v>Valid</v>
      </c>
      <c r="AN509" t="str">
        <f t="shared" si="98"/>
        <v>Valid</v>
      </c>
      <c r="AO509" t="str">
        <f t="shared" si="99"/>
        <v>Valid</v>
      </c>
      <c r="AP509" t="str">
        <f t="shared" si="100"/>
        <v>Valid</v>
      </c>
      <c r="AQ509" t="str">
        <f>IF(Audit_Data[[#This Row],[Z_CostContact]]=3,"Valid","Invalid")</f>
        <v>Valid</v>
      </c>
      <c r="AR509" t="str">
        <f t="shared" si="101"/>
        <v>Valid</v>
      </c>
      <c r="AS509" t="str">
        <f t="shared" si="102"/>
        <v>Valid</v>
      </c>
    </row>
    <row r="510" spans="1:45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 t="str">
        <f t="shared" si="91"/>
        <v>Ok</v>
      </c>
      <c r="AE510" t="str">
        <f>IF(AND(Audit_Data[[#This Row],[Year_Birth]]&gt;=1900,Audit_Data[[#This Row],[Year_Birth]]&lt;=2010),"OK","Invalid")</f>
        <v>OK</v>
      </c>
      <c r="AF510" t="str">
        <f t="shared" si="92"/>
        <v>Valid</v>
      </c>
      <c r="AG510" t="str">
        <f t="shared" si="93"/>
        <v>Valid</v>
      </c>
      <c r="AH510" t="str">
        <f t="shared" si="94"/>
        <v>Valid</v>
      </c>
      <c r="AI510" t="str">
        <f t="shared" si="95"/>
        <v>Valid</v>
      </c>
      <c r="AJ510" t="str">
        <f t="shared" si="96"/>
        <v>Valid</v>
      </c>
      <c r="AK510" t="str">
        <f t="shared" si="103"/>
        <v xml:space="preserve">Valid </v>
      </c>
      <c r="AL510" t="str">
        <f>IF(AND(Audit_Data[[#This Row],[Recency]]&gt;=0,Audit_Data[[#This Row],[Recency]]&lt;=100),"Valid","Invalid")</f>
        <v>Valid</v>
      </c>
      <c r="AM510" t="str">
        <f t="shared" si="97"/>
        <v>Valid</v>
      </c>
      <c r="AN510" t="str">
        <f t="shared" si="98"/>
        <v>Valid</v>
      </c>
      <c r="AO510" t="str">
        <f t="shared" si="99"/>
        <v>Valid</v>
      </c>
      <c r="AP510" t="str">
        <f t="shared" si="100"/>
        <v>Valid</v>
      </c>
      <c r="AQ510" t="str">
        <f>IF(Audit_Data[[#This Row],[Z_CostContact]]=3,"Valid","Invalid")</f>
        <v>Valid</v>
      </c>
      <c r="AR510" t="str">
        <f t="shared" si="101"/>
        <v>Valid</v>
      </c>
      <c r="AS510" t="str">
        <f t="shared" si="102"/>
        <v>Valid</v>
      </c>
    </row>
    <row r="511" spans="1:45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 t="str">
        <f t="shared" si="91"/>
        <v>Ok</v>
      </c>
      <c r="AE511" t="str">
        <f>IF(AND(Audit_Data[[#This Row],[Year_Birth]]&gt;=1900,Audit_Data[[#This Row],[Year_Birth]]&lt;=2010),"OK","Invalid")</f>
        <v>OK</v>
      </c>
      <c r="AF511" t="str">
        <f t="shared" si="92"/>
        <v>Valid</v>
      </c>
      <c r="AG511" t="str">
        <f t="shared" si="93"/>
        <v>Valid</v>
      </c>
      <c r="AH511" t="str">
        <f t="shared" si="94"/>
        <v>Valid</v>
      </c>
      <c r="AI511" t="str">
        <f t="shared" si="95"/>
        <v>Valid</v>
      </c>
      <c r="AJ511" t="str">
        <f t="shared" si="96"/>
        <v>Valid</v>
      </c>
      <c r="AK511" t="str">
        <f t="shared" si="103"/>
        <v xml:space="preserve">Valid </v>
      </c>
      <c r="AL511" t="str">
        <f>IF(AND(Audit_Data[[#This Row],[Recency]]&gt;=0,Audit_Data[[#This Row],[Recency]]&lt;=100),"Valid","Invalid")</f>
        <v>Valid</v>
      </c>
      <c r="AM511" t="str">
        <f t="shared" si="97"/>
        <v>Valid</v>
      </c>
      <c r="AN511" t="str">
        <f t="shared" si="98"/>
        <v>Valid</v>
      </c>
      <c r="AO511" t="str">
        <f t="shared" si="99"/>
        <v>Valid</v>
      </c>
      <c r="AP511" t="str">
        <f t="shared" si="100"/>
        <v>Valid</v>
      </c>
      <c r="AQ511" t="str">
        <f>IF(Audit_Data[[#This Row],[Z_CostContact]]=3,"Valid","Invalid")</f>
        <v>Valid</v>
      </c>
      <c r="AR511" t="str">
        <f t="shared" si="101"/>
        <v>Valid</v>
      </c>
      <c r="AS511" t="str">
        <f t="shared" si="102"/>
        <v>Valid</v>
      </c>
    </row>
    <row r="512" spans="1:45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 t="str">
        <f t="shared" si="91"/>
        <v>Ok</v>
      </c>
      <c r="AE512" t="str">
        <f>IF(AND(Audit_Data[[#This Row],[Year_Birth]]&gt;=1900,Audit_Data[[#This Row],[Year_Birth]]&lt;=2010),"OK","Invalid")</f>
        <v>OK</v>
      </c>
      <c r="AF512" t="str">
        <f t="shared" si="92"/>
        <v>Valid</v>
      </c>
      <c r="AG512" t="str">
        <f t="shared" si="93"/>
        <v>Valid</v>
      </c>
      <c r="AH512" t="str">
        <f t="shared" si="94"/>
        <v>Valid</v>
      </c>
      <c r="AI512" t="str">
        <f t="shared" si="95"/>
        <v>Valid</v>
      </c>
      <c r="AJ512" t="str">
        <f t="shared" si="96"/>
        <v>Valid</v>
      </c>
      <c r="AK512" t="str">
        <f t="shared" si="103"/>
        <v xml:space="preserve">Valid </v>
      </c>
      <c r="AL512" t="str">
        <f>IF(AND(Audit_Data[[#This Row],[Recency]]&gt;=0,Audit_Data[[#This Row],[Recency]]&lt;=100),"Valid","Invalid")</f>
        <v>Valid</v>
      </c>
      <c r="AM512" t="str">
        <f t="shared" si="97"/>
        <v>Valid</v>
      </c>
      <c r="AN512" t="str">
        <f t="shared" si="98"/>
        <v>Valid</v>
      </c>
      <c r="AO512" t="str">
        <f t="shared" si="99"/>
        <v>Valid</v>
      </c>
      <c r="AP512" t="str">
        <f t="shared" si="100"/>
        <v>Valid</v>
      </c>
      <c r="AQ512" t="str">
        <f>IF(Audit_Data[[#This Row],[Z_CostContact]]=3,"Valid","Invalid")</f>
        <v>Valid</v>
      </c>
      <c r="AR512" t="str">
        <f t="shared" si="101"/>
        <v>Valid</v>
      </c>
      <c r="AS512" t="str">
        <f t="shared" si="102"/>
        <v>Valid</v>
      </c>
    </row>
    <row r="513" spans="1:45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 t="str">
        <f t="shared" si="91"/>
        <v>Ok</v>
      </c>
      <c r="AE513" t="str">
        <f>IF(AND(Audit_Data[[#This Row],[Year_Birth]]&gt;=1900,Audit_Data[[#This Row],[Year_Birth]]&lt;=2010),"OK","Invalid")</f>
        <v>OK</v>
      </c>
      <c r="AF513" t="str">
        <f t="shared" si="92"/>
        <v>Valid</v>
      </c>
      <c r="AG513" t="str">
        <f t="shared" si="93"/>
        <v>Valid</v>
      </c>
      <c r="AH513" t="str">
        <f t="shared" si="94"/>
        <v>Valid</v>
      </c>
      <c r="AI513" t="str">
        <f t="shared" si="95"/>
        <v>Valid</v>
      </c>
      <c r="AJ513" t="str">
        <f t="shared" si="96"/>
        <v>Valid</v>
      </c>
      <c r="AK513" t="str">
        <f t="shared" si="103"/>
        <v xml:space="preserve">Valid </v>
      </c>
      <c r="AL513" t="str">
        <f>IF(AND(Audit_Data[[#This Row],[Recency]]&gt;=0,Audit_Data[[#This Row],[Recency]]&lt;=100),"Valid","Invalid")</f>
        <v>Valid</v>
      </c>
      <c r="AM513" t="str">
        <f t="shared" si="97"/>
        <v>Valid</v>
      </c>
      <c r="AN513" t="str">
        <f t="shared" si="98"/>
        <v>Valid</v>
      </c>
      <c r="AO513" t="str">
        <f t="shared" si="99"/>
        <v>Valid</v>
      </c>
      <c r="AP513" t="str">
        <f t="shared" si="100"/>
        <v>Valid</v>
      </c>
      <c r="AQ513" t="str">
        <f>IF(Audit_Data[[#This Row],[Z_CostContact]]=3,"Valid","Invalid")</f>
        <v>Valid</v>
      </c>
      <c r="AR513" t="str">
        <f t="shared" si="101"/>
        <v>Valid</v>
      </c>
      <c r="AS513" t="str">
        <f t="shared" si="102"/>
        <v>Valid</v>
      </c>
    </row>
    <row r="514" spans="1:45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 t="str">
        <f t="shared" ref="AD514:AD577" si="104">IF(COUNTIF(A:A,A514)&gt;1,"Duplicate","Ok")</f>
        <v>Ok</v>
      </c>
      <c r="AE514" t="str">
        <f>IF(AND(Audit_Data[[#This Row],[Year_Birth]]&gt;=1900,Audit_Data[[#This Row],[Year_Birth]]&lt;=2010),"OK","Invalid")</f>
        <v>OK</v>
      </c>
      <c r="AF514" t="str">
        <f t="shared" ref="AF514:AF577" si="105">IF(OR(C514="Graduation",C514="phD",C514="Master",C514="Basic",C514="2n Cycle"),"Valid","Invalid")</f>
        <v>Valid</v>
      </c>
      <c r="AG514" t="str">
        <f t="shared" ref="AG514:AG577" si="106">IF(OR(D514="Single",D514="Married",D514="Divorced",D514="Together",D514="Widow",D514="Alone"),"Valid","Invalid")</f>
        <v>Valid</v>
      </c>
      <c r="AH514" t="str">
        <f t="shared" ref="AH514:AH577" si="107">IF(AND(ISNUMBER(E514),E514&lt;&gt;""),"Valid","Invalid")</f>
        <v>Valid</v>
      </c>
      <c r="AI514" t="str">
        <f t="shared" ref="AI514:AI577" si="108">IF(AND(F514&gt;=0,F514&lt;=2),"Valid","Invalid")</f>
        <v>Valid</v>
      </c>
      <c r="AJ514" t="str">
        <f t="shared" ref="AJ514:AJ577" si="109">IF(AND(G514&gt;=0,G514&lt;=2),"Valid","Invalid")</f>
        <v>Valid</v>
      </c>
      <c r="AK514" t="str">
        <f t="shared" si="103"/>
        <v xml:space="preserve">Valid </v>
      </c>
      <c r="AL514" t="str">
        <f>IF(AND(Audit_Data[[#This Row],[Recency]]&gt;=0,Audit_Data[[#This Row],[Recency]]&lt;=100),"Valid","Invalid")</f>
        <v>Valid</v>
      </c>
      <c r="AM514" t="str">
        <f t="shared" ref="AM514:AM577" si="110">IF(AND(ISNUMBER(J514),J514&gt;=0,ISNUMBER(K514),K514&gt;=0,ISNUMBER(L514),L514&gt;=0,ISNUMBER(M514),M514&gt;=0,ISNUMBER(N514),N514&gt;=0,ISNUMBER(O514),O514&gt;=0),"Valid","Invalid")</f>
        <v>Valid</v>
      </c>
      <c r="AN514" t="str">
        <f t="shared" ref="AN514:AN577" si="111">IF(AND(ISNUMBER(P514),P514&gt;=0,ISNUMBER(Q514),Q514&gt;=0,ISNUMBER(R514),R514&gt;=0,ISNUMBER(S514),S514&gt;=0,ISNUMBER(T514),T514&gt;=0),"Valid","Invalid")</f>
        <v>Valid</v>
      </c>
      <c r="AO514" t="str">
        <f t="shared" ref="AO514:AO577" si="112">IF(AND(U514&lt;=1,V514&lt;=1,W514&lt;=1,X514&lt;=1,Y514&lt;=1),"Valid","Invalid")</f>
        <v>Valid</v>
      </c>
      <c r="AP514" t="str">
        <f t="shared" ref="AP514:AP577" si="113">IF(OR(Z514=0,Z514=1),"Valid","Invalid")</f>
        <v>Valid</v>
      </c>
      <c r="AQ514" t="str">
        <f>IF(Audit_Data[[#This Row],[Z_CostContact]]=3,"Valid","Invalid")</f>
        <v>Valid</v>
      </c>
      <c r="AR514" t="str">
        <f t="shared" ref="AR514:AR577" si="114">IF(AB514=11,"Valid","Invalid")</f>
        <v>Valid</v>
      </c>
      <c r="AS514" t="str">
        <f t="shared" ref="AS514:AS577" si="115">IF(OR(AC514=0,AC514=1),"Valid","Invalid")</f>
        <v>Valid</v>
      </c>
    </row>
    <row r="515" spans="1:45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 t="str">
        <f t="shared" si="104"/>
        <v>Ok</v>
      </c>
      <c r="AE515" t="str">
        <f>IF(AND(Audit_Data[[#This Row],[Year_Birth]]&gt;=1900,Audit_Data[[#This Row],[Year_Birth]]&lt;=2010),"OK","Invalid")</f>
        <v>OK</v>
      </c>
      <c r="AF515" t="str">
        <f t="shared" si="105"/>
        <v>Valid</v>
      </c>
      <c r="AG515" t="str">
        <f t="shared" si="106"/>
        <v>Valid</v>
      </c>
      <c r="AH515" t="str">
        <f t="shared" si="107"/>
        <v>Valid</v>
      </c>
      <c r="AI515" t="str">
        <f t="shared" si="108"/>
        <v>Valid</v>
      </c>
      <c r="AJ515" t="str">
        <f t="shared" si="109"/>
        <v>Valid</v>
      </c>
      <c r="AK515" t="str">
        <f t="shared" ref="AK515:AK578" si="116">IF(AND(ISNUMBER(H515),H515&gt;=DATE(2012,1,1),H515&lt;=DATE(2014,12,31)),"Valid ","Invalid")</f>
        <v xml:space="preserve">Valid </v>
      </c>
      <c r="AL515" t="str">
        <f>IF(AND(Audit_Data[[#This Row],[Recency]]&gt;=0,Audit_Data[[#This Row],[Recency]]&lt;=100),"Valid","Invalid")</f>
        <v>Valid</v>
      </c>
      <c r="AM515" t="str">
        <f t="shared" si="110"/>
        <v>Valid</v>
      </c>
      <c r="AN515" t="str">
        <f t="shared" si="111"/>
        <v>Valid</v>
      </c>
      <c r="AO515" t="str">
        <f t="shared" si="112"/>
        <v>Valid</v>
      </c>
      <c r="AP515" t="str">
        <f t="shared" si="113"/>
        <v>Valid</v>
      </c>
      <c r="AQ515" t="str">
        <f>IF(Audit_Data[[#This Row],[Z_CostContact]]=3,"Valid","Invalid")</f>
        <v>Valid</v>
      </c>
      <c r="AR515" t="str">
        <f t="shared" si="114"/>
        <v>Valid</v>
      </c>
      <c r="AS515" t="str">
        <f t="shared" si="115"/>
        <v>Valid</v>
      </c>
    </row>
    <row r="516" spans="1:45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 t="str">
        <f t="shared" si="104"/>
        <v>Ok</v>
      </c>
      <c r="AE516" t="str">
        <f>IF(AND(Audit_Data[[#This Row],[Year_Birth]]&gt;=1900,Audit_Data[[#This Row],[Year_Birth]]&lt;=2010),"OK","Invalid")</f>
        <v>OK</v>
      </c>
      <c r="AF516" t="str">
        <f t="shared" si="105"/>
        <v>Valid</v>
      </c>
      <c r="AG516" t="str">
        <f t="shared" si="106"/>
        <v>Valid</v>
      </c>
      <c r="AH516" t="str">
        <f t="shared" si="107"/>
        <v>Valid</v>
      </c>
      <c r="AI516" t="str">
        <f t="shared" si="108"/>
        <v>Valid</v>
      </c>
      <c r="AJ516" t="str">
        <f t="shared" si="109"/>
        <v>Valid</v>
      </c>
      <c r="AK516" t="str">
        <f t="shared" si="116"/>
        <v xml:space="preserve">Valid </v>
      </c>
      <c r="AL516" t="str">
        <f>IF(AND(Audit_Data[[#This Row],[Recency]]&gt;=0,Audit_Data[[#This Row],[Recency]]&lt;=100),"Valid","Invalid")</f>
        <v>Valid</v>
      </c>
      <c r="AM516" t="str">
        <f t="shared" si="110"/>
        <v>Valid</v>
      </c>
      <c r="AN516" t="str">
        <f t="shared" si="111"/>
        <v>Valid</v>
      </c>
      <c r="AO516" t="str">
        <f t="shared" si="112"/>
        <v>Valid</v>
      </c>
      <c r="AP516" t="str">
        <f t="shared" si="113"/>
        <v>Valid</v>
      </c>
      <c r="AQ516" t="str">
        <f>IF(Audit_Data[[#This Row],[Z_CostContact]]=3,"Valid","Invalid")</f>
        <v>Valid</v>
      </c>
      <c r="AR516" t="str">
        <f t="shared" si="114"/>
        <v>Valid</v>
      </c>
      <c r="AS516" t="str">
        <f t="shared" si="115"/>
        <v>Valid</v>
      </c>
    </row>
    <row r="517" spans="1:45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 t="str">
        <f t="shared" si="104"/>
        <v>Ok</v>
      </c>
      <c r="AE517" t="str">
        <f>IF(AND(Audit_Data[[#This Row],[Year_Birth]]&gt;=1900,Audit_Data[[#This Row],[Year_Birth]]&lt;=2010),"OK","Invalid")</f>
        <v>OK</v>
      </c>
      <c r="AF517" t="str">
        <f t="shared" si="105"/>
        <v>Valid</v>
      </c>
      <c r="AG517" t="str">
        <f t="shared" si="106"/>
        <v>Valid</v>
      </c>
      <c r="AH517" t="str">
        <f t="shared" si="107"/>
        <v>Valid</v>
      </c>
      <c r="AI517" t="str">
        <f t="shared" si="108"/>
        <v>Valid</v>
      </c>
      <c r="AJ517" t="str">
        <f t="shared" si="109"/>
        <v>Valid</v>
      </c>
      <c r="AK517" t="str">
        <f t="shared" si="116"/>
        <v xml:space="preserve">Valid </v>
      </c>
      <c r="AL517" t="str">
        <f>IF(AND(Audit_Data[[#This Row],[Recency]]&gt;=0,Audit_Data[[#This Row],[Recency]]&lt;=100),"Valid","Invalid")</f>
        <v>Valid</v>
      </c>
      <c r="AM517" t="str">
        <f t="shared" si="110"/>
        <v>Valid</v>
      </c>
      <c r="AN517" t="str">
        <f t="shared" si="111"/>
        <v>Valid</v>
      </c>
      <c r="AO517" t="str">
        <f t="shared" si="112"/>
        <v>Valid</v>
      </c>
      <c r="AP517" t="str">
        <f t="shared" si="113"/>
        <v>Valid</v>
      </c>
      <c r="AQ517" t="str">
        <f>IF(Audit_Data[[#This Row],[Z_CostContact]]=3,"Valid","Invalid")</f>
        <v>Valid</v>
      </c>
      <c r="AR517" t="str">
        <f t="shared" si="114"/>
        <v>Valid</v>
      </c>
      <c r="AS517" t="str">
        <f t="shared" si="115"/>
        <v>Valid</v>
      </c>
    </row>
    <row r="518" spans="1:45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 t="str">
        <f t="shared" si="104"/>
        <v>Ok</v>
      </c>
      <c r="AE518" t="str">
        <f>IF(AND(Audit_Data[[#This Row],[Year_Birth]]&gt;=1900,Audit_Data[[#This Row],[Year_Birth]]&lt;=2010),"OK","Invalid")</f>
        <v>OK</v>
      </c>
      <c r="AF518" t="str">
        <f t="shared" si="105"/>
        <v>Valid</v>
      </c>
      <c r="AG518" t="str">
        <f t="shared" si="106"/>
        <v>Valid</v>
      </c>
      <c r="AH518" t="str">
        <f t="shared" si="107"/>
        <v>Valid</v>
      </c>
      <c r="AI518" t="str">
        <f t="shared" si="108"/>
        <v>Valid</v>
      </c>
      <c r="AJ518" t="str">
        <f t="shared" si="109"/>
        <v>Valid</v>
      </c>
      <c r="AK518" t="str">
        <f t="shared" si="116"/>
        <v xml:space="preserve">Valid </v>
      </c>
      <c r="AL518" t="str">
        <f>IF(AND(Audit_Data[[#This Row],[Recency]]&gt;=0,Audit_Data[[#This Row],[Recency]]&lt;=100),"Valid","Invalid")</f>
        <v>Valid</v>
      </c>
      <c r="AM518" t="str">
        <f t="shared" si="110"/>
        <v>Valid</v>
      </c>
      <c r="AN518" t="str">
        <f t="shared" si="111"/>
        <v>Valid</v>
      </c>
      <c r="AO518" t="str">
        <f t="shared" si="112"/>
        <v>Valid</v>
      </c>
      <c r="AP518" t="str">
        <f t="shared" si="113"/>
        <v>Valid</v>
      </c>
      <c r="AQ518" t="str">
        <f>IF(Audit_Data[[#This Row],[Z_CostContact]]=3,"Valid","Invalid")</f>
        <v>Valid</v>
      </c>
      <c r="AR518" t="str">
        <f t="shared" si="114"/>
        <v>Valid</v>
      </c>
      <c r="AS518" t="str">
        <f t="shared" si="115"/>
        <v>Valid</v>
      </c>
    </row>
    <row r="519" spans="1:45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 t="str">
        <f t="shared" si="104"/>
        <v>Ok</v>
      </c>
      <c r="AE519" t="str">
        <f>IF(AND(Audit_Data[[#This Row],[Year_Birth]]&gt;=1900,Audit_Data[[#This Row],[Year_Birth]]&lt;=2010),"OK","Invalid")</f>
        <v>OK</v>
      </c>
      <c r="AF519" t="str">
        <f t="shared" si="105"/>
        <v>Valid</v>
      </c>
      <c r="AG519" t="str">
        <f t="shared" si="106"/>
        <v>Valid</v>
      </c>
      <c r="AH519" t="str">
        <f t="shared" si="107"/>
        <v>Valid</v>
      </c>
      <c r="AI519" t="str">
        <f t="shared" si="108"/>
        <v>Valid</v>
      </c>
      <c r="AJ519" t="str">
        <f t="shared" si="109"/>
        <v>Valid</v>
      </c>
      <c r="AK519" t="str">
        <f t="shared" si="116"/>
        <v xml:space="preserve">Valid </v>
      </c>
      <c r="AL519" t="str">
        <f>IF(AND(Audit_Data[[#This Row],[Recency]]&gt;=0,Audit_Data[[#This Row],[Recency]]&lt;=100),"Valid","Invalid")</f>
        <v>Valid</v>
      </c>
      <c r="AM519" t="str">
        <f t="shared" si="110"/>
        <v>Valid</v>
      </c>
      <c r="AN519" t="str">
        <f t="shared" si="111"/>
        <v>Valid</v>
      </c>
      <c r="AO519" t="str">
        <f t="shared" si="112"/>
        <v>Valid</v>
      </c>
      <c r="AP519" t="str">
        <f t="shared" si="113"/>
        <v>Valid</v>
      </c>
      <c r="AQ519" t="str">
        <f>IF(Audit_Data[[#This Row],[Z_CostContact]]=3,"Valid","Invalid")</f>
        <v>Valid</v>
      </c>
      <c r="AR519" t="str">
        <f t="shared" si="114"/>
        <v>Valid</v>
      </c>
      <c r="AS519" t="str">
        <f t="shared" si="115"/>
        <v>Valid</v>
      </c>
    </row>
    <row r="520" spans="1:45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 t="str">
        <f t="shared" si="104"/>
        <v>Ok</v>
      </c>
      <c r="AE520" t="str">
        <f>IF(AND(Audit_Data[[#This Row],[Year_Birth]]&gt;=1900,Audit_Data[[#This Row],[Year_Birth]]&lt;=2010),"OK","Invalid")</f>
        <v>OK</v>
      </c>
      <c r="AF520" t="str">
        <f t="shared" si="105"/>
        <v>Valid</v>
      </c>
      <c r="AG520" t="str">
        <f t="shared" si="106"/>
        <v>Valid</v>
      </c>
      <c r="AH520" t="str">
        <f t="shared" si="107"/>
        <v>Valid</v>
      </c>
      <c r="AI520" t="str">
        <f t="shared" si="108"/>
        <v>Valid</v>
      </c>
      <c r="AJ520" t="str">
        <f t="shared" si="109"/>
        <v>Valid</v>
      </c>
      <c r="AK520" t="str">
        <f t="shared" si="116"/>
        <v xml:space="preserve">Valid </v>
      </c>
      <c r="AL520" t="str">
        <f>IF(AND(Audit_Data[[#This Row],[Recency]]&gt;=0,Audit_Data[[#This Row],[Recency]]&lt;=100),"Valid","Invalid")</f>
        <v>Valid</v>
      </c>
      <c r="AM520" t="str">
        <f t="shared" si="110"/>
        <v>Valid</v>
      </c>
      <c r="AN520" t="str">
        <f t="shared" si="111"/>
        <v>Valid</v>
      </c>
      <c r="AO520" t="str">
        <f t="shared" si="112"/>
        <v>Valid</v>
      </c>
      <c r="AP520" t="str">
        <f t="shared" si="113"/>
        <v>Valid</v>
      </c>
      <c r="AQ520" t="str">
        <f>IF(Audit_Data[[#This Row],[Z_CostContact]]=3,"Valid","Invalid")</f>
        <v>Valid</v>
      </c>
      <c r="AR520" t="str">
        <f t="shared" si="114"/>
        <v>Valid</v>
      </c>
      <c r="AS520" t="str">
        <f t="shared" si="115"/>
        <v>Valid</v>
      </c>
    </row>
    <row r="521" spans="1:45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 t="str">
        <f t="shared" si="104"/>
        <v>Ok</v>
      </c>
      <c r="AE521" t="str">
        <f>IF(AND(Audit_Data[[#This Row],[Year_Birth]]&gt;=1900,Audit_Data[[#This Row],[Year_Birth]]&lt;=2010),"OK","Invalid")</f>
        <v>OK</v>
      </c>
      <c r="AF521" t="str">
        <f t="shared" si="105"/>
        <v>Valid</v>
      </c>
      <c r="AG521" t="str">
        <f t="shared" si="106"/>
        <v>Valid</v>
      </c>
      <c r="AH521" t="str">
        <f t="shared" si="107"/>
        <v>Valid</v>
      </c>
      <c r="AI521" t="str">
        <f t="shared" si="108"/>
        <v>Valid</v>
      </c>
      <c r="AJ521" t="str">
        <f t="shared" si="109"/>
        <v>Valid</v>
      </c>
      <c r="AK521" t="str">
        <f t="shared" si="116"/>
        <v xml:space="preserve">Valid </v>
      </c>
      <c r="AL521" t="str">
        <f>IF(AND(Audit_Data[[#This Row],[Recency]]&gt;=0,Audit_Data[[#This Row],[Recency]]&lt;=100),"Valid","Invalid")</f>
        <v>Valid</v>
      </c>
      <c r="AM521" t="str">
        <f t="shared" si="110"/>
        <v>Valid</v>
      </c>
      <c r="AN521" t="str">
        <f t="shared" si="111"/>
        <v>Valid</v>
      </c>
      <c r="AO521" t="str">
        <f t="shared" si="112"/>
        <v>Valid</v>
      </c>
      <c r="AP521" t="str">
        <f t="shared" si="113"/>
        <v>Valid</v>
      </c>
      <c r="AQ521" t="str">
        <f>IF(Audit_Data[[#This Row],[Z_CostContact]]=3,"Valid","Invalid")</f>
        <v>Valid</v>
      </c>
      <c r="AR521" t="str">
        <f t="shared" si="114"/>
        <v>Valid</v>
      </c>
      <c r="AS521" t="str">
        <f t="shared" si="115"/>
        <v>Valid</v>
      </c>
    </row>
    <row r="522" spans="1:45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 t="str">
        <f t="shared" si="104"/>
        <v>Ok</v>
      </c>
      <c r="AE522" t="str">
        <f>IF(AND(Audit_Data[[#This Row],[Year_Birth]]&gt;=1900,Audit_Data[[#This Row],[Year_Birth]]&lt;=2010),"OK","Invalid")</f>
        <v>OK</v>
      </c>
      <c r="AF522" t="str">
        <f t="shared" si="105"/>
        <v>Valid</v>
      </c>
      <c r="AG522" t="str">
        <f t="shared" si="106"/>
        <v>Valid</v>
      </c>
      <c r="AH522" t="str">
        <f t="shared" si="107"/>
        <v>Valid</v>
      </c>
      <c r="AI522" t="str">
        <f t="shared" si="108"/>
        <v>Valid</v>
      </c>
      <c r="AJ522" t="str">
        <f t="shared" si="109"/>
        <v>Valid</v>
      </c>
      <c r="AK522" t="str">
        <f t="shared" si="116"/>
        <v xml:space="preserve">Valid </v>
      </c>
      <c r="AL522" t="str">
        <f>IF(AND(Audit_Data[[#This Row],[Recency]]&gt;=0,Audit_Data[[#This Row],[Recency]]&lt;=100),"Valid","Invalid")</f>
        <v>Valid</v>
      </c>
      <c r="AM522" t="str">
        <f t="shared" si="110"/>
        <v>Valid</v>
      </c>
      <c r="AN522" t="str">
        <f t="shared" si="111"/>
        <v>Valid</v>
      </c>
      <c r="AO522" t="str">
        <f t="shared" si="112"/>
        <v>Valid</v>
      </c>
      <c r="AP522" t="str">
        <f t="shared" si="113"/>
        <v>Valid</v>
      </c>
      <c r="AQ522" t="str">
        <f>IF(Audit_Data[[#This Row],[Z_CostContact]]=3,"Valid","Invalid")</f>
        <v>Valid</v>
      </c>
      <c r="AR522" t="str">
        <f t="shared" si="114"/>
        <v>Valid</v>
      </c>
      <c r="AS522" t="str">
        <f t="shared" si="115"/>
        <v>Valid</v>
      </c>
    </row>
    <row r="523" spans="1:45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 t="str">
        <f t="shared" si="104"/>
        <v>Ok</v>
      </c>
      <c r="AE523" t="str">
        <f>IF(AND(Audit_Data[[#This Row],[Year_Birth]]&gt;=1900,Audit_Data[[#This Row],[Year_Birth]]&lt;=2010),"OK","Invalid")</f>
        <v>OK</v>
      </c>
      <c r="AF523" t="str">
        <f t="shared" si="105"/>
        <v>Valid</v>
      </c>
      <c r="AG523" t="str">
        <f t="shared" si="106"/>
        <v>Valid</v>
      </c>
      <c r="AH523" t="str">
        <f t="shared" si="107"/>
        <v>Valid</v>
      </c>
      <c r="AI523" t="str">
        <f t="shared" si="108"/>
        <v>Valid</v>
      </c>
      <c r="AJ523" t="str">
        <f t="shared" si="109"/>
        <v>Valid</v>
      </c>
      <c r="AK523" t="str">
        <f t="shared" si="116"/>
        <v xml:space="preserve">Valid </v>
      </c>
      <c r="AL523" t="str">
        <f>IF(AND(Audit_Data[[#This Row],[Recency]]&gt;=0,Audit_Data[[#This Row],[Recency]]&lt;=100),"Valid","Invalid")</f>
        <v>Valid</v>
      </c>
      <c r="AM523" t="str">
        <f t="shared" si="110"/>
        <v>Valid</v>
      </c>
      <c r="AN523" t="str">
        <f t="shared" si="111"/>
        <v>Valid</v>
      </c>
      <c r="AO523" t="str">
        <f t="shared" si="112"/>
        <v>Valid</v>
      </c>
      <c r="AP523" t="str">
        <f t="shared" si="113"/>
        <v>Valid</v>
      </c>
      <c r="AQ523" t="str">
        <f>IF(Audit_Data[[#This Row],[Z_CostContact]]=3,"Valid","Invalid")</f>
        <v>Valid</v>
      </c>
      <c r="AR523" t="str">
        <f t="shared" si="114"/>
        <v>Valid</v>
      </c>
      <c r="AS523" t="str">
        <f t="shared" si="115"/>
        <v>Valid</v>
      </c>
    </row>
    <row r="524" spans="1:45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 t="str">
        <f t="shared" si="104"/>
        <v>Ok</v>
      </c>
      <c r="AE524" t="str">
        <f>IF(AND(Audit_Data[[#This Row],[Year_Birth]]&gt;=1900,Audit_Data[[#This Row],[Year_Birth]]&lt;=2010),"OK","Invalid")</f>
        <v>OK</v>
      </c>
      <c r="AF524" t="str">
        <f t="shared" si="105"/>
        <v>Valid</v>
      </c>
      <c r="AG524" t="str">
        <f t="shared" si="106"/>
        <v>Valid</v>
      </c>
      <c r="AH524" t="str">
        <f t="shared" si="107"/>
        <v>Valid</v>
      </c>
      <c r="AI524" t="str">
        <f t="shared" si="108"/>
        <v>Valid</v>
      </c>
      <c r="AJ524" t="str">
        <f t="shared" si="109"/>
        <v>Valid</v>
      </c>
      <c r="AK524" t="str">
        <f t="shared" si="116"/>
        <v xml:space="preserve">Valid </v>
      </c>
      <c r="AL524" t="str">
        <f>IF(AND(Audit_Data[[#This Row],[Recency]]&gt;=0,Audit_Data[[#This Row],[Recency]]&lt;=100),"Valid","Invalid")</f>
        <v>Valid</v>
      </c>
      <c r="AM524" t="str">
        <f t="shared" si="110"/>
        <v>Valid</v>
      </c>
      <c r="AN524" t="str">
        <f t="shared" si="111"/>
        <v>Valid</v>
      </c>
      <c r="AO524" t="str">
        <f t="shared" si="112"/>
        <v>Valid</v>
      </c>
      <c r="AP524" t="str">
        <f t="shared" si="113"/>
        <v>Valid</v>
      </c>
      <c r="AQ524" t="str">
        <f>IF(Audit_Data[[#This Row],[Z_CostContact]]=3,"Valid","Invalid")</f>
        <v>Valid</v>
      </c>
      <c r="AR524" t="str">
        <f t="shared" si="114"/>
        <v>Valid</v>
      </c>
      <c r="AS524" t="str">
        <f t="shared" si="115"/>
        <v>Valid</v>
      </c>
    </row>
    <row r="525" spans="1:45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 t="str">
        <f t="shared" si="104"/>
        <v>Ok</v>
      </c>
      <c r="AE525" t="str">
        <f>IF(AND(Audit_Data[[#This Row],[Year_Birth]]&gt;=1900,Audit_Data[[#This Row],[Year_Birth]]&lt;=2010),"OK","Invalid")</f>
        <v>OK</v>
      </c>
      <c r="AF525" t="str">
        <f t="shared" si="105"/>
        <v>Valid</v>
      </c>
      <c r="AG525" t="str">
        <f t="shared" si="106"/>
        <v>Valid</v>
      </c>
      <c r="AH525" t="str">
        <f t="shared" si="107"/>
        <v>Valid</v>
      </c>
      <c r="AI525" t="str">
        <f t="shared" si="108"/>
        <v>Valid</v>
      </c>
      <c r="AJ525" t="str">
        <f t="shared" si="109"/>
        <v>Valid</v>
      </c>
      <c r="AK525" t="str">
        <f t="shared" si="116"/>
        <v xml:space="preserve">Valid </v>
      </c>
      <c r="AL525" t="str">
        <f>IF(AND(Audit_Data[[#This Row],[Recency]]&gt;=0,Audit_Data[[#This Row],[Recency]]&lt;=100),"Valid","Invalid")</f>
        <v>Valid</v>
      </c>
      <c r="AM525" t="str">
        <f t="shared" si="110"/>
        <v>Valid</v>
      </c>
      <c r="AN525" t="str">
        <f t="shared" si="111"/>
        <v>Valid</v>
      </c>
      <c r="AO525" t="str">
        <f t="shared" si="112"/>
        <v>Valid</v>
      </c>
      <c r="AP525" t="str">
        <f t="shared" si="113"/>
        <v>Valid</v>
      </c>
      <c r="AQ525" t="str">
        <f>IF(Audit_Data[[#This Row],[Z_CostContact]]=3,"Valid","Invalid")</f>
        <v>Valid</v>
      </c>
      <c r="AR525" t="str">
        <f t="shared" si="114"/>
        <v>Valid</v>
      </c>
      <c r="AS525" t="str">
        <f t="shared" si="115"/>
        <v>Valid</v>
      </c>
    </row>
    <row r="526" spans="1:45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 t="str">
        <f t="shared" si="104"/>
        <v>Ok</v>
      </c>
      <c r="AE526" t="str">
        <f>IF(AND(Audit_Data[[#This Row],[Year_Birth]]&gt;=1900,Audit_Data[[#This Row],[Year_Birth]]&lt;=2010),"OK","Invalid")</f>
        <v>OK</v>
      </c>
      <c r="AF526" t="str">
        <f t="shared" si="105"/>
        <v>Valid</v>
      </c>
      <c r="AG526" t="str">
        <f t="shared" si="106"/>
        <v>Valid</v>
      </c>
      <c r="AH526" t="str">
        <f t="shared" si="107"/>
        <v>Valid</v>
      </c>
      <c r="AI526" t="str">
        <f t="shared" si="108"/>
        <v>Valid</v>
      </c>
      <c r="AJ526" t="str">
        <f t="shared" si="109"/>
        <v>Valid</v>
      </c>
      <c r="AK526" t="str">
        <f t="shared" si="116"/>
        <v xml:space="preserve">Valid </v>
      </c>
      <c r="AL526" t="str">
        <f>IF(AND(Audit_Data[[#This Row],[Recency]]&gt;=0,Audit_Data[[#This Row],[Recency]]&lt;=100),"Valid","Invalid")</f>
        <v>Valid</v>
      </c>
      <c r="AM526" t="str">
        <f t="shared" si="110"/>
        <v>Valid</v>
      </c>
      <c r="AN526" t="str">
        <f t="shared" si="111"/>
        <v>Valid</v>
      </c>
      <c r="AO526" t="str">
        <f t="shared" si="112"/>
        <v>Valid</v>
      </c>
      <c r="AP526" t="str">
        <f t="shared" si="113"/>
        <v>Valid</v>
      </c>
      <c r="AQ526" t="str">
        <f>IF(Audit_Data[[#This Row],[Z_CostContact]]=3,"Valid","Invalid")</f>
        <v>Valid</v>
      </c>
      <c r="AR526" t="str">
        <f t="shared" si="114"/>
        <v>Valid</v>
      </c>
      <c r="AS526" t="str">
        <f t="shared" si="115"/>
        <v>Valid</v>
      </c>
    </row>
    <row r="527" spans="1:45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 t="str">
        <f t="shared" si="104"/>
        <v>Ok</v>
      </c>
      <c r="AE527" t="str">
        <f>IF(AND(Audit_Data[[#This Row],[Year_Birth]]&gt;=1900,Audit_Data[[#This Row],[Year_Birth]]&lt;=2010),"OK","Invalid")</f>
        <v>OK</v>
      </c>
      <c r="AF527" t="str">
        <f t="shared" si="105"/>
        <v>Valid</v>
      </c>
      <c r="AG527" t="str">
        <f t="shared" si="106"/>
        <v>Valid</v>
      </c>
      <c r="AH527" t="str">
        <f t="shared" si="107"/>
        <v>Valid</v>
      </c>
      <c r="AI527" t="str">
        <f t="shared" si="108"/>
        <v>Valid</v>
      </c>
      <c r="AJ527" t="str">
        <f t="shared" si="109"/>
        <v>Valid</v>
      </c>
      <c r="AK527" t="str">
        <f t="shared" si="116"/>
        <v xml:space="preserve">Valid </v>
      </c>
      <c r="AL527" t="str">
        <f>IF(AND(Audit_Data[[#This Row],[Recency]]&gt;=0,Audit_Data[[#This Row],[Recency]]&lt;=100),"Valid","Invalid")</f>
        <v>Valid</v>
      </c>
      <c r="AM527" t="str">
        <f t="shared" si="110"/>
        <v>Valid</v>
      </c>
      <c r="AN527" t="str">
        <f t="shared" si="111"/>
        <v>Valid</v>
      </c>
      <c r="AO527" t="str">
        <f t="shared" si="112"/>
        <v>Valid</v>
      </c>
      <c r="AP527" t="str">
        <f t="shared" si="113"/>
        <v>Valid</v>
      </c>
      <c r="AQ527" t="str">
        <f>IF(Audit_Data[[#This Row],[Z_CostContact]]=3,"Valid","Invalid")</f>
        <v>Valid</v>
      </c>
      <c r="AR527" t="str">
        <f t="shared" si="114"/>
        <v>Valid</v>
      </c>
      <c r="AS527" t="str">
        <f t="shared" si="115"/>
        <v>Valid</v>
      </c>
    </row>
    <row r="528" spans="1:45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 t="str">
        <f t="shared" si="104"/>
        <v>Ok</v>
      </c>
      <c r="AE528" t="str">
        <f>IF(AND(Audit_Data[[#This Row],[Year_Birth]]&gt;=1900,Audit_Data[[#This Row],[Year_Birth]]&lt;=2010),"OK","Invalid")</f>
        <v>OK</v>
      </c>
      <c r="AF528" t="str">
        <f t="shared" si="105"/>
        <v>Valid</v>
      </c>
      <c r="AG528" t="str">
        <f t="shared" si="106"/>
        <v>Valid</v>
      </c>
      <c r="AH528" t="str">
        <f t="shared" si="107"/>
        <v>Valid</v>
      </c>
      <c r="AI528" t="str">
        <f t="shared" si="108"/>
        <v>Valid</v>
      </c>
      <c r="AJ528" t="str">
        <f t="shared" si="109"/>
        <v>Valid</v>
      </c>
      <c r="AK528" t="str">
        <f t="shared" si="116"/>
        <v xml:space="preserve">Valid </v>
      </c>
      <c r="AL528" t="str">
        <f>IF(AND(Audit_Data[[#This Row],[Recency]]&gt;=0,Audit_Data[[#This Row],[Recency]]&lt;=100),"Valid","Invalid")</f>
        <v>Valid</v>
      </c>
      <c r="AM528" t="str">
        <f t="shared" si="110"/>
        <v>Valid</v>
      </c>
      <c r="AN528" t="str">
        <f t="shared" si="111"/>
        <v>Valid</v>
      </c>
      <c r="AO528" t="str">
        <f t="shared" si="112"/>
        <v>Valid</v>
      </c>
      <c r="AP528" t="str">
        <f t="shared" si="113"/>
        <v>Valid</v>
      </c>
      <c r="AQ528" t="str">
        <f>IF(Audit_Data[[#This Row],[Z_CostContact]]=3,"Valid","Invalid")</f>
        <v>Valid</v>
      </c>
      <c r="AR528" t="str">
        <f t="shared" si="114"/>
        <v>Valid</v>
      </c>
      <c r="AS528" t="str">
        <f t="shared" si="115"/>
        <v>Valid</v>
      </c>
    </row>
    <row r="529" spans="1:45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 t="str">
        <f t="shared" si="104"/>
        <v>Ok</v>
      </c>
      <c r="AE529" t="str">
        <f>IF(AND(Audit_Data[[#This Row],[Year_Birth]]&gt;=1900,Audit_Data[[#This Row],[Year_Birth]]&lt;=2010),"OK","Invalid")</f>
        <v>OK</v>
      </c>
      <c r="AF529" t="str">
        <f t="shared" si="105"/>
        <v>Valid</v>
      </c>
      <c r="AG529" t="str">
        <f t="shared" si="106"/>
        <v>Valid</v>
      </c>
      <c r="AH529" t="str">
        <f t="shared" si="107"/>
        <v>Valid</v>
      </c>
      <c r="AI529" t="str">
        <f t="shared" si="108"/>
        <v>Valid</v>
      </c>
      <c r="AJ529" t="str">
        <f t="shared" si="109"/>
        <v>Valid</v>
      </c>
      <c r="AK529" t="str">
        <f t="shared" si="116"/>
        <v xml:space="preserve">Valid </v>
      </c>
      <c r="AL529" t="str">
        <f>IF(AND(Audit_Data[[#This Row],[Recency]]&gt;=0,Audit_Data[[#This Row],[Recency]]&lt;=100),"Valid","Invalid")</f>
        <v>Valid</v>
      </c>
      <c r="AM529" t="str">
        <f t="shared" si="110"/>
        <v>Valid</v>
      </c>
      <c r="AN529" t="str">
        <f t="shared" si="111"/>
        <v>Valid</v>
      </c>
      <c r="AO529" t="str">
        <f t="shared" si="112"/>
        <v>Valid</v>
      </c>
      <c r="AP529" t="str">
        <f t="shared" si="113"/>
        <v>Valid</v>
      </c>
      <c r="AQ529" t="str">
        <f>IF(Audit_Data[[#This Row],[Z_CostContact]]=3,"Valid","Invalid")</f>
        <v>Valid</v>
      </c>
      <c r="AR529" t="str">
        <f t="shared" si="114"/>
        <v>Valid</v>
      </c>
      <c r="AS529" t="str">
        <f t="shared" si="115"/>
        <v>Valid</v>
      </c>
    </row>
    <row r="530" spans="1:45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 t="str">
        <f t="shared" si="104"/>
        <v>Ok</v>
      </c>
      <c r="AE530" t="str">
        <f>IF(AND(Audit_Data[[#This Row],[Year_Birth]]&gt;=1900,Audit_Data[[#This Row],[Year_Birth]]&lt;=2010),"OK","Invalid")</f>
        <v>OK</v>
      </c>
      <c r="AF530" t="str">
        <f t="shared" si="105"/>
        <v>Valid</v>
      </c>
      <c r="AG530" t="str">
        <f t="shared" si="106"/>
        <v>Valid</v>
      </c>
      <c r="AH530" t="str">
        <f t="shared" si="107"/>
        <v>Valid</v>
      </c>
      <c r="AI530" t="str">
        <f t="shared" si="108"/>
        <v>Valid</v>
      </c>
      <c r="AJ530" t="str">
        <f t="shared" si="109"/>
        <v>Valid</v>
      </c>
      <c r="AK530" t="str">
        <f t="shared" si="116"/>
        <v xml:space="preserve">Valid </v>
      </c>
      <c r="AL530" t="str">
        <f>IF(AND(Audit_Data[[#This Row],[Recency]]&gt;=0,Audit_Data[[#This Row],[Recency]]&lt;=100),"Valid","Invalid")</f>
        <v>Valid</v>
      </c>
      <c r="AM530" t="str">
        <f t="shared" si="110"/>
        <v>Valid</v>
      </c>
      <c r="AN530" t="str">
        <f t="shared" si="111"/>
        <v>Valid</v>
      </c>
      <c r="AO530" t="str">
        <f t="shared" si="112"/>
        <v>Valid</v>
      </c>
      <c r="AP530" t="str">
        <f t="shared" si="113"/>
        <v>Valid</v>
      </c>
      <c r="AQ530" t="str">
        <f>IF(Audit_Data[[#This Row],[Z_CostContact]]=3,"Valid","Invalid")</f>
        <v>Valid</v>
      </c>
      <c r="AR530" t="str">
        <f t="shared" si="114"/>
        <v>Valid</v>
      </c>
      <c r="AS530" t="str">
        <f t="shared" si="115"/>
        <v>Valid</v>
      </c>
    </row>
    <row r="531" spans="1:45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 t="str">
        <f t="shared" si="104"/>
        <v>Ok</v>
      </c>
      <c r="AE531" t="str">
        <f>IF(AND(Audit_Data[[#This Row],[Year_Birth]]&gt;=1900,Audit_Data[[#This Row],[Year_Birth]]&lt;=2010),"OK","Invalid")</f>
        <v>OK</v>
      </c>
      <c r="AF531" t="str">
        <f t="shared" si="105"/>
        <v>Valid</v>
      </c>
      <c r="AG531" t="str">
        <f t="shared" si="106"/>
        <v>Valid</v>
      </c>
      <c r="AH531" t="str">
        <f t="shared" si="107"/>
        <v>Valid</v>
      </c>
      <c r="AI531" t="str">
        <f t="shared" si="108"/>
        <v>Valid</v>
      </c>
      <c r="AJ531" t="str">
        <f t="shared" si="109"/>
        <v>Valid</v>
      </c>
      <c r="AK531" t="str">
        <f t="shared" si="116"/>
        <v xml:space="preserve">Valid </v>
      </c>
      <c r="AL531" t="str">
        <f>IF(AND(Audit_Data[[#This Row],[Recency]]&gt;=0,Audit_Data[[#This Row],[Recency]]&lt;=100),"Valid","Invalid")</f>
        <v>Valid</v>
      </c>
      <c r="AM531" t="str">
        <f t="shared" si="110"/>
        <v>Valid</v>
      </c>
      <c r="AN531" t="str">
        <f t="shared" si="111"/>
        <v>Valid</v>
      </c>
      <c r="AO531" t="str">
        <f t="shared" si="112"/>
        <v>Valid</v>
      </c>
      <c r="AP531" t="str">
        <f t="shared" si="113"/>
        <v>Valid</v>
      </c>
      <c r="AQ531" t="str">
        <f>IF(Audit_Data[[#This Row],[Z_CostContact]]=3,"Valid","Invalid")</f>
        <v>Valid</v>
      </c>
      <c r="AR531" t="str">
        <f t="shared" si="114"/>
        <v>Valid</v>
      </c>
      <c r="AS531" t="str">
        <f t="shared" si="115"/>
        <v>Valid</v>
      </c>
    </row>
    <row r="532" spans="1:45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 t="str">
        <f t="shared" si="104"/>
        <v>Ok</v>
      </c>
      <c r="AE532" t="str">
        <f>IF(AND(Audit_Data[[#This Row],[Year_Birth]]&gt;=1900,Audit_Data[[#This Row],[Year_Birth]]&lt;=2010),"OK","Invalid")</f>
        <v>OK</v>
      </c>
      <c r="AF532" t="str">
        <f t="shared" si="105"/>
        <v>Valid</v>
      </c>
      <c r="AG532" t="str">
        <f t="shared" si="106"/>
        <v>Valid</v>
      </c>
      <c r="AH532" t="str">
        <f t="shared" si="107"/>
        <v>Valid</v>
      </c>
      <c r="AI532" t="str">
        <f t="shared" si="108"/>
        <v>Valid</v>
      </c>
      <c r="AJ532" t="str">
        <f t="shared" si="109"/>
        <v>Valid</v>
      </c>
      <c r="AK532" t="str">
        <f t="shared" si="116"/>
        <v xml:space="preserve">Valid </v>
      </c>
      <c r="AL532" t="str">
        <f>IF(AND(Audit_Data[[#This Row],[Recency]]&gt;=0,Audit_Data[[#This Row],[Recency]]&lt;=100),"Valid","Invalid")</f>
        <v>Valid</v>
      </c>
      <c r="AM532" t="str">
        <f t="shared" si="110"/>
        <v>Valid</v>
      </c>
      <c r="AN532" t="str">
        <f t="shared" si="111"/>
        <v>Valid</v>
      </c>
      <c r="AO532" t="str">
        <f t="shared" si="112"/>
        <v>Valid</v>
      </c>
      <c r="AP532" t="str">
        <f t="shared" si="113"/>
        <v>Valid</v>
      </c>
      <c r="AQ532" t="str">
        <f>IF(Audit_Data[[#This Row],[Z_CostContact]]=3,"Valid","Invalid")</f>
        <v>Valid</v>
      </c>
      <c r="AR532" t="str">
        <f t="shared" si="114"/>
        <v>Valid</v>
      </c>
      <c r="AS532" t="str">
        <f t="shared" si="115"/>
        <v>Valid</v>
      </c>
    </row>
    <row r="533" spans="1:45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 t="str">
        <f t="shared" si="104"/>
        <v>Ok</v>
      </c>
      <c r="AE533" t="str">
        <f>IF(AND(Audit_Data[[#This Row],[Year_Birth]]&gt;=1900,Audit_Data[[#This Row],[Year_Birth]]&lt;=2010),"OK","Invalid")</f>
        <v>OK</v>
      </c>
      <c r="AF533" t="str">
        <f t="shared" si="105"/>
        <v>Valid</v>
      </c>
      <c r="AG533" t="str">
        <f t="shared" si="106"/>
        <v>Valid</v>
      </c>
      <c r="AH533" t="str">
        <f t="shared" si="107"/>
        <v>Valid</v>
      </c>
      <c r="AI533" t="str">
        <f t="shared" si="108"/>
        <v>Valid</v>
      </c>
      <c r="AJ533" t="str">
        <f t="shared" si="109"/>
        <v>Valid</v>
      </c>
      <c r="AK533" t="str">
        <f t="shared" si="116"/>
        <v xml:space="preserve">Valid </v>
      </c>
      <c r="AL533" t="str">
        <f>IF(AND(Audit_Data[[#This Row],[Recency]]&gt;=0,Audit_Data[[#This Row],[Recency]]&lt;=100),"Valid","Invalid")</f>
        <v>Valid</v>
      </c>
      <c r="AM533" t="str">
        <f t="shared" si="110"/>
        <v>Valid</v>
      </c>
      <c r="AN533" t="str">
        <f t="shared" si="111"/>
        <v>Valid</v>
      </c>
      <c r="AO533" t="str">
        <f t="shared" si="112"/>
        <v>Valid</v>
      </c>
      <c r="AP533" t="str">
        <f t="shared" si="113"/>
        <v>Valid</v>
      </c>
      <c r="AQ533" t="str">
        <f>IF(Audit_Data[[#This Row],[Z_CostContact]]=3,"Valid","Invalid")</f>
        <v>Valid</v>
      </c>
      <c r="AR533" t="str">
        <f t="shared" si="114"/>
        <v>Valid</v>
      </c>
      <c r="AS533" t="str">
        <f t="shared" si="115"/>
        <v>Valid</v>
      </c>
    </row>
    <row r="534" spans="1:45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 t="str">
        <f t="shared" si="104"/>
        <v>Ok</v>
      </c>
      <c r="AE534" t="str">
        <f>IF(AND(Audit_Data[[#This Row],[Year_Birth]]&gt;=1900,Audit_Data[[#This Row],[Year_Birth]]&lt;=2010),"OK","Invalid")</f>
        <v>OK</v>
      </c>
      <c r="AF534" t="str">
        <f t="shared" si="105"/>
        <v>Valid</v>
      </c>
      <c r="AG534" t="str">
        <f t="shared" si="106"/>
        <v>Valid</v>
      </c>
      <c r="AH534" t="str">
        <f t="shared" si="107"/>
        <v>Valid</v>
      </c>
      <c r="AI534" t="str">
        <f t="shared" si="108"/>
        <v>Valid</v>
      </c>
      <c r="AJ534" t="str">
        <f t="shared" si="109"/>
        <v>Valid</v>
      </c>
      <c r="AK534" t="str">
        <f t="shared" si="116"/>
        <v xml:space="preserve">Valid </v>
      </c>
      <c r="AL534" t="str">
        <f>IF(AND(Audit_Data[[#This Row],[Recency]]&gt;=0,Audit_Data[[#This Row],[Recency]]&lt;=100),"Valid","Invalid")</f>
        <v>Valid</v>
      </c>
      <c r="AM534" t="str">
        <f t="shared" si="110"/>
        <v>Valid</v>
      </c>
      <c r="AN534" t="str">
        <f t="shared" si="111"/>
        <v>Valid</v>
      </c>
      <c r="AO534" t="str">
        <f t="shared" si="112"/>
        <v>Valid</v>
      </c>
      <c r="AP534" t="str">
        <f t="shared" si="113"/>
        <v>Valid</v>
      </c>
      <c r="AQ534" t="str">
        <f>IF(Audit_Data[[#This Row],[Z_CostContact]]=3,"Valid","Invalid")</f>
        <v>Valid</v>
      </c>
      <c r="AR534" t="str">
        <f t="shared" si="114"/>
        <v>Valid</v>
      </c>
      <c r="AS534" t="str">
        <f t="shared" si="115"/>
        <v>Valid</v>
      </c>
    </row>
    <row r="535" spans="1:45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 t="str">
        <f t="shared" si="104"/>
        <v>Ok</v>
      </c>
      <c r="AE535" t="str">
        <f>IF(AND(Audit_Data[[#This Row],[Year_Birth]]&gt;=1900,Audit_Data[[#This Row],[Year_Birth]]&lt;=2010),"OK","Invalid")</f>
        <v>OK</v>
      </c>
      <c r="AF535" t="str">
        <f t="shared" si="105"/>
        <v>Valid</v>
      </c>
      <c r="AG535" t="str">
        <f t="shared" si="106"/>
        <v>Valid</v>
      </c>
      <c r="AH535" t="str">
        <f t="shared" si="107"/>
        <v>Valid</v>
      </c>
      <c r="AI535" t="str">
        <f t="shared" si="108"/>
        <v>Valid</v>
      </c>
      <c r="AJ535" t="str">
        <f t="shared" si="109"/>
        <v>Valid</v>
      </c>
      <c r="AK535" t="str">
        <f t="shared" si="116"/>
        <v xml:space="preserve">Valid </v>
      </c>
      <c r="AL535" t="str">
        <f>IF(AND(Audit_Data[[#This Row],[Recency]]&gt;=0,Audit_Data[[#This Row],[Recency]]&lt;=100),"Valid","Invalid")</f>
        <v>Valid</v>
      </c>
      <c r="AM535" t="str">
        <f t="shared" si="110"/>
        <v>Valid</v>
      </c>
      <c r="AN535" t="str">
        <f t="shared" si="111"/>
        <v>Valid</v>
      </c>
      <c r="AO535" t="str">
        <f t="shared" si="112"/>
        <v>Valid</v>
      </c>
      <c r="AP535" t="str">
        <f t="shared" si="113"/>
        <v>Valid</v>
      </c>
      <c r="AQ535" t="str">
        <f>IF(Audit_Data[[#This Row],[Z_CostContact]]=3,"Valid","Invalid")</f>
        <v>Valid</v>
      </c>
      <c r="AR535" t="str">
        <f t="shared" si="114"/>
        <v>Valid</v>
      </c>
      <c r="AS535" t="str">
        <f t="shared" si="115"/>
        <v>Valid</v>
      </c>
    </row>
    <row r="536" spans="1:45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 t="str">
        <f t="shared" si="104"/>
        <v>Ok</v>
      </c>
      <c r="AE536" t="str">
        <f>IF(AND(Audit_Data[[#This Row],[Year_Birth]]&gt;=1900,Audit_Data[[#This Row],[Year_Birth]]&lt;=2010),"OK","Invalid")</f>
        <v>OK</v>
      </c>
      <c r="AF536" t="str">
        <f t="shared" si="105"/>
        <v>Valid</v>
      </c>
      <c r="AG536" t="str">
        <f t="shared" si="106"/>
        <v>Valid</v>
      </c>
      <c r="AH536" t="str">
        <f t="shared" si="107"/>
        <v>Valid</v>
      </c>
      <c r="AI536" t="str">
        <f t="shared" si="108"/>
        <v>Valid</v>
      </c>
      <c r="AJ536" t="str">
        <f t="shared" si="109"/>
        <v>Valid</v>
      </c>
      <c r="AK536" t="str">
        <f t="shared" si="116"/>
        <v xml:space="preserve">Valid </v>
      </c>
      <c r="AL536" t="str">
        <f>IF(AND(Audit_Data[[#This Row],[Recency]]&gt;=0,Audit_Data[[#This Row],[Recency]]&lt;=100),"Valid","Invalid")</f>
        <v>Valid</v>
      </c>
      <c r="AM536" t="str">
        <f t="shared" si="110"/>
        <v>Valid</v>
      </c>
      <c r="AN536" t="str">
        <f t="shared" si="111"/>
        <v>Valid</v>
      </c>
      <c r="AO536" t="str">
        <f t="shared" si="112"/>
        <v>Valid</v>
      </c>
      <c r="AP536" t="str">
        <f t="shared" si="113"/>
        <v>Valid</v>
      </c>
      <c r="AQ536" t="str">
        <f>IF(Audit_Data[[#This Row],[Z_CostContact]]=3,"Valid","Invalid")</f>
        <v>Valid</v>
      </c>
      <c r="AR536" t="str">
        <f t="shared" si="114"/>
        <v>Valid</v>
      </c>
      <c r="AS536" t="str">
        <f t="shared" si="115"/>
        <v>Valid</v>
      </c>
    </row>
    <row r="537" spans="1:45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 t="str">
        <f t="shared" si="104"/>
        <v>Ok</v>
      </c>
      <c r="AE537" t="str">
        <f>IF(AND(Audit_Data[[#This Row],[Year_Birth]]&gt;=1900,Audit_Data[[#This Row],[Year_Birth]]&lt;=2010),"OK","Invalid")</f>
        <v>OK</v>
      </c>
      <c r="AF537" t="str">
        <f t="shared" si="105"/>
        <v>Valid</v>
      </c>
      <c r="AG537" t="str">
        <f t="shared" si="106"/>
        <v>Valid</v>
      </c>
      <c r="AH537" t="str">
        <f t="shared" si="107"/>
        <v>Valid</v>
      </c>
      <c r="AI537" t="str">
        <f t="shared" si="108"/>
        <v>Valid</v>
      </c>
      <c r="AJ537" t="str">
        <f t="shared" si="109"/>
        <v>Valid</v>
      </c>
      <c r="AK537" t="str">
        <f t="shared" si="116"/>
        <v xml:space="preserve">Valid </v>
      </c>
      <c r="AL537" t="str">
        <f>IF(AND(Audit_Data[[#This Row],[Recency]]&gt;=0,Audit_Data[[#This Row],[Recency]]&lt;=100),"Valid","Invalid")</f>
        <v>Valid</v>
      </c>
      <c r="AM537" t="str">
        <f t="shared" si="110"/>
        <v>Valid</v>
      </c>
      <c r="AN537" t="str">
        <f t="shared" si="111"/>
        <v>Valid</v>
      </c>
      <c r="AO537" t="str">
        <f t="shared" si="112"/>
        <v>Valid</v>
      </c>
      <c r="AP537" t="str">
        <f t="shared" si="113"/>
        <v>Valid</v>
      </c>
      <c r="AQ537" t="str">
        <f>IF(Audit_Data[[#This Row],[Z_CostContact]]=3,"Valid","Invalid")</f>
        <v>Valid</v>
      </c>
      <c r="AR537" t="str">
        <f t="shared" si="114"/>
        <v>Valid</v>
      </c>
      <c r="AS537" t="str">
        <f t="shared" si="115"/>
        <v>Valid</v>
      </c>
    </row>
    <row r="538" spans="1:45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 t="str">
        <f t="shared" si="104"/>
        <v>Ok</v>
      </c>
      <c r="AE538" t="str">
        <f>IF(AND(Audit_Data[[#This Row],[Year_Birth]]&gt;=1900,Audit_Data[[#This Row],[Year_Birth]]&lt;=2010),"OK","Invalid")</f>
        <v>OK</v>
      </c>
      <c r="AF538" t="str">
        <f t="shared" si="105"/>
        <v>Valid</v>
      </c>
      <c r="AG538" t="str">
        <f t="shared" si="106"/>
        <v>Valid</v>
      </c>
      <c r="AH538" t="str">
        <f t="shared" si="107"/>
        <v>Valid</v>
      </c>
      <c r="AI538" t="str">
        <f t="shared" si="108"/>
        <v>Valid</v>
      </c>
      <c r="AJ538" t="str">
        <f t="shared" si="109"/>
        <v>Valid</v>
      </c>
      <c r="AK538" t="str">
        <f t="shared" si="116"/>
        <v xml:space="preserve">Valid </v>
      </c>
      <c r="AL538" t="str">
        <f>IF(AND(Audit_Data[[#This Row],[Recency]]&gt;=0,Audit_Data[[#This Row],[Recency]]&lt;=100),"Valid","Invalid")</f>
        <v>Valid</v>
      </c>
      <c r="AM538" t="str">
        <f t="shared" si="110"/>
        <v>Valid</v>
      </c>
      <c r="AN538" t="str">
        <f t="shared" si="111"/>
        <v>Valid</v>
      </c>
      <c r="AO538" t="str">
        <f t="shared" si="112"/>
        <v>Valid</v>
      </c>
      <c r="AP538" t="str">
        <f t="shared" si="113"/>
        <v>Valid</v>
      </c>
      <c r="AQ538" t="str">
        <f>IF(Audit_Data[[#This Row],[Z_CostContact]]=3,"Valid","Invalid")</f>
        <v>Valid</v>
      </c>
      <c r="AR538" t="str">
        <f t="shared" si="114"/>
        <v>Valid</v>
      </c>
      <c r="AS538" t="str">
        <f t="shared" si="115"/>
        <v>Valid</v>
      </c>
    </row>
    <row r="539" spans="1:45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 t="str">
        <f t="shared" si="104"/>
        <v>Ok</v>
      </c>
      <c r="AE539" t="str">
        <f>IF(AND(Audit_Data[[#This Row],[Year_Birth]]&gt;=1900,Audit_Data[[#This Row],[Year_Birth]]&lt;=2010),"OK","Invalid")</f>
        <v>OK</v>
      </c>
      <c r="AF539" t="str">
        <f t="shared" si="105"/>
        <v>Valid</v>
      </c>
      <c r="AG539" t="str">
        <f t="shared" si="106"/>
        <v>Valid</v>
      </c>
      <c r="AH539" t="str">
        <f t="shared" si="107"/>
        <v>Valid</v>
      </c>
      <c r="AI539" t="str">
        <f t="shared" si="108"/>
        <v>Valid</v>
      </c>
      <c r="AJ539" t="str">
        <f t="shared" si="109"/>
        <v>Valid</v>
      </c>
      <c r="AK539" t="str">
        <f t="shared" si="116"/>
        <v xml:space="preserve">Valid </v>
      </c>
      <c r="AL539" t="str">
        <f>IF(AND(Audit_Data[[#This Row],[Recency]]&gt;=0,Audit_Data[[#This Row],[Recency]]&lt;=100),"Valid","Invalid")</f>
        <v>Valid</v>
      </c>
      <c r="AM539" t="str">
        <f t="shared" si="110"/>
        <v>Valid</v>
      </c>
      <c r="AN539" t="str">
        <f t="shared" si="111"/>
        <v>Valid</v>
      </c>
      <c r="AO539" t="str">
        <f t="shared" si="112"/>
        <v>Valid</v>
      </c>
      <c r="AP539" t="str">
        <f t="shared" si="113"/>
        <v>Valid</v>
      </c>
      <c r="AQ539" t="str">
        <f>IF(Audit_Data[[#This Row],[Z_CostContact]]=3,"Valid","Invalid")</f>
        <v>Valid</v>
      </c>
      <c r="AR539" t="str">
        <f t="shared" si="114"/>
        <v>Valid</v>
      </c>
      <c r="AS539" t="str">
        <f t="shared" si="115"/>
        <v>Valid</v>
      </c>
    </row>
    <row r="540" spans="1:45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 t="str">
        <f t="shared" si="104"/>
        <v>Ok</v>
      </c>
      <c r="AE540" t="str">
        <f>IF(AND(Audit_Data[[#This Row],[Year_Birth]]&gt;=1900,Audit_Data[[#This Row],[Year_Birth]]&lt;=2010),"OK","Invalid")</f>
        <v>OK</v>
      </c>
      <c r="AF540" t="str">
        <f t="shared" si="105"/>
        <v>Valid</v>
      </c>
      <c r="AG540" t="str">
        <f t="shared" si="106"/>
        <v>Valid</v>
      </c>
      <c r="AH540" t="str">
        <f t="shared" si="107"/>
        <v>Valid</v>
      </c>
      <c r="AI540" t="str">
        <f t="shared" si="108"/>
        <v>Valid</v>
      </c>
      <c r="AJ540" t="str">
        <f t="shared" si="109"/>
        <v>Valid</v>
      </c>
      <c r="AK540" t="str">
        <f t="shared" si="116"/>
        <v xml:space="preserve">Valid </v>
      </c>
      <c r="AL540" t="str">
        <f>IF(AND(Audit_Data[[#This Row],[Recency]]&gt;=0,Audit_Data[[#This Row],[Recency]]&lt;=100),"Valid","Invalid")</f>
        <v>Valid</v>
      </c>
      <c r="AM540" t="str">
        <f t="shared" si="110"/>
        <v>Valid</v>
      </c>
      <c r="AN540" t="str">
        <f t="shared" si="111"/>
        <v>Valid</v>
      </c>
      <c r="AO540" t="str">
        <f t="shared" si="112"/>
        <v>Valid</v>
      </c>
      <c r="AP540" t="str">
        <f t="shared" si="113"/>
        <v>Valid</v>
      </c>
      <c r="AQ540" t="str">
        <f>IF(Audit_Data[[#This Row],[Z_CostContact]]=3,"Valid","Invalid")</f>
        <v>Valid</v>
      </c>
      <c r="AR540" t="str">
        <f t="shared" si="114"/>
        <v>Valid</v>
      </c>
      <c r="AS540" t="str">
        <f t="shared" si="115"/>
        <v>Valid</v>
      </c>
    </row>
    <row r="541" spans="1:45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 t="str">
        <f t="shared" si="104"/>
        <v>Ok</v>
      </c>
      <c r="AE541" t="str">
        <f>IF(AND(Audit_Data[[#This Row],[Year_Birth]]&gt;=1900,Audit_Data[[#This Row],[Year_Birth]]&lt;=2010),"OK","Invalid")</f>
        <v>OK</v>
      </c>
      <c r="AF541" t="str">
        <f t="shared" si="105"/>
        <v>Valid</v>
      </c>
      <c r="AG541" t="str">
        <f t="shared" si="106"/>
        <v>Valid</v>
      </c>
      <c r="AH541" t="str">
        <f t="shared" si="107"/>
        <v>Valid</v>
      </c>
      <c r="AI541" t="str">
        <f t="shared" si="108"/>
        <v>Valid</v>
      </c>
      <c r="AJ541" t="str">
        <f t="shared" si="109"/>
        <v>Valid</v>
      </c>
      <c r="AK541" t="str">
        <f t="shared" si="116"/>
        <v xml:space="preserve">Valid </v>
      </c>
      <c r="AL541" t="str">
        <f>IF(AND(Audit_Data[[#This Row],[Recency]]&gt;=0,Audit_Data[[#This Row],[Recency]]&lt;=100),"Valid","Invalid")</f>
        <v>Valid</v>
      </c>
      <c r="AM541" t="str">
        <f t="shared" si="110"/>
        <v>Valid</v>
      </c>
      <c r="AN541" t="str">
        <f t="shared" si="111"/>
        <v>Valid</v>
      </c>
      <c r="AO541" t="str">
        <f t="shared" si="112"/>
        <v>Valid</v>
      </c>
      <c r="AP541" t="str">
        <f t="shared" si="113"/>
        <v>Valid</v>
      </c>
      <c r="AQ541" t="str">
        <f>IF(Audit_Data[[#This Row],[Z_CostContact]]=3,"Valid","Invalid")</f>
        <v>Valid</v>
      </c>
      <c r="AR541" t="str">
        <f t="shared" si="114"/>
        <v>Valid</v>
      </c>
      <c r="AS541" t="str">
        <f t="shared" si="115"/>
        <v>Valid</v>
      </c>
    </row>
    <row r="542" spans="1:45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 t="str">
        <f t="shared" si="104"/>
        <v>Ok</v>
      </c>
      <c r="AE542" t="str">
        <f>IF(AND(Audit_Data[[#This Row],[Year_Birth]]&gt;=1900,Audit_Data[[#This Row],[Year_Birth]]&lt;=2010),"OK","Invalid")</f>
        <v>OK</v>
      </c>
      <c r="AF542" t="str">
        <f t="shared" si="105"/>
        <v>Valid</v>
      </c>
      <c r="AG542" t="str">
        <f t="shared" si="106"/>
        <v>Valid</v>
      </c>
      <c r="AH542" t="str">
        <f t="shared" si="107"/>
        <v>Valid</v>
      </c>
      <c r="AI542" t="str">
        <f t="shared" si="108"/>
        <v>Valid</v>
      </c>
      <c r="AJ542" t="str">
        <f t="shared" si="109"/>
        <v>Valid</v>
      </c>
      <c r="AK542" t="str">
        <f t="shared" si="116"/>
        <v xml:space="preserve">Valid </v>
      </c>
      <c r="AL542" t="str">
        <f>IF(AND(Audit_Data[[#This Row],[Recency]]&gt;=0,Audit_Data[[#This Row],[Recency]]&lt;=100),"Valid","Invalid")</f>
        <v>Valid</v>
      </c>
      <c r="AM542" t="str">
        <f t="shared" si="110"/>
        <v>Valid</v>
      </c>
      <c r="AN542" t="str">
        <f t="shared" si="111"/>
        <v>Valid</v>
      </c>
      <c r="AO542" t="str">
        <f t="shared" si="112"/>
        <v>Valid</v>
      </c>
      <c r="AP542" t="str">
        <f t="shared" si="113"/>
        <v>Valid</v>
      </c>
      <c r="AQ542" t="str">
        <f>IF(Audit_Data[[#This Row],[Z_CostContact]]=3,"Valid","Invalid")</f>
        <v>Valid</v>
      </c>
      <c r="AR542" t="str">
        <f t="shared" si="114"/>
        <v>Valid</v>
      </c>
      <c r="AS542" t="str">
        <f t="shared" si="115"/>
        <v>Valid</v>
      </c>
    </row>
    <row r="543" spans="1:45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 t="str">
        <f t="shared" si="104"/>
        <v>Ok</v>
      </c>
      <c r="AE543" t="str">
        <f>IF(AND(Audit_Data[[#This Row],[Year_Birth]]&gt;=1900,Audit_Data[[#This Row],[Year_Birth]]&lt;=2010),"OK","Invalid")</f>
        <v>OK</v>
      </c>
      <c r="AF543" t="str">
        <f t="shared" si="105"/>
        <v>Valid</v>
      </c>
      <c r="AG543" t="str">
        <f t="shared" si="106"/>
        <v>Valid</v>
      </c>
      <c r="AH543" t="str">
        <f t="shared" si="107"/>
        <v>Valid</v>
      </c>
      <c r="AI543" t="str">
        <f t="shared" si="108"/>
        <v>Valid</v>
      </c>
      <c r="AJ543" t="str">
        <f t="shared" si="109"/>
        <v>Valid</v>
      </c>
      <c r="AK543" t="str">
        <f t="shared" si="116"/>
        <v xml:space="preserve">Valid </v>
      </c>
      <c r="AL543" t="str">
        <f>IF(AND(Audit_Data[[#This Row],[Recency]]&gt;=0,Audit_Data[[#This Row],[Recency]]&lt;=100),"Valid","Invalid")</f>
        <v>Valid</v>
      </c>
      <c r="AM543" t="str">
        <f t="shared" si="110"/>
        <v>Valid</v>
      </c>
      <c r="AN543" t="str">
        <f t="shared" si="111"/>
        <v>Valid</v>
      </c>
      <c r="AO543" t="str">
        <f t="shared" si="112"/>
        <v>Valid</v>
      </c>
      <c r="AP543" t="str">
        <f t="shared" si="113"/>
        <v>Valid</v>
      </c>
      <c r="AQ543" t="str">
        <f>IF(Audit_Data[[#This Row],[Z_CostContact]]=3,"Valid","Invalid")</f>
        <v>Valid</v>
      </c>
      <c r="AR543" t="str">
        <f t="shared" si="114"/>
        <v>Valid</v>
      </c>
      <c r="AS543" t="str">
        <f t="shared" si="115"/>
        <v>Valid</v>
      </c>
    </row>
    <row r="544" spans="1:45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 t="str">
        <f t="shared" si="104"/>
        <v>Ok</v>
      </c>
      <c r="AE544" t="str">
        <f>IF(AND(Audit_Data[[#This Row],[Year_Birth]]&gt;=1900,Audit_Data[[#This Row],[Year_Birth]]&lt;=2010),"OK","Invalid")</f>
        <v>OK</v>
      </c>
      <c r="AF544" t="str">
        <f t="shared" si="105"/>
        <v>Valid</v>
      </c>
      <c r="AG544" t="str">
        <f t="shared" si="106"/>
        <v>Valid</v>
      </c>
      <c r="AH544" t="str">
        <f t="shared" si="107"/>
        <v>Valid</v>
      </c>
      <c r="AI544" t="str">
        <f t="shared" si="108"/>
        <v>Valid</v>
      </c>
      <c r="AJ544" t="str">
        <f t="shared" si="109"/>
        <v>Valid</v>
      </c>
      <c r="AK544" t="str">
        <f t="shared" si="116"/>
        <v xml:space="preserve">Valid </v>
      </c>
      <c r="AL544" t="str">
        <f>IF(AND(Audit_Data[[#This Row],[Recency]]&gt;=0,Audit_Data[[#This Row],[Recency]]&lt;=100),"Valid","Invalid")</f>
        <v>Valid</v>
      </c>
      <c r="AM544" t="str">
        <f t="shared" si="110"/>
        <v>Valid</v>
      </c>
      <c r="AN544" t="str">
        <f t="shared" si="111"/>
        <v>Valid</v>
      </c>
      <c r="AO544" t="str">
        <f t="shared" si="112"/>
        <v>Valid</v>
      </c>
      <c r="AP544" t="str">
        <f t="shared" si="113"/>
        <v>Valid</v>
      </c>
      <c r="AQ544" t="str">
        <f>IF(Audit_Data[[#This Row],[Z_CostContact]]=3,"Valid","Invalid")</f>
        <v>Valid</v>
      </c>
      <c r="AR544" t="str">
        <f t="shared" si="114"/>
        <v>Valid</v>
      </c>
      <c r="AS544" t="str">
        <f t="shared" si="115"/>
        <v>Valid</v>
      </c>
    </row>
    <row r="545" spans="1:45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 t="str">
        <f t="shared" si="104"/>
        <v>Ok</v>
      </c>
      <c r="AE545" t="str">
        <f>IF(AND(Audit_Data[[#This Row],[Year_Birth]]&gt;=1900,Audit_Data[[#This Row],[Year_Birth]]&lt;=2010),"OK","Invalid")</f>
        <v>OK</v>
      </c>
      <c r="AF545" t="str">
        <f t="shared" si="105"/>
        <v>Valid</v>
      </c>
      <c r="AG545" t="str">
        <f t="shared" si="106"/>
        <v>Valid</v>
      </c>
      <c r="AH545" t="str">
        <f t="shared" si="107"/>
        <v>Valid</v>
      </c>
      <c r="AI545" t="str">
        <f t="shared" si="108"/>
        <v>Valid</v>
      </c>
      <c r="AJ545" t="str">
        <f t="shared" si="109"/>
        <v>Valid</v>
      </c>
      <c r="AK545" t="str">
        <f t="shared" si="116"/>
        <v xml:space="preserve">Valid </v>
      </c>
      <c r="AL545" t="str">
        <f>IF(AND(Audit_Data[[#This Row],[Recency]]&gt;=0,Audit_Data[[#This Row],[Recency]]&lt;=100),"Valid","Invalid")</f>
        <v>Valid</v>
      </c>
      <c r="AM545" t="str">
        <f t="shared" si="110"/>
        <v>Valid</v>
      </c>
      <c r="AN545" t="str">
        <f t="shared" si="111"/>
        <v>Valid</v>
      </c>
      <c r="AO545" t="str">
        <f t="shared" si="112"/>
        <v>Valid</v>
      </c>
      <c r="AP545" t="str">
        <f t="shared" si="113"/>
        <v>Valid</v>
      </c>
      <c r="AQ545" t="str">
        <f>IF(Audit_Data[[#This Row],[Z_CostContact]]=3,"Valid","Invalid")</f>
        <v>Valid</v>
      </c>
      <c r="AR545" t="str">
        <f t="shared" si="114"/>
        <v>Valid</v>
      </c>
      <c r="AS545" t="str">
        <f t="shared" si="115"/>
        <v>Valid</v>
      </c>
    </row>
    <row r="546" spans="1:45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 t="str">
        <f t="shared" si="104"/>
        <v>Ok</v>
      </c>
      <c r="AE546" t="str">
        <f>IF(AND(Audit_Data[[#This Row],[Year_Birth]]&gt;=1900,Audit_Data[[#This Row],[Year_Birth]]&lt;=2010),"OK","Invalid")</f>
        <v>OK</v>
      </c>
      <c r="AF546" t="str">
        <f t="shared" si="105"/>
        <v>Valid</v>
      </c>
      <c r="AG546" t="str">
        <f t="shared" si="106"/>
        <v>Valid</v>
      </c>
      <c r="AH546" t="str">
        <f t="shared" si="107"/>
        <v>Valid</v>
      </c>
      <c r="AI546" t="str">
        <f t="shared" si="108"/>
        <v>Valid</v>
      </c>
      <c r="AJ546" t="str">
        <f t="shared" si="109"/>
        <v>Valid</v>
      </c>
      <c r="AK546" t="str">
        <f t="shared" si="116"/>
        <v xml:space="preserve">Valid </v>
      </c>
      <c r="AL546" t="str">
        <f>IF(AND(Audit_Data[[#This Row],[Recency]]&gt;=0,Audit_Data[[#This Row],[Recency]]&lt;=100),"Valid","Invalid")</f>
        <v>Valid</v>
      </c>
      <c r="AM546" t="str">
        <f t="shared" si="110"/>
        <v>Valid</v>
      </c>
      <c r="AN546" t="str">
        <f t="shared" si="111"/>
        <v>Valid</v>
      </c>
      <c r="AO546" t="str">
        <f t="shared" si="112"/>
        <v>Valid</v>
      </c>
      <c r="AP546" t="str">
        <f t="shared" si="113"/>
        <v>Valid</v>
      </c>
      <c r="AQ546" t="str">
        <f>IF(Audit_Data[[#This Row],[Z_CostContact]]=3,"Valid","Invalid")</f>
        <v>Valid</v>
      </c>
      <c r="AR546" t="str">
        <f t="shared" si="114"/>
        <v>Valid</v>
      </c>
      <c r="AS546" t="str">
        <f t="shared" si="115"/>
        <v>Valid</v>
      </c>
    </row>
    <row r="547" spans="1:45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 t="str">
        <f t="shared" si="104"/>
        <v>Ok</v>
      </c>
      <c r="AE547" t="str">
        <f>IF(AND(Audit_Data[[#This Row],[Year_Birth]]&gt;=1900,Audit_Data[[#This Row],[Year_Birth]]&lt;=2010),"OK","Invalid")</f>
        <v>OK</v>
      </c>
      <c r="AF547" t="str">
        <f t="shared" si="105"/>
        <v>Valid</v>
      </c>
      <c r="AG547" t="str">
        <f t="shared" si="106"/>
        <v>Valid</v>
      </c>
      <c r="AH547" t="str">
        <f t="shared" si="107"/>
        <v>Valid</v>
      </c>
      <c r="AI547" t="str">
        <f t="shared" si="108"/>
        <v>Valid</v>
      </c>
      <c r="AJ547" t="str">
        <f t="shared" si="109"/>
        <v>Valid</v>
      </c>
      <c r="AK547" t="str">
        <f t="shared" si="116"/>
        <v xml:space="preserve">Valid </v>
      </c>
      <c r="AL547" t="str">
        <f>IF(AND(Audit_Data[[#This Row],[Recency]]&gt;=0,Audit_Data[[#This Row],[Recency]]&lt;=100),"Valid","Invalid")</f>
        <v>Valid</v>
      </c>
      <c r="AM547" t="str">
        <f t="shared" si="110"/>
        <v>Valid</v>
      </c>
      <c r="AN547" t="str">
        <f t="shared" si="111"/>
        <v>Valid</v>
      </c>
      <c r="AO547" t="str">
        <f t="shared" si="112"/>
        <v>Valid</v>
      </c>
      <c r="AP547" t="str">
        <f t="shared" si="113"/>
        <v>Valid</v>
      </c>
      <c r="AQ547" t="str">
        <f>IF(Audit_Data[[#This Row],[Z_CostContact]]=3,"Valid","Invalid")</f>
        <v>Valid</v>
      </c>
      <c r="AR547" t="str">
        <f t="shared" si="114"/>
        <v>Valid</v>
      </c>
      <c r="AS547" t="str">
        <f t="shared" si="115"/>
        <v>Valid</v>
      </c>
    </row>
    <row r="548" spans="1:45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 t="str">
        <f t="shared" si="104"/>
        <v>Ok</v>
      </c>
      <c r="AE548" t="str">
        <f>IF(AND(Audit_Data[[#This Row],[Year_Birth]]&gt;=1900,Audit_Data[[#This Row],[Year_Birth]]&lt;=2010),"OK","Invalid")</f>
        <v>OK</v>
      </c>
      <c r="AF548" t="str">
        <f t="shared" si="105"/>
        <v>Valid</v>
      </c>
      <c r="AG548" t="str">
        <f t="shared" si="106"/>
        <v>Valid</v>
      </c>
      <c r="AH548" t="str">
        <f t="shared" si="107"/>
        <v>Valid</v>
      </c>
      <c r="AI548" t="str">
        <f t="shared" si="108"/>
        <v>Valid</v>
      </c>
      <c r="AJ548" t="str">
        <f t="shared" si="109"/>
        <v>Valid</v>
      </c>
      <c r="AK548" t="str">
        <f t="shared" si="116"/>
        <v xml:space="preserve">Valid </v>
      </c>
      <c r="AL548" t="str">
        <f>IF(AND(Audit_Data[[#This Row],[Recency]]&gt;=0,Audit_Data[[#This Row],[Recency]]&lt;=100),"Valid","Invalid")</f>
        <v>Valid</v>
      </c>
      <c r="AM548" t="str">
        <f t="shared" si="110"/>
        <v>Valid</v>
      </c>
      <c r="AN548" t="str">
        <f t="shared" si="111"/>
        <v>Valid</v>
      </c>
      <c r="AO548" t="str">
        <f t="shared" si="112"/>
        <v>Valid</v>
      </c>
      <c r="AP548" t="str">
        <f t="shared" si="113"/>
        <v>Valid</v>
      </c>
      <c r="AQ548" t="str">
        <f>IF(Audit_Data[[#This Row],[Z_CostContact]]=3,"Valid","Invalid")</f>
        <v>Valid</v>
      </c>
      <c r="AR548" t="str">
        <f t="shared" si="114"/>
        <v>Valid</v>
      </c>
      <c r="AS548" t="str">
        <f t="shared" si="115"/>
        <v>Valid</v>
      </c>
    </row>
    <row r="549" spans="1:45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 t="str">
        <f t="shared" si="104"/>
        <v>Ok</v>
      </c>
      <c r="AE549" t="str">
        <f>IF(AND(Audit_Data[[#This Row],[Year_Birth]]&gt;=1900,Audit_Data[[#This Row],[Year_Birth]]&lt;=2010),"OK","Invalid")</f>
        <v>OK</v>
      </c>
      <c r="AF549" t="str">
        <f t="shared" si="105"/>
        <v>Valid</v>
      </c>
      <c r="AG549" t="str">
        <f t="shared" si="106"/>
        <v>Valid</v>
      </c>
      <c r="AH549" t="str">
        <f t="shared" si="107"/>
        <v>Valid</v>
      </c>
      <c r="AI549" t="str">
        <f t="shared" si="108"/>
        <v>Valid</v>
      </c>
      <c r="AJ549" t="str">
        <f t="shared" si="109"/>
        <v>Valid</v>
      </c>
      <c r="AK549" t="str">
        <f t="shared" si="116"/>
        <v xml:space="preserve">Valid </v>
      </c>
      <c r="AL549" t="str">
        <f>IF(AND(Audit_Data[[#This Row],[Recency]]&gt;=0,Audit_Data[[#This Row],[Recency]]&lt;=100),"Valid","Invalid")</f>
        <v>Valid</v>
      </c>
      <c r="AM549" t="str">
        <f t="shared" si="110"/>
        <v>Valid</v>
      </c>
      <c r="AN549" t="str">
        <f t="shared" si="111"/>
        <v>Valid</v>
      </c>
      <c r="AO549" t="str">
        <f t="shared" si="112"/>
        <v>Valid</v>
      </c>
      <c r="AP549" t="str">
        <f t="shared" si="113"/>
        <v>Valid</v>
      </c>
      <c r="AQ549" t="str">
        <f>IF(Audit_Data[[#This Row],[Z_CostContact]]=3,"Valid","Invalid")</f>
        <v>Valid</v>
      </c>
      <c r="AR549" t="str">
        <f t="shared" si="114"/>
        <v>Valid</v>
      </c>
      <c r="AS549" t="str">
        <f t="shared" si="115"/>
        <v>Valid</v>
      </c>
    </row>
    <row r="550" spans="1:45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 t="str">
        <f t="shared" si="104"/>
        <v>Ok</v>
      </c>
      <c r="AE550" t="str">
        <f>IF(AND(Audit_Data[[#This Row],[Year_Birth]]&gt;=1900,Audit_Data[[#This Row],[Year_Birth]]&lt;=2010),"OK","Invalid")</f>
        <v>OK</v>
      </c>
      <c r="AF550" t="str">
        <f t="shared" si="105"/>
        <v>Valid</v>
      </c>
      <c r="AG550" t="str">
        <f t="shared" si="106"/>
        <v>Valid</v>
      </c>
      <c r="AH550" t="str">
        <f t="shared" si="107"/>
        <v>Valid</v>
      </c>
      <c r="AI550" t="str">
        <f t="shared" si="108"/>
        <v>Valid</v>
      </c>
      <c r="AJ550" t="str">
        <f t="shared" si="109"/>
        <v>Valid</v>
      </c>
      <c r="AK550" t="str">
        <f t="shared" si="116"/>
        <v xml:space="preserve">Valid </v>
      </c>
      <c r="AL550" t="str">
        <f>IF(AND(Audit_Data[[#This Row],[Recency]]&gt;=0,Audit_Data[[#This Row],[Recency]]&lt;=100),"Valid","Invalid")</f>
        <v>Valid</v>
      </c>
      <c r="AM550" t="str">
        <f t="shared" si="110"/>
        <v>Valid</v>
      </c>
      <c r="AN550" t="str">
        <f t="shared" si="111"/>
        <v>Valid</v>
      </c>
      <c r="AO550" t="str">
        <f t="shared" si="112"/>
        <v>Valid</v>
      </c>
      <c r="AP550" t="str">
        <f t="shared" si="113"/>
        <v>Valid</v>
      </c>
      <c r="AQ550" t="str">
        <f>IF(Audit_Data[[#This Row],[Z_CostContact]]=3,"Valid","Invalid")</f>
        <v>Valid</v>
      </c>
      <c r="AR550" t="str">
        <f t="shared" si="114"/>
        <v>Valid</v>
      </c>
      <c r="AS550" t="str">
        <f t="shared" si="115"/>
        <v>Valid</v>
      </c>
    </row>
    <row r="551" spans="1:45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 t="str">
        <f t="shared" si="104"/>
        <v>Ok</v>
      </c>
      <c r="AE551" t="str">
        <f>IF(AND(Audit_Data[[#This Row],[Year_Birth]]&gt;=1900,Audit_Data[[#This Row],[Year_Birth]]&lt;=2010),"OK","Invalid")</f>
        <v>OK</v>
      </c>
      <c r="AF551" t="str">
        <f t="shared" si="105"/>
        <v>Valid</v>
      </c>
      <c r="AG551" t="str">
        <f t="shared" si="106"/>
        <v>Valid</v>
      </c>
      <c r="AH551" t="str">
        <f t="shared" si="107"/>
        <v>Valid</v>
      </c>
      <c r="AI551" t="str">
        <f t="shared" si="108"/>
        <v>Valid</v>
      </c>
      <c r="AJ551" t="str">
        <f t="shared" si="109"/>
        <v>Valid</v>
      </c>
      <c r="AK551" t="str">
        <f t="shared" si="116"/>
        <v xml:space="preserve">Valid </v>
      </c>
      <c r="AL551" t="str">
        <f>IF(AND(Audit_Data[[#This Row],[Recency]]&gt;=0,Audit_Data[[#This Row],[Recency]]&lt;=100),"Valid","Invalid")</f>
        <v>Valid</v>
      </c>
      <c r="AM551" t="str">
        <f t="shared" si="110"/>
        <v>Valid</v>
      </c>
      <c r="AN551" t="str">
        <f t="shared" si="111"/>
        <v>Valid</v>
      </c>
      <c r="AO551" t="str">
        <f t="shared" si="112"/>
        <v>Valid</v>
      </c>
      <c r="AP551" t="str">
        <f t="shared" si="113"/>
        <v>Valid</v>
      </c>
      <c r="AQ551" t="str">
        <f>IF(Audit_Data[[#This Row],[Z_CostContact]]=3,"Valid","Invalid")</f>
        <v>Valid</v>
      </c>
      <c r="AR551" t="str">
        <f t="shared" si="114"/>
        <v>Valid</v>
      </c>
      <c r="AS551" t="str">
        <f t="shared" si="115"/>
        <v>Valid</v>
      </c>
    </row>
    <row r="552" spans="1:45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 t="str">
        <f t="shared" si="104"/>
        <v>Ok</v>
      </c>
      <c r="AE552" t="str">
        <f>IF(AND(Audit_Data[[#This Row],[Year_Birth]]&gt;=1900,Audit_Data[[#This Row],[Year_Birth]]&lt;=2010),"OK","Invalid")</f>
        <v>OK</v>
      </c>
      <c r="AF552" t="str">
        <f t="shared" si="105"/>
        <v>Valid</v>
      </c>
      <c r="AG552" t="str">
        <f t="shared" si="106"/>
        <v>Valid</v>
      </c>
      <c r="AH552" t="str">
        <f t="shared" si="107"/>
        <v>Valid</v>
      </c>
      <c r="AI552" t="str">
        <f t="shared" si="108"/>
        <v>Valid</v>
      </c>
      <c r="AJ552" t="str">
        <f t="shared" si="109"/>
        <v>Valid</v>
      </c>
      <c r="AK552" t="str">
        <f t="shared" si="116"/>
        <v xml:space="preserve">Valid </v>
      </c>
      <c r="AL552" t="str">
        <f>IF(AND(Audit_Data[[#This Row],[Recency]]&gt;=0,Audit_Data[[#This Row],[Recency]]&lt;=100),"Valid","Invalid")</f>
        <v>Valid</v>
      </c>
      <c r="AM552" t="str">
        <f t="shared" si="110"/>
        <v>Valid</v>
      </c>
      <c r="AN552" t="str">
        <f t="shared" si="111"/>
        <v>Valid</v>
      </c>
      <c r="AO552" t="str">
        <f t="shared" si="112"/>
        <v>Valid</v>
      </c>
      <c r="AP552" t="str">
        <f t="shared" si="113"/>
        <v>Valid</v>
      </c>
      <c r="AQ552" t="str">
        <f>IF(Audit_Data[[#This Row],[Z_CostContact]]=3,"Valid","Invalid")</f>
        <v>Valid</v>
      </c>
      <c r="AR552" t="str">
        <f t="shared" si="114"/>
        <v>Valid</v>
      </c>
      <c r="AS552" t="str">
        <f t="shared" si="115"/>
        <v>Valid</v>
      </c>
    </row>
    <row r="553" spans="1:45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 t="str">
        <f t="shared" si="104"/>
        <v>Ok</v>
      </c>
      <c r="AE553" t="str">
        <f>IF(AND(Audit_Data[[#This Row],[Year_Birth]]&gt;=1900,Audit_Data[[#This Row],[Year_Birth]]&lt;=2010),"OK","Invalid")</f>
        <v>OK</v>
      </c>
      <c r="AF553" t="str">
        <f t="shared" si="105"/>
        <v>Valid</v>
      </c>
      <c r="AG553" t="str">
        <f t="shared" si="106"/>
        <v>Valid</v>
      </c>
      <c r="AH553" t="str">
        <f t="shared" si="107"/>
        <v>Valid</v>
      </c>
      <c r="AI553" t="str">
        <f t="shared" si="108"/>
        <v>Valid</v>
      </c>
      <c r="AJ553" t="str">
        <f t="shared" si="109"/>
        <v>Valid</v>
      </c>
      <c r="AK553" t="str">
        <f t="shared" si="116"/>
        <v xml:space="preserve">Valid </v>
      </c>
      <c r="AL553" t="str">
        <f>IF(AND(Audit_Data[[#This Row],[Recency]]&gt;=0,Audit_Data[[#This Row],[Recency]]&lt;=100),"Valid","Invalid")</f>
        <v>Valid</v>
      </c>
      <c r="AM553" t="str">
        <f t="shared" si="110"/>
        <v>Valid</v>
      </c>
      <c r="AN553" t="str">
        <f t="shared" si="111"/>
        <v>Valid</v>
      </c>
      <c r="AO553" t="str">
        <f t="shared" si="112"/>
        <v>Valid</v>
      </c>
      <c r="AP553" t="str">
        <f t="shared" si="113"/>
        <v>Valid</v>
      </c>
      <c r="AQ553" t="str">
        <f>IF(Audit_Data[[#This Row],[Z_CostContact]]=3,"Valid","Invalid")</f>
        <v>Valid</v>
      </c>
      <c r="AR553" t="str">
        <f t="shared" si="114"/>
        <v>Valid</v>
      </c>
      <c r="AS553" t="str">
        <f t="shared" si="115"/>
        <v>Valid</v>
      </c>
    </row>
    <row r="554" spans="1:45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 t="str">
        <f t="shared" si="104"/>
        <v>Ok</v>
      </c>
      <c r="AE554" t="str">
        <f>IF(AND(Audit_Data[[#This Row],[Year_Birth]]&gt;=1900,Audit_Data[[#This Row],[Year_Birth]]&lt;=2010),"OK","Invalid")</f>
        <v>OK</v>
      </c>
      <c r="AF554" t="str">
        <f t="shared" si="105"/>
        <v>Valid</v>
      </c>
      <c r="AG554" t="str">
        <f t="shared" si="106"/>
        <v>Valid</v>
      </c>
      <c r="AH554" t="str">
        <f t="shared" si="107"/>
        <v>Valid</v>
      </c>
      <c r="AI554" t="str">
        <f t="shared" si="108"/>
        <v>Valid</v>
      </c>
      <c r="AJ554" t="str">
        <f t="shared" si="109"/>
        <v>Valid</v>
      </c>
      <c r="AK554" t="str">
        <f t="shared" si="116"/>
        <v xml:space="preserve">Valid </v>
      </c>
      <c r="AL554" t="str">
        <f>IF(AND(Audit_Data[[#This Row],[Recency]]&gt;=0,Audit_Data[[#This Row],[Recency]]&lt;=100),"Valid","Invalid")</f>
        <v>Valid</v>
      </c>
      <c r="AM554" t="str">
        <f t="shared" si="110"/>
        <v>Valid</v>
      </c>
      <c r="AN554" t="str">
        <f t="shared" si="111"/>
        <v>Valid</v>
      </c>
      <c r="AO554" t="str">
        <f t="shared" si="112"/>
        <v>Valid</v>
      </c>
      <c r="AP554" t="str">
        <f t="shared" si="113"/>
        <v>Valid</v>
      </c>
      <c r="AQ554" t="str">
        <f>IF(Audit_Data[[#This Row],[Z_CostContact]]=3,"Valid","Invalid")</f>
        <v>Valid</v>
      </c>
      <c r="AR554" t="str">
        <f t="shared" si="114"/>
        <v>Valid</v>
      </c>
      <c r="AS554" t="str">
        <f t="shared" si="115"/>
        <v>Valid</v>
      </c>
    </row>
    <row r="555" spans="1:45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 t="str">
        <f t="shared" si="104"/>
        <v>Ok</v>
      </c>
      <c r="AE555" t="str">
        <f>IF(AND(Audit_Data[[#This Row],[Year_Birth]]&gt;=1900,Audit_Data[[#This Row],[Year_Birth]]&lt;=2010),"OK","Invalid")</f>
        <v>OK</v>
      </c>
      <c r="AF555" t="str">
        <f t="shared" si="105"/>
        <v>Valid</v>
      </c>
      <c r="AG555" t="str">
        <f t="shared" si="106"/>
        <v>Valid</v>
      </c>
      <c r="AH555" t="str">
        <f t="shared" si="107"/>
        <v>Valid</v>
      </c>
      <c r="AI555" t="str">
        <f t="shared" si="108"/>
        <v>Valid</v>
      </c>
      <c r="AJ555" t="str">
        <f t="shared" si="109"/>
        <v>Valid</v>
      </c>
      <c r="AK555" t="str">
        <f t="shared" si="116"/>
        <v xml:space="preserve">Valid </v>
      </c>
      <c r="AL555" t="str">
        <f>IF(AND(Audit_Data[[#This Row],[Recency]]&gt;=0,Audit_Data[[#This Row],[Recency]]&lt;=100),"Valid","Invalid")</f>
        <v>Valid</v>
      </c>
      <c r="AM555" t="str">
        <f t="shared" si="110"/>
        <v>Valid</v>
      </c>
      <c r="AN555" t="str">
        <f t="shared" si="111"/>
        <v>Valid</v>
      </c>
      <c r="AO555" t="str">
        <f t="shared" si="112"/>
        <v>Valid</v>
      </c>
      <c r="AP555" t="str">
        <f t="shared" si="113"/>
        <v>Valid</v>
      </c>
      <c r="AQ555" t="str">
        <f>IF(Audit_Data[[#This Row],[Z_CostContact]]=3,"Valid","Invalid")</f>
        <v>Valid</v>
      </c>
      <c r="AR555" t="str">
        <f t="shared" si="114"/>
        <v>Valid</v>
      </c>
      <c r="AS555" t="str">
        <f t="shared" si="115"/>
        <v>Valid</v>
      </c>
    </row>
    <row r="556" spans="1:45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 t="str">
        <f t="shared" si="104"/>
        <v>Ok</v>
      </c>
      <c r="AE556" t="str">
        <f>IF(AND(Audit_Data[[#This Row],[Year_Birth]]&gt;=1900,Audit_Data[[#This Row],[Year_Birth]]&lt;=2010),"OK","Invalid")</f>
        <v>OK</v>
      </c>
      <c r="AF556" t="str">
        <f t="shared" si="105"/>
        <v>Valid</v>
      </c>
      <c r="AG556" t="str">
        <f t="shared" si="106"/>
        <v>Valid</v>
      </c>
      <c r="AH556" t="str">
        <f t="shared" si="107"/>
        <v>Valid</v>
      </c>
      <c r="AI556" t="str">
        <f t="shared" si="108"/>
        <v>Valid</v>
      </c>
      <c r="AJ556" t="str">
        <f t="shared" si="109"/>
        <v>Valid</v>
      </c>
      <c r="AK556" t="str">
        <f t="shared" si="116"/>
        <v xml:space="preserve">Valid </v>
      </c>
      <c r="AL556" t="str">
        <f>IF(AND(Audit_Data[[#This Row],[Recency]]&gt;=0,Audit_Data[[#This Row],[Recency]]&lt;=100),"Valid","Invalid")</f>
        <v>Valid</v>
      </c>
      <c r="AM556" t="str">
        <f t="shared" si="110"/>
        <v>Valid</v>
      </c>
      <c r="AN556" t="str">
        <f t="shared" si="111"/>
        <v>Valid</v>
      </c>
      <c r="AO556" t="str">
        <f t="shared" si="112"/>
        <v>Valid</v>
      </c>
      <c r="AP556" t="str">
        <f t="shared" si="113"/>
        <v>Valid</v>
      </c>
      <c r="AQ556" t="str">
        <f>IF(Audit_Data[[#This Row],[Z_CostContact]]=3,"Valid","Invalid")</f>
        <v>Valid</v>
      </c>
      <c r="AR556" t="str">
        <f t="shared" si="114"/>
        <v>Valid</v>
      </c>
      <c r="AS556" t="str">
        <f t="shared" si="115"/>
        <v>Valid</v>
      </c>
    </row>
    <row r="557" spans="1:45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 t="str">
        <f t="shared" si="104"/>
        <v>Ok</v>
      </c>
      <c r="AE557" t="str">
        <f>IF(AND(Audit_Data[[#This Row],[Year_Birth]]&gt;=1900,Audit_Data[[#This Row],[Year_Birth]]&lt;=2010),"OK","Invalid")</f>
        <v>OK</v>
      </c>
      <c r="AF557" t="str">
        <f t="shared" si="105"/>
        <v>Valid</v>
      </c>
      <c r="AG557" t="str">
        <f t="shared" si="106"/>
        <v>Valid</v>
      </c>
      <c r="AH557" t="str">
        <f t="shared" si="107"/>
        <v>Valid</v>
      </c>
      <c r="AI557" t="str">
        <f t="shared" si="108"/>
        <v>Valid</v>
      </c>
      <c r="AJ557" t="str">
        <f t="shared" si="109"/>
        <v>Valid</v>
      </c>
      <c r="AK557" t="str">
        <f t="shared" si="116"/>
        <v xml:space="preserve">Valid </v>
      </c>
      <c r="AL557" t="str">
        <f>IF(AND(Audit_Data[[#This Row],[Recency]]&gt;=0,Audit_Data[[#This Row],[Recency]]&lt;=100),"Valid","Invalid")</f>
        <v>Valid</v>
      </c>
      <c r="AM557" t="str">
        <f t="shared" si="110"/>
        <v>Valid</v>
      </c>
      <c r="AN557" t="str">
        <f t="shared" si="111"/>
        <v>Valid</v>
      </c>
      <c r="AO557" t="str">
        <f t="shared" si="112"/>
        <v>Valid</v>
      </c>
      <c r="AP557" t="str">
        <f t="shared" si="113"/>
        <v>Valid</v>
      </c>
      <c r="AQ557" t="str">
        <f>IF(Audit_Data[[#This Row],[Z_CostContact]]=3,"Valid","Invalid")</f>
        <v>Valid</v>
      </c>
      <c r="AR557" t="str">
        <f t="shared" si="114"/>
        <v>Valid</v>
      </c>
      <c r="AS557" t="str">
        <f t="shared" si="115"/>
        <v>Valid</v>
      </c>
    </row>
    <row r="558" spans="1:45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 t="str">
        <f t="shared" si="104"/>
        <v>Ok</v>
      </c>
      <c r="AE558" t="str">
        <f>IF(AND(Audit_Data[[#This Row],[Year_Birth]]&gt;=1900,Audit_Data[[#This Row],[Year_Birth]]&lt;=2010),"OK","Invalid")</f>
        <v>OK</v>
      </c>
      <c r="AF558" t="str">
        <f t="shared" si="105"/>
        <v>Valid</v>
      </c>
      <c r="AG558" t="str">
        <f t="shared" si="106"/>
        <v>Valid</v>
      </c>
      <c r="AH558" t="str">
        <f t="shared" si="107"/>
        <v>Valid</v>
      </c>
      <c r="AI558" t="str">
        <f t="shared" si="108"/>
        <v>Valid</v>
      </c>
      <c r="AJ558" t="str">
        <f t="shared" si="109"/>
        <v>Valid</v>
      </c>
      <c r="AK558" t="str">
        <f t="shared" si="116"/>
        <v xml:space="preserve">Valid </v>
      </c>
      <c r="AL558" t="str">
        <f>IF(AND(Audit_Data[[#This Row],[Recency]]&gt;=0,Audit_Data[[#This Row],[Recency]]&lt;=100),"Valid","Invalid")</f>
        <v>Valid</v>
      </c>
      <c r="AM558" t="str">
        <f t="shared" si="110"/>
        <v>Valid</v>
      </c>
      <c r="AN558" t="str">
        <f t="shared" si="111"/>
        <v>Valid</v>
      </c>
      <c r="AO558" t="str">
        <f t="shared" si="112"/>
        <v>Valid</v>
      </c>
      <c r="AP558" t="str">
        <f t="shared" si="113"/>
        <v>Valid</v>
      </c>
      <c r="AQ558" t="str">
        <f>IF(Audit_Data[[#This Row],[Z_CostContact]]=3,"Valid","Invalid")</f>
        <v>Valid</v>
      </c>
      <c r="AR558" t="str">
        <f t="shared" si="114"/>
        <v>Valid</v>
      </c>
      <c r="AS558" t="str">
        <f t="shared" si="115"/>
        <v>Valid</v>
      </c>
    </row>
    <row r="559" spans="1:45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 t="str">
        <f t="shared" si="104"/>
        <v>Ok</v>
      </c>
      <c r="AE559" t="str">
        <f>IF(AND(Audit_Data[[#This Row],[Year_Birth]]&gt;=1900,Audit_Data[[#This Row],[Year_Birth]]&lt;=2010),"OK","Invalid")</f>
        <v>OK</v>
      </c>
      <c r="AF559" t="str">
        <f t="shared" si="105"/>
        <v>Valid</v>
      </c>
      <c r="AG559" t="str">
        <f t="shared" si="106"/>
        <v>Valid</v>
      </c>
      <c r="AH559" t="str">
        <f t="shared" si="107"/>
        <v>Valid</v>
      </c>
      <c r="AI559" t="str">
        <f t="shared" si="108"/>
        <v>Valid</v>
      </c>
      <c r="AJ559" t="str">
        <f t="shared" si="109"/>
        <v>Valid</v>
      </c>
      <c r="AK559" t="str">
        <f t="shared" si="116"/>
        <v xml:space="preserve">Valid </v>
      </c>
      <c r="AL559" t="str">
        <f>IF(AND(Audit_Data[[#This Row],[Recency]]&gt;=0,Audit_Data[[#This Row],[Recency]]&lt;=100),"Valid","Invalid")</f>
        <v>Valid</v>
      </c>
      <c r="AM559" t="str">
        <f t="shared" si="110"/>
        <v>Valid</v>
      </c>
      <c r="AN559" t="str">
        <f t="shared" si="111"/>
        <v>Valid</v>
      </c>
      <c r="AO559" t="str">
        <f t="shared" si="112"/>
        <v>Valid</v>
      </c>
      <c r="AP559" t="str">
        <f t="shared" si="113"/>
        <v>Valid</v>
      </c>
      <c r="AQ559" t="str">
        <f>IF(Audit_Data[[#This Row],[Z_CostContact]]=3,"Valid","Invalid")</f>
        <v>Valid</v>
      </c>
      <c r="AR559" t="str">
        <f t="shared" si="114"/>
        <v>Valid</v>
      </c>
      <c r="AS559" t="str">
        <f t="shared" si="115"/>
        <v>Valid</v>
      </c>
    </row>
    <row r="560" spans="1:45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 t="str">
        <f t="shared" si="104"/>
        <v>Ok</v>
      </c>
      <c r="AE560" t="str">
        <f>IF(AND(Audit_Data[[#This Row],[Year_Birth]]&gt;=1900,Audit_Data[[#This Row],[Year_Birth]]&lt;=2010),"OK","Invalid")</f>
        <v>OK</v>
      </c>
      <c r="AF560" t="str">
        <f t="shared" si="105"/>
        <v>Valid</v>
      </c>
      <c r="AG560" t="str">
        <f t="shared" si="106"/>
        <v>Valid</v>
      </c>
      <c r="AH560" t="str">
        <f t="shared" si="107"/>
        <v>Valid</v>
      </c>
      <c r="AI560" t="str">
        <f t="shared" si="108"/>
        <v>Valid</v>
      </c>
      <c r="AJ560" t="str">
        <f t="shared" si="109"/>
        <v>Valid</v>
      </c>
      <c r="AK560" t="str">
        <f t="shared" si="116"/>
        <v xml:space="preserve">Valid </v>
      </c>
      <c r="AL560" t="str">
        <f>IF(AND(Audit_Data[[#This Row],[Recency]]&gt;=0,Audit_Data[[#This Row],[Recency]]&lt;=100),"Valid","Invalid")</f>
        <v>Valid</v>
      </c>
      <c r="AM560" t="str">
        <f t="shared" si="110"/>
        <v>Valid</v>
      </c>
      <c r="AN560" t="str">
        <f t="shared" si="111"/>
        <v>Valid</v>
      </c>
      <c r="AO560" t="str">
        <f t="shared" si="112"/>
        <v>Valid</v>
      </c>
      <c r="AP560" t="str">
        <f t="shared" si="113"/>
        <v>Valid</v>
      </c>
      <c r="AQ560" t="str">
        <f>IF(Audit_Data[[#This Row],[Z_CostContact]]=3,"Valid","Invalid")</f>
        <v>Valid</v>
      </c>
      <c r="AR560" t="str">
        <f t="shared" si="114"/>
        <v>Valid</v>
      </c>
      <c r="AS560" t="str">
        <f t="shared" si="115"/>
        <v>Valid</v>
      </c>
    </row>
    <row r="561" spans="1:45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 t="str">
        <f t="shared" si="104"/>
        <v>Ok</v>
      </c>
      <c r="AE561" t="str">
        <f>IF(AND(Audit_Data[[#This Row],[Year_Birth]]&gt;=1900,Audit_Data[[#This Row],[Year_Birth]]&lt;=2010),"OK","Invalid")</f>
        <v>OK</v>
      </c>
      <c r="AF561" t="str">
        <f t="shared" si="105"/>
        <v>Valid</v>
      </c>
      <c r="AG561" t="str">
        <f t="shared" si="106"/>
        <v>Valid</v>
      </c>
      <c r="AH561" t="str">
        <f t="shared" si="107"/>
        <v>Valid</v>
      </c>
      <c r="AI561" t="str">
        <f t="shared" si="108"/>
        <v>Valid</v>
      </c>
      <c r="AJ561" t="str">
        <f t="shared" si="109"/>
        <v>Valid</v>
      </c>
      <c r="AK561" t="str">
        <f t="shared" si="116"/>
        <v xml:space="preserve">Valid </v>
      </c>
      <c r="AL561" t="str">
        <f>IF(AND(Audit_Data[[#This Row],[Recency]]&gt;=0,Audit_Data[[#This Row],[Recency]]&lt;=100),"Valid","Invalid")</f>
        <v>Valid</v>
      </c>
      <c r="AM561" t="str">
        <f t="shared" si="110"/>
        <v>Valid</v>
      </c>
      <c r="AN561" t="str">
        <f t="shared" si="111"/>
        <v>Valid</v>
      </c>
      <c r="AO561" t="str">
        <f t="shared" si="112"/>
        <v>Valid</v>
      </c>
      <c r="AP561" t="str">
        <f t="shared" si="113"/>
        <v>Valid</v>
      </c>
      <c r="AQ561" t="str">
        <f>IF(Audit_Data[[#This Row],[Z_CostContact]]=3,"Valid","Invalid")</f>
        <v>Valid</v>
      </c>
      <c r="AR561" t="str">
        <f t="shared" si="114"/>
        <v>Valid</v>
      </c>
      <c r="AS561" t="str">
        <f t="shared" si="115"/>
        <v>Valid</v>
      </c>
    </row>
    <row r="562" spans="1:45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 t="str">
        <f t="shared" si="104"/>
        <v>Ok</v>
      </c>
      <c r="AE562" t="str">
        <f>IF(AND(Audit_Data[[#This Row],[Year_Birth]]&gt;=1900,Audit_Data[[#This Row],[Year_Birth]]&lt;=2010),"OK","Invalid")</f>
        <v>OK</v>
      </c>
      <c r="AF562" t="str">
        <f t="shared" si="105"/>
        <v>Valid</v>
      </c>
      <c r="AG562" t="str">
        <f t="shared" si="106"/>
        <v>Valid</v>
      </c>
      <c r="AH562" t="str">
        <f t="shared" si="107"/>
        <v>Valid</v>
      </c>
      <c r="AI562" t="str">
        <f t="shared" si="108"/>
        <v>Valid</v>
      </c>
      <c r="AJ562" t="str">
        <f t="shared" si="109"/>
        <v>Valid</v>
      </c>
      <c r="AK562" t="str">
        <f t="shared" si="116"/>
        <v xml:space="preserve">Valid </v>
      </c>
      <c r="AL562" t="str">
        <f>IF(AND(Audit_Data[[#This Row],[Recency]]&gt;=0,Audit_Data[[#This Row],[Recency]]&lt;=100),"Valid","Invalid")</f>
        <v>Valid</v>
      </c>
      <c r="AM562" t="str">
        <f t="shared" si="110"/>
        <v>Valid</v>
      </c>
      <c r="AN562" t="str">
        <f t="shared" si="111"/>
        <v>Valid</v>
      </c>
      <c r="AO562" t="str">
        <f t="shared" si="112"/>
        <v>Valid</v>
      </c>
      <c r="AP562" t="str">
        <f t="shared" si="113"/>
        <v>Valid</v>
      </c>
      <c r="AQ562" t="str">
        <f>IF(Audit_Data[[#This Row],[Z_CostContact]]=3,"Valid","Invalid")</f>
        <v>Valid</v>
      </c>
      <c r="AR562" t="str">
        <f t="shared" si="114"/>
        <v>Valid</v>
      </c>
      <c r="AS562" t="str">
        <f t="shared" si="115"/>
        <v>Valid</v>
      </c>
    </row>
    <row r="563" spans="1:45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 t="str">
        <f t="shared" si="104"/>
        <v>Ok</v>
      </c>
      <c r="AE563" t="str">
        <f>IF(AND(Audit_Data[[#This Row],[Year_Birth]]&gt;=1900,Audit_Data[[#This Row],[Year_Birth]]&lt;=2010),"OK","Invalid")</f>
        <v>OK</v>
      </c>
      <c r="AF563" t="str">
        <f t="shared" si="105"/>
        <v>Valid</v>
      </c>
      <c r="AG563" t="str">
        <f t="shared" si="106"/>
        <v>Valid</v>
      </c>
      <c r="AH563" t="str">
        <f t="shared" si="107"/>
        <v>Valid</v>
      </c>
      <c r="AI563" t="str">
        <f t="shared" si="108"/>
        <v>Valid</v>
      </c>
      <c r="AJ563" t="str">
        <f t="shared" si="109"/>
        <v>Valid</v>
      </c>
      <c r="AK563" t="str">
        <f t="shared" si="116"/>
        <v xml:space="preserve">Valid </v>
      </c>
      <c r="AL563" t="str">
        <f>IF(AND(Audit_Data[[#This Row],[Recency]]&gt;=0,Audit_Data[[#This Row],[Recency]]&lt;=100),"Valid","Invalid")</f>
        <v>Valid</v>
      </c>
      <c r="AM563" t="str">
        <f t="shared" si="110"/>
        <v>Valid</v>
      </c>
      <c r="AN563" t="str">
        <f t="shared" si="111"/>
        <v>Valid</v>
      </c>
      <c r="AO563" t="str">
        <f t="shared" si="112"/>
        <v>Valid</v>
      </c>
      <c r="AP563" t="str">
        <f t="shared" si="113"/>
        <v>Valid</v>
      </c>
      <c r="AQ563" t="str">
        <f>IF(Audit_Data[[#This Row],[Z_CostContact]]=3,"Valid","Invalid")</f>
        <v>Valid</v>
      </c>
      <c r="AR563" t="str">
        <f t="shared" si="114"/>
        <v>Valid</v>
      </c>
      <c r="AS563" t="str">
        <f t="shared" si="115"/>
        <v>Valid</v>
      </c>
    </row>
    <row r="564" spans="1:45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 t="str">
        <f t="shared" si="104"/>
        <v>Ok</v>
      </c>
      <c r="AE564" t="str">
        <f>IF(AND(Audit_Data[[#This Row],[Year_Birth]]&gt;=1900,Audit_Data[[#This Row],[Year_Birth]]&lt;=2010),"OK","Invalid")</f>
        <v>OK</v>
      </c>
      <c r="AF564" t="str">
        <f t="shared" si="105"/>
        <v>Valid</v>
      </c>
      <c r="AG564" t="str">
        <f t="shared" si="106"/>
        <v>Valid</v>
      </c>
      <c r="AH564" t="str">
        <f t="shared" si="107"/>
        <v>Valid</v>
      </c>
      <c r="AI564" t="str">
        <f t="shared" si="108"/>
        <v>Valid</v>
      </c>
      <c r="AJ564" t="str">
        <f t="shared" si="109"/>
        <v>Valid</v>
      </c>
      <c r="AK564" t="str">
        <f t="shared" si="116"/>
        <v xml:space="preserve">Valid </v>
      </c>
      <c r="AL564" t="str">
        <f>IF(AND(Audit_Data[[#This Row],[Recency]]&gt;=0,Audit_Data[[#This Row],[Recency]]&lt;=100),"Valid","Invalid")</f>
        <v>Valid</v>
      </c>
      <c r="AM564" t="str">
        <f t="shared" si="110"/>
        <v>Valid</v>
      </c>
      <c r="AN564" t="str">
        <f t="shared" si="111"/>
        <v>Valid</v>
      </c>
      <c r="AO564" t="str">
        <f t="shared" si="112"/>
        <v>Valid</v>
      </c>
      <c r="AP564" t="str">
        <f t="shared" si="113"/>
        <v>Valid</v>
      </c>
      <c r="AQ564" t="str">
        <f>IF(Audit_Data[[#This Row],[Z_CostContact]]=3,"Valid","Invalid")</f>
        <v>Valid</v>
      </c>
      <c r="AR564" t="str">
        <f t="shared" si="114"/>
        <v>Valid</v>
      </c>
      <c r="AS564" t="str">
        <f t="shared" si="115"/>
        <v>Valid</v>
      </c>
    </row>
    <row r="565" spans="1:45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 t="str">
        <f t="shared" si="104"/>
        <v>Ok</v>
      </c>
      <c r="AE565" t="str">
        <f>IF(AND(Audit_Data[[#This Row],[Year_Birth]]&gt;=1900,Audit_Data[[#This Row],[Year_Birth]]&lt;=2010),"OK","Invalid")</f>
        <v>OK</v>
      </c>
      <c r="AF565" t="str">
        <f t="shared" si="105"/>
        <v>Valid</v>
      </c>
      <c r="AG565" t="str">
        <f t="shared" si="106"/>
        <v>Valid</v>
      </c>
      <c r="AH565" t="str">
        <f t="shared" si="107"/>
        <v>Valid</v>
      </c>
      <c r="AI565" t="str">
        <f t="shared" si="108"/>
        <v>Valid</v>
      </c>
      <c r="AJ565" t="str">
        <f t="shared" si="109"/>
        <v>Valid</v>
      </c>
      <c r="AK565" t="str">
        <f t="shared" si="116"/>
        <v xml:space="preserve">Valid </v>
      </c>
      <c r="AL565" t="str">
        <f>IF(AND(Audit_Data[[#This Row],[Recency]]&gt;=0,Audit_Data[[#This Row],[Recency]]&lt;=100),"Valid","Invalid")</f>
        <v>Valid</v>
      </c>
      <c r="AM565" t="str">
        <f t="shared" si="110"/>
        <v>Valid</v>
      </c>
      <c r="AN565" t="str">
        <f t="shared" si="111"/>
        <v>Valid</v>
      </c>
      <c r="AO565" t="str">
        <f t="shared" si="112"/>
        <v>Valid</v>
      </c>
      <c r="AP565" t="str">
        <f t="shared" si="113"/>
        <v>Valid</v>
      </c>
      <c r="AQ565" t="str">
        <f>IF(Audit_Data[[#This Row],[Z_CostContact]]=3,"Valid","Invalid")</f>
        <v>Valid</v>
      </c>
      <c r="AR565" t="str">
        <f t="shared" si="114"/>
        <v>Valid</v>
      </c>
      <c r="AS565" t="str">
        <f t="shared" si="115"/>
        <v>Valid</v>
      </c>
    </row>
    <row r="566" spans="1:45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 t="str">
        <f t="shared" si="104"/>
        <v>Ok</v>
      </c>
      <c r="AE566" t="str">
        <f>IF(AND(Audit_Data[[#This Row],[Year_Birth]]&gt;=1900,Audit_Data[[#This Row],[Year_Birth]]&lt;=2010),"OK","Invalid")</f>
        <v>OK</v>
      </c>
      <c r="AF566" t="str">
        <f t="shared" si="105"/>
        <v>Valid</v>
      </c>
      <c r="AG566" t="str">
        <f t="shared" si="106"/>
        <v>Valid</v>
      </c>
      <c r="AH566" t="str">
        <f t="shared" si="107"/>
        <v>Valid</v>
      </c>
      <c r="AI566" t="str">
        <f t="shared" si="108"/>
        <v>Valid</v>
      </c>
      <c r="AJ566" t="str">
        <f t="shared" si="109"/>
        <v>Valid</v>
      </c>
      <c r="AK566" t="str">
        <f t="shared" si="116"/>
        <v xml:space="preserve">Valid </v>
      </c>
      <c r="AL566" t="str">
        <f>IF(AND(Audit_Data[[#This Row],[Recency]]&gt;=0,Audit_Data[[#This Row],[Recency]]&lt;=100),"Valid","Invalid")</f>
        <v>Valid</v>
      </c>
      <c r="AM566" t="str">
        <f t="shared" si="110"/>
        <v>Valid</v>
      </c>
      <c r="AN566" t="str">
        <f t="shared" si="111"/>
        <v>Valid</v>
      </c>
      <c r="AO566" t="str">
        <f t="shared" si="112"/>
        <v>Valid</v>
      </c>
      <c r="AP566" t="str">
        <f t="shared" si="113"/>
        <v>Valid</v>
      </c>
      <c r="AQ566" t="str">
        <f>IF(Audit_Data[[#This Row],[Z_CostContact]]=3,"Valid","Invalid")</f>
        <v>Valid</v>
      </c>
      <c r="AR566" t="str">
        <f t="shared" si="114"/>
        <v>Valid</v>
      </c>
      <c r="AS566" t="str">
        <f t="shared" si="115"/>
        <v>Valid</v>
      </c>
    </row>
    <row r="567" spans="1:45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 t="str">
        <f t="shared" si="104"/>
        <v>Ok</v>
      </c>
      <c r="AE567" t="str">
        <f>IF(AND(Audit_Data[[#This Row],[Year_Birth]]&gt;=1900,Audit_Data[[#This Row],[Year_Birth]]&lt;=2010),"OK","Invalid")</f>
        <v>OK</v>
      </c>
      <c r="AF567" t="str">
        <f t="shared" si="105"/>
        <v>Valid</v>
      </c>
      <c r="AG567" t="str">
        <f t="shared" si="106"/>
        <v>Valid</v>
      </c>
      <c r="AH567" t="str">
        <f t="shared" si="107"/>
        <v>Valid</v>
      </c>
      <c r="AI567" t="str">
        <f t="shared" si="108"/>
        <v>Valid</v>
      </c>
      <c r="AJ567" t="str">
        <f t="shared" si="109"/>
        <v>Valid</v>
      </c>
      <c r="AK567" t="str">
        <f t="shared" si="116"/>
        <v xml:space="preserve">Valid </v>
      </c>
      <c r="AL567" t="str">
        <f>IF(AND(Audit_Data[[#This Row],[Recency]]&gt;=0,Audit_Data[[#This Row],[Recency]]&lt;=100),"Valid","Invalid")</f>
        <v>Valid</v>
      </c>
      <c r="AM567" t="str">
        <f t="shared" si="110"/>
        <v>Valid</v>
      </c>
      <c r="AN567" t="str">
        <f t="shared" si="111"/>
        <v>Valid</v>
      </c>
      <c r="AO567" t="str">
        <f t="shared" si="112"/>
        <v>Valid</v>
      </c>
      <c r="AP567" t="str">
        <f t="shared" si="113"/>
        <v>Valid</v>
      </c>
      <c r="AQ567" t="str">
        <f>IF(Audit_Data[[#This Row],[Z_CostContact]]=3,"Valid","Invalid")</f>
        <v>Valid</v>
      </c>
      <c r="AR567" t="str">
        <f t="shared" si="114"/>
        <v>Valid</v>
      </c>
      <c r="AS567" t="str">
        <f t="shared" si="115"/>
        <v>Valid</v>
      </c>
    </row>
    <row r="568" spans="1:45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 t="str">
        <f t="shared" si="104"/>
        <v>Ok</v>
      </c>
      <c r="AE568" t="str">
        <f>IF(AND(Audit_Data[[#This Row],[Year_Birth]]&gt;=1900,Audit_Data[[#This Row],[Year_Birth]]&lt;=2010),"OK","Invalid")</f>
        <v>OK</v>
      </c>
      <c r="AF568" t="str">
        <f t="shared" si="105"/>
        <v>Valid</v>
      </c>
      <c r="AG568" t="str">
        <f t="shared" si="106"/>
        <v>Valid</v>
      </c>
      <c r="AH568" t="str">
        <f t="shared" si="107"/>
        <v>Valid</v>
      </c>
      <c r="AI568" t="str">
        <f t="shared" si="108"/>
        <v>Valid</v>
      </c>
      <c r="AJ568" t="str">
        <f t="shared" si="109"/>
        <v>Valid</v>
      </c>
      <c r="AK568" t="str">
        <f t="shared" si="116"/>
        <v xml:space="preserve">Valid </v>
      </c>
      <c r="AL568" t="str">
        <f>IF(AND(Audit_Data[[#This Row],[Recency]]&gt;=0,Audit_Data[[#This Row],[Recency]]&lt;=100),"Valid","Invalid")</f>
        <v>Valid</v>
      </c>
      <c r="AM568" t="str">
        <f t="shared" si="110"/>
        <v>Valid</v>
      </c>
      <c r="AN568" t="str">
        <f t="shared" si="111"/>
        <v>Valid</v>
      </c>
      <c r="AO568" t="str">
        <f t="shared" si="112"/>
        <v>Valid</v>
      </c>
      <c r="AP568" t="str">
        <f t="shared" si="113"/>
        <v>Valid</v>
      </c>
      <c r="AQ568" t="str">
        <f>IF(Audit_Data[[#This Row],[Z_CostContact]]=3,"Valid","Invalid")</f>
        <v>Valid</v>
      </c>
      <c r="AR568" t="str">
        <f t="shared" si="114"/>
        <v>Valid</v>
      </c>
      <c r="AS568" t="str">
        <f t="shared" si="115"/>
        <v>Valid</v>
      </c>
    </row>
    <row r="569" spans="1:45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 t="str">
        <f t="shared" si="104"/>
        <v>Ok</v>
      </c>
      <c r="AE569" t="str">
        <f>IF(AND(Audit_Data[[#This Row],[Year_Birth]]&gt;=1900,Audit_Data[[#This Row],[Year_Birth]]&lt;=2010),"OK","Invalid")</f>
        <v>OK</v>
      </c>
      <c r="AF569" t="str">
        <f t="shared" si="105"/>
        <v>Valid</v>
      </c>
      <c r="AG569" t="str">
        <f t="shared" si="106"/>
        <v>Valid</v>
      </c>
      <c r="AH569" t="str">
        <f t="shared" si="107"/>
        <v>Valid</v>
      </c>
      <c r="AI569" t="str">
        <f t="shared" si="108"/>
        <v>Valid</v>
      </c>
      <c r="AJ569" t="str">
        <f t="shared" si="109"/>
        <v>Valid</v>
      </c>
      <c r="AK569" t="str">
        <f t="shared" si="116"/>
        <v xml:space="preserve">Valid </v>
      </c>
      <c r="AL569" t="str">
        <f>IF(AND(Audit_Data[[#This Row],[Recency]]&gt;=0,Audit_Data[[#This Row],[Recency]]&lt;=100),"Valid","Invalid")</f>
        <v>Valid</v>
      </c>
      <c r="AM569" t="str">
        <f t="shared" si="110"/>
        <v>Valid</v>
      </c>
      <c r="AN569" t="str">
        <f t="shared" si="111"/>
        <v>Valid</v>
      </c>
      <c r="AO569" t="str">
        <f t="shared" si="112"/>
        <v>Valid</v>
      </c>
      <c r="AP569" t="str">
        <f t="shared" si="113"/>
        <v>Valid</v>
      </c>
      <c r="AQ569" t="str">
        <f>IF(Audit_Data[[#This Row],[Z_CostContact]]=3,"Valid","Invalid")</f>
        <v>Valid</v>
      </c>
      <c r="AR569" t="str">
        <f t="shared" si="114"/>
        <v>Valid</v>
      </c>
      <c r="AS569" t="str">
        <f t="shared" si="115"/>
        <v>Valid</v>
      </c>
    </row>
    <row r="570" spans="1:45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 t="str">
        <f t="shared" si="104"/>
        <v>Ok</v>
      </c>
      <c r="AE570" t="str">
        <f>IF(AND(Audit_Data[[#This Row],[Year_Birth]]&gt;=1900,Audit_Data[[#This Row],[Year_Birth]]&lt;=2010),"OK","Invalid")</f>
        <v>OK</v>
      </c>
      <c r="AF570" t="str">
        <f t="shared" si="105"/>
        <v>Valid</v>
      </c>
      <c r="AG570" t="str">
        <f t="shared" si="106"/>
        <v>Valid</v>
      </c>
      <c r="AH570" t="str">
        <f t="shared" si="107"/>
        <v>Valid</v>
      </c>
      <c r="AI570" t="str">
        <f t="shared" si="108"/>
        <v>Valid</v>
      </c>
      <c r="AJ570" t="str">
        <f t="shared" si="109"/>
        <v>Valid</v>
      </c>
      <c r="AK570" t="str">
        <f t="shared" si="116"/>
        <v xml:space="preserve">Valid </v>
      </c>
      <c r="AL570" t="str">
        <f>IF(AND(Audit_Data[[#This Row],[Recency]]&gt;=0,Audit_Data[[#This Row],[Recency]]&lt;=100),"Valid","Invalid")</f>
        <v>Valid</v>
      </c>
      <c r="AM570" t="str">
        <f t="shared" si="110"/>
        <v>Valid</v>
      </c>
      <c r="AN570" t="str">
        <f t="shared" si="111"/>
        <v>Valid</v>
      </c>
      <c r="AO570" t="str">
        <f t="shared" si="112"/>
        <v>Valid</v>
      </c>
      <c r="AP570" t="str">
        <f t="shared" si="113"/>
        <v>Valid</v>
      </c>
      <c r="AQ570" t="str">
        <f>IF(Audit_Data[[#This Row],[Z_CostContact]]=3,"Valid","Invalid")</f>
        <v>Valid</v>
      </c>
      <c r="AR570" t="str">
        <f t="shared" si="114"/>
        <v>Valid</v>
      </c>
      <c r="AS570" t="str">
        <f t="shared" si="115"/>
        <v>Valid</v>
      </c>
    </row>
    <row r="571" spans="1:45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 t="str">
        <f t="shared" si="104"/>
        <v>Ok</v>
      </c>
      <c r="AE571" t="str">
        <f>IF(AND(Audit_Data[[#This Row],[Year_Birth]]&gt;=1900,Audit_Data[[#This Row],[Year_Birth]]&lt;=2010),"OK","Invalid")</f>
        <v>OK</v>
      </c>
      <c r="AF571" t="str">
        <f t="shared" si="105"/>
        <v>Valid</v>
      </c>
      <c r="AG571" t="str">
        <f t="shared" si="106"/>
        <v>Valid</v>
      </c>
      <c r="AH571" t="str">
        <f t="shared" si="107"/>
        <v>Valid</v>
      </c>
      <c r="AI571" t="str">
        <f t="shared" si="108"/>
        <v>Valid</v>
      </c>
      <c r="AJ571" t="str">
        <f t="shared" si="109"/>
        <v>Valid</v>
      </c>
      <c r="AK571" t="str">
        <f t="shared" si="116"/>
        <v xml:space="preserve">Valid </v>
      </c>
      <c r="AL571" t="str">
        <f>IF(AND(Audit_Data[[#This Row],[Recency]]&gt;=0,Audit_Data[[#This Row],[Recency]]&lt;=100),"Valid","Invalid")</f>
        <v>Valid</v>
      </c>
      <c r="AM571" t="str">
        <f t="shared" si="110"/>
        <v>Valid</v>
      </c>
      <c r="AN571" t="str">
        <f t="shared" si="111"/>
        <v>Valid</v>
      </c>
      <c r="AO571" t="str">
        <f t="shared" si="112"/>
        <v>Valid</v>
      </c>
      <c r="AP571" t="str">
        <f t="shared" si="113"/>
        <v>Valid</v>
      </c>
      <c r="AQ571" t="str">
        <f>IF(Audit_Data[[#This Row],[Z_CostContact]]=3,"Valid","Invalid")</f>
        <v>Valid</v>
      </c>
      <c r="AR571" t="str">
        <f t="shared" si="114"/>
        <v>Valid</v>
      </c>
      <c r="AS571" t="str">
        <f t="shared" si="115"/>
        <v>Valid</v>
      </c>
    </row>
    <row r="572" spans="1:45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 t="str">
        <f t="shared" si="104"/>
        <v>Ok</v>
      </c>
      <c r="AE572" t="str">
        <f>IF(AND(Audit_Data[[#This Row],[Year_Birth]]&gt;=1900,Audit_Data[[#This Row],[Year_Birth]]&lt;=2010),"OK","Invalid")</f>
        <v>OK</v>
      </c>
      <c r="AF572" t="str">
        <f t="shared" si="105"/>
        <v>Valid</v>
      </c>
      <c r="AG572" t="str">
        <f t="shared" si="106"/>
        <v>Valid</v>
      </c>
      <c r="AH572" t="str">
        <f t="shared" si="107"/>
        <v>Valid</v>
      </c>
      <c r="AI572" t="str">
        <f t="shared" si="108"/>
        <v>Valid</v>
      </c>
      <c r="AJ572" t="str">
        <f t="shared" si="109"/>
        <v>Valid</v>
      </c>
      <c r="AK572" t="str">
        <f t="shared" si="116"/>
        <v xml:space="preserve">Valid </v>
      </c>
      <c r="AL572" t="str">
        <f>IF(AND(Audit_Data[[#This Row],[Recency]]&gt;=0,Audit_Data[[#This Row],[Recency]]&lt;=100),"Valid","Invalid")</f>
        <v>Valid</v>
      </c>
      <c r="AM572" t="str">
        <f t="shared" si="110"/>
        <v>Valid</v>
      </c>
      <c r="AN572" t="str">
        <f t="shared" si="111"/>
        <v>Valid</v>
      </c>
      <c r="AO572" t="str">
        <f t="shared" si="112"/>
        <v>Valid</v>
      </c>
      <c r="AP572" t="str">
        <f t="shared" si="113"/>
        <v>Valid</v>
      </c>
      <c r="AQ572" t="str">
        <f>IF(Audit_Data[[#This Row],[Z_CostContact]]=3,"Valid","Invalid")</f>
        <v>Valid</v>
      </c>
      <c r="AR572" t="str">
        <f t="shared" si="114"/>
        <v>Valid</v>
      </c>
      <c r="AS572" t="str">
        <f t="shared" si="115"/>
        <v>Valid</v>
      </c>
    </row>
    <row r="573" spans="1:45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 t="str">
        <f t="shared" si="104"/>
        <v>Ok</v>
      </c>
      <c r="AE573" t="str">
        <f>IF(AND(Audit_Data[[#This Row],[Year_Birth]]&gt;=1900,Audit_Data[[#This Row],[Year_Birth]]&lt;=2010),"OK","Invalid")</f>
        <v>OK</v>
      </c>
      <c r="AF573" t="str">
        <f t="shared" si="105"/>
        <v>Valid</v>
      </c>
      <c r="AG573" t="str">
        <f t="shared" si="106"/>
        <v>Valid</v>
      </c>
      <c r="AH573" t="str">
        <f t="shared" si="107"/>
        <v>Valid</v>
      </c>
      <c r="AI573" t="str">
        <f t="shared" si="108"/>
        <v>Valid</v>
      </c>
      <c r="AJ573" t="str">
        <f t="shared" si="109"/>
        <v>Valid</v>
      </c>
      <c r="AK573" t="str">
        <f t="shared" si="116"/>
        <v xml:space="preserve">Valid </v>
      </c>
      <c r="AL573" t="str">
        <f>IF(AND(Audit_Data[[#This Row],[Recency]]&gt;=0,Audit_Data[[#This Row],[Recency]]&lt;=100),"Valid","Invalid")</f>
        <v>Valid</v>
      </c>
      <c r="AM573" t="str">
        <f t="shared" si="110"/>
        <v>Valid</v>
      </c>
      <c r="AN573" t="str">
        <f t="shared" si="111"/>
        <v>Valid</v>
      </c>
      <c r="AO573" t="str">
        <f t="shared" si="112"/>
        <v>Valid</v>
      </c>
      <c r="AP573" t="str">
        <f t="shared" si="113"/>
        <v>Valid</v>
      </c>
      <c r="AQ573" t="str">
        <f>IF(Audit_Data[[#This Row],[Z_CostContact]]=3,"Valid","Invalid")</f>
        <v>Valid</v>
      </c>
      <c r="AR573" t="str">
        <f t="shared" si="114"/>
        <v>Valid</v>
      </c>
      <c r="AS573" t="str">
        <f t="shared" si="115"/>
        <v>Valid</v>
      </c>
    </row>
    <row r="574" spans="1:45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 t="str">
        <f t="shared" si="104"/>
        <v>Ok</v>
      </c>
      <c r="AE574" t="str">
        <f>IF(AND(Audit_Data[[#This Row],[Year_Birth]]&gt;=1900,Audit_Data[[#This Row],[Year_Birth]]&lt;=2010),"OK","Invalid")</f>
        <v>OK</v>
      </c>
      <c r="AF574" t="str">
        <f t="shared" si="105"/>
        <v>Valid</v>
      </c>
      <c r="AG574" t="str">
        <f t="shared" si="106"/>
        <v>Valid</v>
      </c>
      <c r="AH574" t="str">
        <f t="shared" si="107"/>
        <v>Valid</v>
      </c>
      <c r="AI574" t="str">
        <f t="shared" si="108"/>
        <v>Valid</v>
      </c>
      <c r="AJ574" t="str">
        <f t="shared" si="109"/>
        <v>Valid</v>
      </c>
      <c r="AK574" t="str">
        <f t="shared" si="116"/>
        <v xml:space="preserve">Valid </v>
      </c>
      <c r="AL574" t="str">
        <f>IF(AND(Audit_Data[[#This Row],[Recency]]&gt;=0,Audit_Data[[#This Row],[Recency]]&lt;=100),"Valid","Invalid")</f>
        <v>Valid</v>
      </c>
      <c r="AM574" t="str">
        <f t="shared" si="110"/>
        <v>Valid</v>
      </c>
      <c r="AN574" t="str">
        <f t="shared" si="111"/>
        <v>Valid</v>
      </c>
      <c r="AO574" t="str">
        <f t="shared" si="112"/>
        <v>Valid</v>
      </c>
      <c r="AP574" t="str">
        <f t="shared" si="113"/>
        <v>Valid</v>
      </c>
      <c r="AQ574" t="str">
        <f>IF(Audit_Data[[#This Row],[Z_CostContact]]=3,"Valid","Invalid")</f>
        <v>Valid</v>
      </c>
      <c r="AR574" t="str">
        <f t="shared" si="114"/>
        <v>Valid</v>
      </c>
      <c r="AS574" t="str">
        <f t="shared" si="115"/>
        <v>Valid</v>
      </c>
    </row>
    <row r="575" spans="1:45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 t="str">
        <f t="shared" si="104"/>
        <v>Ok</v>
      </c>
      <c r="AE575" t="str">
        <f>IF(AND(Audit_Data[[#This Row],[Year_Birth]]&gt;=1900,Audit_Data[[#This Row],[Year_Birth]]&lt;=2010),"OK","Invalid")</f>
        <v>OK</v>
      </c>
      <c r="AF575" t="str">
        <f t="shared" si="105"/>
        <v>Valid</v>
      </c>
      <c r="AG575" t="str">
        <f t="shared" si="106"/>
        <v>Valid</v>
      </c>
      <c r="AH575" t="str">
        <f t="shared" si="107"/>
        <v>Valid</v>
      </c>
      <c r="AI575" t="str">
        <f t="shared" si="108"/>
        <v>Valid</v>
      </c>
      <c r="AJ575" t="str">
        <f t="shared" si="109"/>
        <v>Valid</v>
      </c>
      <c r="AK575" t="str">
        <f t="shared" si="116"/>
        <v xml:space="preserve">Valid </v>
      </c>
      <c r="AL575" t="str">
        <f>IF(AND(Audit_Data[[#This Row],[Recency]]&gt;=0,Audit_Data[[#This Row],[Recency]]&lt;=100),"Valid","Invalid")</f>
        <v>Valid</v>
      </c>
      <c r="AM575" t="str">
        <f t="shared" si="110"/>
        <v>Valid</v>
      </c>
      <c r="AN575" t="str">
        <f t="shared" si="111"/>
        <v>Valid</v>
      </c>
      <c r="AO575" t="str">
        <f t="shared" si="112"/>
        <v>Valid</v>
      </c>
      <c r="AP575" t="str">
        <f t="shared" si="113"/>
        <v>Valid</v>
      </c>
      <c r="AQ575" t="str">
        <f>IF(Audit_Data[[#This Row],[Z_CostContact]]=3,"Valid","Invalid")</f>
        <v>Valid</v>
      </c>
      <c r="AR575" t="str">
        <f t="shared" si="114"/>
        <v>Valid</v>
      </c>
      <c r="AS575" t="str">
        <f t="shared" si="115"/>
        <v>Valid</v>
      </c>
    </row>
    <row r="576" spans="1:45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 t="str">
        <f t="shared" si="104"/>
        <v>Ok</v>
      </c>
      <c r="AE576" t="str">
        <f>IF(AND(Audit_Data[[#This Row],[Year_Birth]]&gt;=1900,Audit_Data[[#This Row],[Year_Birth]]&lt;=2010),"OK","Invalid")</f>
        <v>OK</v>
      </c>
      <c r="AF576" t="str">
        <f t="shared" si="105"/>
        <v>Valid</v>
      </c>
      <c r="AG576" t="str">
        <f t="shared" si="106"/>
        <v>Valid</v>
      </c>
      <c r="AH576" t="str">
        <f t="shared" si="107"/>
        <v>Valid</v>
      </c>
      <c r="AI576" t="str">
        <f t="shared" si="108"/>
        <v>Valid</v>
      </c>
      <c r="AJ576" t="str">
        <f t="shared" si="109"/>
        <v>Valid</v>
      </c>
      <c r="AK576" t="str">
        <f t="shared" si="116"/>
        <v xml:space="preserve">Valid </v>
      </c>
      <c r="AL576" t="str">
        <f>IF(AND(Audit_Data[[#This Row],[Recency]]&gt;=0,Audit_Data[[#This Row],[Recency]]&lt;=100),"Valid","Invalid")</f>
        <v>Valid</v>
      </c>
      <c r="AM576" t="str">
        <f t="shared" si="110"/>
        <v>Valid</v>
      </c>
      <c r="AN576" t="str">
        <f t="shared" si="111"/>
        <v>Valid</v>
      </c>
      <c r="AO576" t="str">
        <f t="shared" si="112"/>
        <v>Valid</v>
      </c>
      <c r="AP576" t="str">
        <f t="shared" si="113"/>
        <v>Valid</v>
      </c>
      <c r="AQ576" t="str">
        <f>IF(Audit_Data[[#This Row],[Z_CostContact]]=3,"Valid","Invalid")</f>
        <v>Valid</v>
      </c>
      <c r="AR576" t="str">
        <f t="shared" si="114"/>
        <v>Valid</v>
      </c>
      <c r="AS576" t="str">
        <f t="shared" si="115"/>
        <v>Valid</v>
      </c>
    </row>
    <row r="577" spans="1:45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 t="str">
        <f t="shared" si="104"/>
        <v>Ok</v>
      </c>
      <c r="AE577" t="str">
        <f>IF(AND(Audit_Data[[#This Row],[Year_Birth]]&gt;=1900,Audit_Data[[#This Row],[Year_Birth]]&lt;=2010),"OK","Invalid")</f>
        <v>OK</v>
      </c>
      <c r="AF577" t="str">
        <f t="shared" si="105"/>
        <v>Valid</v>
      </c>
      <c r="AG577" t="str">
        <f t="shared" si="106"/>
        <v>Valid</v>
      </c>
      <c r="AH577" t="str">
        <f t="shared" si="107"/>
        <v>Valid</v>
      </c>
      <c r="AI577" t="str">
        <f t="shared" si="108"/>
        <v>Valid</v>
      </c>
      <c r="AJ577" t="str">
        <f t="shared" si="109"/>
        <v>Valid</v>
      </c>
      <c r="AK577" t="str">
        <f t="shared" si="116"/>
        <v xml:space="preserve">Valid </v>
      </c>
      <c r="AL577" t="str">
        <f>IF(AND(Audit_Data[[#This Row],[Recency]]&gt;=0,Audit_Data[[#This Row],[Recency]]&lt;=100),"Valid","Invalid")</f>
        <v>Valid</v>
      </c>
      <c r="AM577" t="str">
        <f t="shared" si="110"/>
        <v>Valid</v>
      </c>
      <c r="AN577" t="str">
        <f t="shared" si="111"/>
        <v>Valid</v>
      </c>
      <c r="AO577" t="str">
        <f t="shared" si="112"/>
        <v>Valid</v>
      </c>
      <c r="AP577" t="str">
        <f t="shared" si="113"/>
        <v>Valid</v>
      </c>
      <c r="AQ577" t="str">
        <f>IF(Audit_Data[[#This Row],[Z_CostContact]]=3,"Valid","Invalid")</f>
        <v>Valid</v>
      </c>
      <c r="AR577" t="str">
        <f t="shared" si="114"/>
        <v>Valid</v>
      </c>
      <c r="AS577" t="str">
        <f t="shared" si="115"/>
        <v>Valid</v>
      </c>
    </row>
    <row r="578" spans="1:45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 t="str">
        <f t="shared" ref="AD578:AD641" si="117">IF(COUNTIF(A:A,A578)&gt;1,"Duplicate","Ok")</f>
        <v>Ok</v>
      </c>
      <c r="AE578" t="str">
        <f>IF(AND(Audit_Data[[#This Row],[Year_Birth]]&gt;=1900,Audit_Data[[#This Row],[Year_Birth]]&lt;=2010),"OK","Invalid")</f>
        <v>OK</v>
      </c>
      <c r="AF578" t="str">
        <f t="shared" ref="AF578:AF641" si="118">IF(OR(C578="Graduation",C578="phD",C578="Master",C578="Basic",C578="2n Cycle"),"Valid","Invalid")</f>
        <v>Valid</v>
      </c>
      <c r="AG578" t="str">
        <f t="shared" ref="AG578:AG641" si="119">IF(OR(D578="Single",D578="Married",D578="Divorced",D578="Together",D578="Widow",D578="Alone"),"Valid","Invalid")</f>
        <v>Valid</v>
      </c>
      <c r="AH578" t="str">
        <f t="shared" ref="AH578:AH641" si="120">IF(AND(ISNUMBER(E578),E578&lt;&gt;""),"Valid","Invalid")</f>
        <v>Valid</v>
      </c>
      <c r="AI578" t="str">
        <f t="shared" ref="AI578:AI641" si="121">IF(AND(F578&gt;=0,F578&lt;=2),"Valid","Invalid")</f>
        <v>Valid</v>
      </c>
      <c r="AJ578" t="str">
        <f t="shared" ref="AJ578:AJ641" si="122">IF(AND(G578&gt;=0,G578&lt;=2),"Valid","Invalid")</f>
        <v>Valid</v>
      </c>
      <c r="AK578" t="str">
        <f t="shared" si="116"/>
        <v xml:space="preserve">Valid </v>
      </c>
      <c r="AL578" t="str">
        <f>IF(AND(Audit_Data[[#This Row],[Recency]]&gt;=0,Audit_Data[[#This Row],[Recency]]&lt;=100),"Valid","Invalid")</f>
        <v>Valid</v>
      </c>
      <c r="AM578" t="str">
        <f t="shared" ref="AM578:AM641" si="123">IF(AND(ISNUMBER(J578),J578&gt;=0,ISNUMBER(K578),K578&gt;=0,ISNUMBER(L578),L578&gt;=0,ISNUMBER(M578),M578&gt;=0,ISNUMBER(N578),N578&gt;=0,ISNUMBER(O578),O578&gt;=0),"Valid","Invalid")</f>
        <v>Valid</v>
      </c>
      <c r="AN578" t="str">
        <f t="shared" ref="AN578:AN641" si="124">IF(AND(ISNUMBER(P578),P578&gt;=0,ISNUMBER(Q578),Q578&gt;=0,ISNUMBER(R578),R578&gt;=0,ISNUMBER(S578),S578&gt;=0,ISNUMBER(T578),T578&gt;=0),"Valid","Invalid")</f>
        <v>Valid</v>
      </c>
      <c r="AO578" t="str">
        <f t="shared" ref="AO578:AO641" si="125">IF(AND(U578&lt;=1,V578&lt;=1,W578&lt;=1,X578&lt;=1,Y578&lt;=1),"Valid","Invalid")</f>
        <v>Valid</v>
      </c>
      <c r="AP578" t="str">
        <f t="shared" ref="AP578:AP641" si="126">IF(OR(Z578=0,Z578=1),"Valid","Invalid")</f>
        <v>Valid</v>
      </c>
      <c r="AQ578" t="str">
        <f>IF(Audit_Data[[#This Row],[Z_CostContact]]=3,"Valid","Invalid")</f>
        <v>Valid</v>
      </c>
      <c r="AR578" t="str">
        <f t="shared" ref="AR578:AR641" si="127">IF(AB578=11,"Valid","Invalid")</f>
        <v>Valid</v>
      </c>
      <c r="AS578" t="str">
        <f t="shared" ref="AS578:AS641" si="128">IF(OR(AC578=0,AC578=1),"Valid","Invalid")</f>
        <v>Valid</v>
      </c>
    </row>
    <row r="579" spans="1:45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 t="str">
        <f t="shared" si="117"/>
        <v>Ok</v>
      </c>
      <c r="AE579" t="str">
        <f>IF(AND(Audit_Data[[#This Row],[Year_Birth]]&gt;=1900,Audit_Data[[#This Row],[Year_Birth]]&lt;=2010),"OK","Invalid")</f>
        <v>OK</v>
      </c>
      <c r="AF579" t="str">
        <f t="shared" si="118"/>
        <v>Valid</v>
      </c>
      <c r="AG579" t="str">
        <f t="shared" si="119"/>
        <v>Valid</v>
      </c>
      <c r="AH579" t="str">
        <f t="shared" si="120"/>
        <v>Valid</v>
      </c>
      <c r="AI579" t="str">
        <f t="shared" si="121"/>
        <v>Valid</v>
      </c>
      <c r="AJ579" t="str">
        <f t="shared" si="122"/>
        <v>Valid</v>
      </c>
      <c r="AK579" t="str">
        <f t="shared" ref="AK579:AK642" si="129">IF(AND(ISNUMBER(H579),H579&gt;=DATE(2012,1,1),H579&lt;=DATE(2014,12,31)),"Valid ","Invalid")</f>
        <v xml:space="preserve">Valid </v>
      </c>
      <c r="AL579" t="str">
        <f>IF(AND(Audit_Data[[#This Row],[Recency]]&gt;=0,Audit_Data[[#This Row],[Recency]]&lt;=100),"Valid","Invalid")</f>
        <v>Valid</v>
      </c>
      <c r="AM579" t="str">
        <f t="shared" si="123"/>
        <v>Valid</v>
      </c>
      <c r="AN579" t="str">
        <f t="shared" si="124"/>
        <v>Valid</v>
      </c>
      <c r="AO579" t="str">
        <f t="shared" si="125"/>
        <v>Valid</v>
      </c>
      <c r="AP579" t="str">
        <f t="shared" si="126"/>
        <v>Valid</v>
      </c>
      <c r="AQ579" t="str">
        <f>IF(Audit_Data[[#This Row],[Z_CostContact]]=3,"Valid","Invalid")</f>
        <v>Valid</v>
      </c>
      <c r="AR579" t="str">
        <f t="shared" si="127"/>
        <v>Valid</v>
      </c>
      <c r="AS579" t="str">
        <f t="shared" si="128"/>
        <v>Valid</v>
      </c>
    </row>
    <row r="580" spans="1:45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 t="str">
        <f t="shared" si="117"/>
        <v>Ok</v>
      </c>
      <c r="AE580" t="str">
        <f>IF(AND(Audit_Data[[#This Row],[Year_Birth]]&gt;=1900,Audit_Data[[#This Row],[Year_Birth]]&lt;=2010),"OK","Invalid")</f>
        <v>OK</v>
      </c>
      <c r="AF580" t="str">
        <f t="shared" si="118"/>
        <v>Valid</v>
      </c>
      <c r="AG580" t="str">
        <f t="shared" si="119"/>
        <v>Valid</v>
      </c>
      <c r="AH580" t="str">
        <f t="shared" si="120"/>
        <v>Valid</v>
      </c>
      <c r="AI580" t="str">
        <f t="shared" si="121"/>
        <v>Valid</v>
      </c>
      <c r="AJ580" t="str">
        <f t="shared" si="122"/>
        <v>Valid</v>
      </c>
      <c r="AK580" t="str">
        <f t="shared" si="129"/>
        <v xml:space="preserve">Valid </v>
      </c>
      <c r="AL580" t="str">
        <f>IF(AND(Audit_Data[[#This Row],[Recency]]&gt;=0,Audit_Data[[#This Row],[Recency]]&lt;=100),"Valid","Invalid")</f>
        <v>Valid</v>
      </c>
      <c r="AM580" t="str">
        <f t="shared" si="123"/>
        <v>Valid</v>
      </c>
      <c r="AN580" t="str">
        <f t="shared" si="124"/>
        <v>Valid</v>
      </c>
      <c r="AO580" t="str">
        <f t="shared" si="125"/>
        <v>Valid</v>
      </c>
      <c r="AP580" t="str">
        <f t="shared" si="126"/>
        <v>Valid</v>
      </c>
      <c r="AQ580" t="str">
        <f>IF(Audit_Data[[#This Row],[Z_CostContact]]=3,"Valid","Invalid")</f>
        <v>Valid</v>
      </c>
      <c r="AR580" t="str">
        <f t="shared" si="127"/>
        <v>Valid</v>
      </c>
      <c r="AS580" t="str">
        <f t="shared" si="128"/>
        <v>Valid</v>
      </c>
    </row>
    <row r="581" spans="1:45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 t="str">
        <f t="shared" si="117"/>
        <v>Ok</v>
      </c>
      <c r="AE581" t="str">
        <f>IF(AND(Audit_Data[[#This Row],[Year_Birth]]&gt;=1900,Audit_Data[[#This Row],[Year_Birth]]&lt;=2010),"OK","Invalid")</f>
        <v>OK</v>
      </c>
      <c r="AF581" t="str">
        <f t="shared" si="118"/>
        <v>Valid</v>
      </c>
      <c r="AG581" t="str">
        <f t="shared" si="119"/>
        <v>Valid</v>
      </c>
      <c r="AH581" t="str">
        <f t="shared" si="120"/>
        <v>Valid</v>
      </c>
      <c r="AI581" t="str">
        <f t="shared" si="121"/>
        <v>Valid</v>
      </c>
      <c r="AJ581" t="str">
        <f t="shared" si="122"/>
        <v>Valid</v>
      </c>
      <c r="AK581" t="str">
        <f t="shared" si="129"/>
        <v xml:space="preserve">Valid </v>
      </c>
      <c r="AL581" t="str">
        <f>IF(AND(Audit_Data[[#This Row],[Recency]]&gt;=0,Audit_Data[[#This Row],[Recency]]&lt;=100),"Valid","Invalid")</f>
        <v>Valid</v>
      </c>
      <c r="AM581" t="str">
        <f t="shared" si="123"/>
        <v>Valid</v>
      </c>
      <c r="AN581" t="str">
        <f t="shared" si="124"/>
        <v>Valid</v>
      </c>
      <c r="AO581" t="str">
        <f t="shared" si="125"/>
        <v>Valid</v>
      </c>
      <c r="AP581" t="str">
        <f t="shared" si="126"/>
        <v>Valid</v>
      </c>
      <c r="AQ581" t="str">
        <f>IF(Audit_Data[[#This Row],[Z_CostContact]]=3,"Valid","Invalid")</f>
        <v>Valid</v>
      </c>
      <c r="AR581" t="str">
        <f t="shared" si="127"/>
        <v>Valid</v>
      </c>
      <c r="AS581" t="str">
        <f t="shared" si="128"/>
        <v>Valid</v>
      </c>
    </row>
    <row r="582" spans="1:45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 t="str">
        <f t="shared" si="117"/>
        <v>Ok</v>
      </c>
      <c r="AE582" t="str">
        <f>IF(AND(Audit_Data[[#This Row],[Year_Birth]]&gt;=1900,Audit_Data[[#This Row],[Year_Birth]]&lt;=2010),"OK","Invalid")</f>
        <v>OK</v>
      </c>
      <c r="AF582" t="str">
        <f t="shared" si="118"/>
        <v>Valid</v>
      </c>
      <c r="AG582" t="str">
        <f t="shared" si="119"/>
        <v>Valid</v>
      </c>
      <c r="AH582" t="str">
        <f t="shared" si="120"/>
        <v>Valid</v>
      </c>
      <c r="AI582" t="str">
        <f t="shared" si="121"/>
        <v>Valid</v>
      </c>
      <c r="AJ582" t="str">
        <f t="shared" si="122"/>
        <v>Valid</v>
      </c>
      <c r="AK582" t="str">
        <f t="shared" si="129"/>
        <v xml:space="preserve">Valid </v>
      </c>
      <c r="AL582" t="str">
        <f>IF(AND(Audit_Data[[#This Row],[Recency]]&gt;=0,Audit_Data[[#This Row],[Recency]]&lt;=100),"Valid","Invalid")</f>
        <v>Valid</v>
      </c>
      <c r="AM582" t="str">
        <f t="shared" si="123"/>
        <v>Valid</v>
      </c>
      <c r="AN582" t="str">
        <f t="shared" si="124"/>
        <v>Valid</v>
      </c>
      <c r="AO582" t="str">
        <f t="shared" si="125"/>
        <v>Valid</v>
      </c>
      <c r="AP582" t="str">
        <f t="shared" si="126"/>
        <v>Valid</v>
      </c>
      <c r="AQ582" t="str">
        <f>IF(Audit_Data[[#This Row],[Z_CostContact]]=3,"Valid","Invalid")</f>
        <v>Valid</v>
      </c>
      <c r="AR582" t="str">
        <f t="shared" si="127"/>
        <v>Valid</v>
      </c>
      <c r="AS582" t="str">
        <f t="shared" si="128"/>
        <v>Valid</v>
      </c>
    </row>
    <row r="583" spans="1:45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 t="str">
        <f t="shared" si="117"/>
        <v>Ok</v>
      </c>
      <c r="AE583" t="str">
        <f>IF(AND(Audit_Data[[#This Row],[Year_Birth]]&gt;=1900,Audit_Data[[#This Row],[Year_Birth]]&lt;=2010),"OK","Invalid")</f>
        <v>OK</v>
      </c>
      <c r="AF583" t="str">
        <f t="shared" si="118"/>
        <v>Valid</v>
      </c>
      <c r="AG583" t="str">
        <f t="shared" si="119"/>
        <v>Valid</v>
      </c>
      <c r="AH583" t="str">
        <f t="shared" si="120"/>
        <v>Valid</v>
      </c>
      <c r="AI583" t="str">
        <f t="shared" si="121"/>
        <v>Valid</v>
      </c>
      <c r="AJ583" t="str">
        <f t="shared" si="122"/>
        <v>Valid</v>
      </c>
      <c r="AK583" t="str">
        <f t="shared" si="129"/>
        <v xml:space="preserve">Valid </v>
      </c>
      <c r="AL583" t="str">
        <f>IF(AND(Audit_Data[[#This Row],[Recency]]&gt;=0,Audit_Data[[#This Row],[Recency]]&lt;=100),"Valid","Invalid")</f>
        <v>Valid</v>
      </c>
      <c r="AM583" t="str">
        <f t="shared" si="123"/>
        <v>Valid</v>
      </c>
      <c r="AN583" t="str">
        <f t="shared" si="124"/>
        <v>Valid</v>
      </c>
      <c r="AO583" t="str">
        <f t="shared" si="125"/>
        <v>Valid</v>
      </c>
      <c r="AP583" t="str">
        <f t="shared" si="126"/>
        <v>Valid</v>
      </c>
      <c r="AQ583" t="str">
        <f>IF(Audit_Data[[#This Row],[Z_CostContact]]=3,"Valid","Invalid")</f>
        <v>Valid</v>
      </c>
      <c r="AR583" t="str">
        <f t="shared" si="127"/>
        <v>Valid</v>
      </c>
      <c r="AS583" t="str">
        <f t="shared" si="128"/>
        <v>Valid</v>
      </c>
    </row>
    <row r="584" spans="1:45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 t="str">
        <f t="shared" si="117"/>
        <v>Ok</v>
      </c>
      <c r="AE584" t="str">
        <f>IF(AND(Audit_Data[[#This Row],[Year_Birth]]&gt;=1900,Audit_Data[[#This Row],[Year_Birth]]&lt;=2010),"OK","Invalid")</f>
        <v>OK</v>
      </c>
      <c r="AF584" t="str">
        <f t="shared" si="118"/>
        <v>Valid</v>
      </c>
      <c r="AG584" t="str">
        <f t="shared" si="119"/>
        <v>Valid</v>
      </c>
      <c r="AH584" t="str">
        <f t="shared" si="120"/>
        <v>Valid</v>
      </c>
      <c r="AI584" t="str">
        <f t="shared" si="121"/>
        <v>Valid</v>
      </c>
      <c r="AJ584" t="str">
        <f t="shared" si="122"/>
        <v>Valid</v>
      </c>
      <c r="AK584" t="str">
        <f t="shared" si="129"/>
        <v xml:space="preserve">Valid </v>
      </c>
      <c r="AL584" t="str">
        <f>IF(AND(Audit_Data[[#This Row],[Recency]]&gt;=0,Audit_Data[[#This Row],[Recency]]&lt;=100),"Valid","Invalid")</f>
        <v>Valid</v>
      </c>
      <c r="AM584" t="str">
        <f t="shared" si="123"/>
        <v>Valid</v>
      </c>
      <c r="AN584" t="str">
        <f t="shared" si="124"/>
        <v>Valid</v>
      </c>
      <c r="AO584" t="str">
        <f t="shared" si="125"/>
        <v>Valid</v>
      </c>
      <c r="AP584" t="str">
        <f t="shared" si="126"/>
        <v>Valid</v>
      </c>
      <c r="AQ584" t="str">
        <f>IF(Audit_Data[[#This Row],[Z_CostContact]]=3,"Valid","Invalid")</f>
        <v>Valid</v>
      </c>
      <c r="AR584" t="str">
        <f t="shared" si="127"/>
        <v>Valid</v>
      </c>
      <c r="AS584" t="str">
        <f t="shared" si="128"/>
        <v>Valid</v>
      </c>
    </row>
    <row r="585" spans="1:45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 t="str">
        <f t="shared" si="117"/>
        <v>Ok</v>
      </c>
      <c r="AE585" t="str">
        <f>IF(AND(Audit_Data[[#This Row],[Year_Birth]]&gt;=1900,Audit_Data[[#This Row],[Year_Birth]]&lt;=2010),"OK","Invalid")</f>
        <v>OK</v>
      </c>
      <c r="AF585" t="str">
        <f t="shared" si="118"/>
        <v>Valid</v>
      </c>
      <c r="AG585" t="str">
        <f t="shared" si="119"/>
        <v>Valid</v>
      </c>
      <c r="AH585" t="str">
        <f t="shared" si="120"/>
        <v>Valid</v>
      </c>
      <c r="AI585" t="str">
        <f t="shared" si="121"/>
        <v>Valid</v>
      </c>
      <c r="AJ585" t="str">
        <f t="shared" si="122"/>
        <v>Valid</v>
      </c>
      <c r="AK585" t="str">
        <f t="shared" si="129"/>
        <v xml:space="preserve">Valid </v>
      </c>
      <c r="AL585" t="str">
        <f>IF(AND(Audit_Data[[#This Row],[Recency]]&gt;=0,Audit_Data[[#This Row],[Recency]]&lt;=100),"Valid","Invalid")</f>
        <v>Valid</v>
      </c>
      <c r="AM585" t="str">
        <f t="shared" si="123"/>
        <v>Valid</v>
      </c>
      <c r="AN585" t="str">
        <f t="shared" si="124"/>
        <v>Valid</v>
      </c>
      <c r="AO585" t="str">
        <f t="shared" si="125"/>
        <v>Valid</v>
      </c>
      <c r="AP585" t="str">
        <f t="shared" si="126"/>
        <v>Valid</v>
      </c>
      <c r="AQ585" t="str">
        <f>IF(Audit_Data[[#This Row],[Z_CostContact]]=3,"Valid","Invalid")</f>
        <v>Valid</v>
      </c>
      <c r="AR585" t="str">
        <f t="shared" si="127"/>
        <v>Valid</v>
      </c>
      <c r="AS585" t="str">
        <f t="shared" si="128"/>
        <v>Valid</v>
      </c>
    </row>
    <row r="586" spans="1:45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 t="str">
        <f t="shared" si="117"/>
        <v>Ok</v>
      </c>
      <c r="AE586" t="str">
        <f>IF(AND(Audit_Data[[#This Row],[Year_Birth]]&gt;=1900,Audit_Data[[#This Row],[Year_Birth]]&lt;=2010),"OK","Invalid")</f>
        <v>OK</v>
      </c>
      <c r="AF586" t="str">
        <f t="shared" si="118"/>
        <v>Valid</v>
      </c>
      <c r="AG586" t="str">
        <f t="shared" si="119"/>
        <v>Valid</v>
      </c>
      <c r="AH586" t="str">
        <f t="shared" si="120"/>
        <v>Valid</v>
      </c>
      <c r="AI586" t="str">
        <f t="shared" si="121"/>
        <v>Valid</v>
      </c>
      <c r="AJ586" t="str">
        <f t="shared" si="122"/>
        <v>Valid</v>
      </c>
      <c r="AK586" t="str">
        <f t="shared" si="129"/>
        <v xml:space="preserve">Valid </v>
      </c>
      <c r="AL586" t="str">
        <f>IF(AND(Audit_Data[[#This Row],[Recency]]&gt;=0,Audit_Data[[#This Row],[Recency]]&lt;=100),"Valid","Invalid")</f>
        <v>Valid</v>
      </c>
      <c r="AM586" t="str">
        <f t="shared" si="123"/>
        <v>Valid</v>
      </c>
      <c r="AN586" t="str">
        <f t="shared" si="124"/>
        <v>Valid</v>
      </c>
      <c r="AO586" t="str">
        <f t="shared" si="125"/>
        <v>Valid</v>
      </c>
      <c r="AP586" t="str">
        <f t="shared" si="126"/>
        <v>Valid</v>
      </c>
      <c r="AQ586" t="str">
        <f>IF(Audit_Data[[#This Row],[Z_CostContact]]=3,"Valid","Invalid")</f>
        <v>Valid</v>
      </c>
      <c r="AR586" t="str">
        <f t="shared" si="127"/>
        <v>Valid</v>
      </c>
      <c r="AS586" t="str">
        <f t="shared" si="128"/>
        <v>Valid</v>
      </c>
    </row>
    <row r="587" spans="1:45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 t="str">
        <f t="shared" si="117"/>
        <v>Ok</v>
      </c>
      <c r="AE587" t="str">
        <f>IF(AND(Audit_Data[[#This Row],[Year_Birth]]&gt;=1900,Audit_Data[[#This Row],[Year_Birth]]&lt;=2010),"OK","Invalid")</f>
        <v>OK</v>
      </c>
      <c r="AF587" t="str">
        <f t="shared" si="118"/>
        <v>Valid</v>
      </c>
      <c r="AG587" t="str">
        <f t="shared" si="119"/>
        <v>Valid</v>
      </c>
      <c r="AH587" t="str">
        <f t="shared" si="120"/>
        <v>Valid</v>
      </c>
      <c r="AI587" t="str">
        <f t="shared" si="121"/>
        <v>Valid</v>
      </c>
      <c r="AJ587" t="str">
        <f t="shared" si="122"/>
        <v>Valid</v>
      </c>
      <c r="AK587" t="str">
        <f t="shared" si="129"/>
        <v xml:space="preserve">Valid </v>
      </c>
      <c r="AL587" t="str">
        <f>IF(AND(Audit_Data[[#This Row],[Recency]]&gt;=0,Audit_Data[[#This Row],[Recency]]&lt;=100),"Valid","Invalid")</f>
        <v>Valid</v>
      </c>
      <c r="AM587" t="str">
        <f t="shared" si="123"/>
        <v>Valid</v>
      </c>
      <c r="AN587" t="str">
        <f t="shared" si="124"/>
        <v>Valid</v>
      </c>
      <c r="AO587" t="str">
        <f t="shared" si="125"/>
        <v>Valid</v>
      </c>
      <c r="AP587" t="str">
        <f t="shared" si="126"/>
        <v>Valid</v>
      </c>
      <c r="AQ587" t="str">
        <f>IF(Audit_Data[[#This Row],[Z_CostContact]]=3,"Valid","Invalid")</f>
        <v>Valid</v>
      </c>
      <c r="AR587" t="str">
        <f t="shared" si="127"/>
        <v>Valid</v>
      </c>
      <c r="AS587" t="str">
        <f t="shared" si="128"/>
        <v>Valid</v>
      </c>
    </row>
    <row r="588" spans="1:45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 t="str">
        <f t="shared" si="117"/>
        <v>Ok</v>
      </c>
      <c r="AE588" t="str">
        <f>IF(AND(Audit_Data[[#This Row],[Year_Birth]]&gt;=1900,Audit_Data[[#This Row],[Year_Birth]]&lt;=2010),"OK","Invalid")</f>
        <v>OK</v>
      </c>
      <c r="AF588" t="str">
        <f t="shared" si="118"/>
        <v>Valid</v>
      </c>
      <c r="AG588" t="str">
        <f t="shared" si="119"/>
        <v>Valid</v>
      </c>
      <c r="AH588" t="str">
        <f t="shared" si="120"/>
        <v>Valid</v>
      </c>
      <c r="AI588" t="str">
        <f t="shared" si="121"/>
        <v>Valid</v>
      </c>
      <c r="AJ588" t="str">
        <f t="shared" si="122"/>
        <v>Valid</v>
      </c>
      <c r="AK588" t="str">
        <f t="shared" si="129"/>
        <v xml:space="preserve">Valid </v>
      </c>
      <c r="AL588" t="str">
        <f>IF(AND(Audit_Data[[#This Row],[Recency]]&gt;=0,Audit_Data[[#This Row],[Recency]]&lt;=100),"Valid","Invalid")</f>
        <v>Valid</v>
      </c>
      <c r="AM588" t="str">
        <f t="shared" si="123"/>
        <v>Valid</v>
      </c>
      <c r="AN588" t="str">
        <f t="shared" si="124"/>
        <v>Valid</v>
      </c>
      <c r="AO588" t="str">
        <f t="shared" si="125"/>
        <v>Valid</v>
      </c>
      <c r="AP588" t="str">
        <f t="shared" si="126"/>
        <v>Valid</v>
      </c>
      <c r="AQ588" t="str">
        <f>IF(Audit_Data[[#This Row],[Z_CostContact]]=3,"Valid","Invalid")</f>
        <v>Valid</v>
      </c>
      <c r="AR588" t="str">
        <f t="shared" si="127"/>
        <v>Valid</v>
      </c>
      <c r="AS588" t="str">
        <f t="shared" si="128"/>
        <v>Valid</v>
      </c>
    </row>
    <row r="589" spans="1:45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 t="str">
        <f t="shared" si="117"/>
        <v>Ok</v>
      </c>
      <c r="AE589" t="str">
        <f>IF(AND(Audit_Data[[#This Row],[Year_Birth]]&gt;=1900,Audit_Data[[#This Row],[Year_Birth]]&lt;=2010),"OK","Invalid")</f>
        <v>OK</v>
      </c>
      <c r="AF589" t="str">
        <f t="shared" si="118"/>
        <v>Valid</v>
      </c>
      <c r="AG589" t="str">
        <f t="shared" si="119"/>
        <v>Valid</v>
      </c>
      <c r="AH589" t="str">
        <f t="shared" si="120"/>
        <v>Valid</v>
      </c>
      <c r="AI589" t="str">
        <f t="shared" si="121"/>
        <v>Valid</v>
      </c>
      <c r="AJ589" t="str">
        <f t="shared" si="122"/>
        <v>Valid</v>
      </c>
      <c r="AK589" t="str">
        <f t="shared" si="129"/>
        <v xml:space="preserve">Valid </v>
      </c>
      <c r="AL589" t="str">
        <f>IF(AND(Audit_Data[[#This Row],[Recency]]&gt;=0,Audit_Data[[#This Row],[Recency]]&lt;=100),"Valid","Invalid")</f>
        <v>Valid</v>
      </c>
      <c r="AM589" t="str">
        <f t="shared" si="123"/>
        <v>Valid</v>
      </c>
      <c r="AN589" t="str">
        <f t="shared" si="124"/>
        <v>Valid</v>
      </c>
      <c r="AO589" t="str">
        <f t="shared" si="125"/>
        <v>Valid</v>
      </c>
      <c r="AP589" t="str">
        <f t="shared" si="126"/>
        <v>Valid</v>
      </c>
      <c r="AQ589" t="str">
        <f>IF(Audit_Data[[#This Row],[Z_CostContact]]=3,"Valid","Invalid")</f>
        <v>Valid</v>
      </c>
      <c r="AR589" t="str">
        <f t="shared" si="127"/>
        <v>Valid</v>
      </c>
      <c r="AS589" t="str">
        <f t="shared" si="128"/>
        <v>Valid</v>
      </c>
    </row>
    <row r="590" spans="1:45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 t="str">
        <f t="shared" si="117"/>
        <v>Ok</v>
      </c>
      <c r="AE590" t="str">
        <f>IF(AND(Audit_Data[[#This Row],[Year_Birth]]&gt;=1900,Audit_Data[[#This Row],[Year_Birth]]&lt;=2010),"OK","Invalid")</f>
        <v>OK</v>
      </c>
      <c r="AF590" t="str">
        <f t="shared" si="118"/>
        <v>Valid</v>
      </c>
      <c r="AG590" t="str">
        <f t="shared" si="119"/>
        <v>Valid</v>
      </c>
      <c r="AH590" t="str">
        <f t="shared" si="120"/>
        <v>Valid</v>
      </c>
      <c r="AI590" t="str">
        <f t="shared" si="121"/>
        <v>Valid</v>
      </c>
      <c r="AJ590" t="str">
        <f t="shared" si="122"/>
        <v>Valid</v>
      </c>
      <c r="AK590" t="str">
        <f t="shared" si="129"/>
        <v xml:space="preserve">Valid </v>
      </c>
      <c r="AL590" t="str">
        <f>IF(AND(Audit_Data[[#This Row],[Recency]]&gt;=0,Audit_Data[[#This Row],[Recency]]&lt;=100),"Valid","Invalid")</f>
        <v>Valid</v>
      </c>
      <c r="AM590" t="str">
        <f t="shared" si="123"/>
        <v>Valid</v>
      </c>
      <c r="AN590" t="str">
        <f t="shared" si="124"/>
        <v>Valid</v>
      </c>
      <c r="AO590" t="str">
        <f t="shared" si="125"/>
        <v>Valid</v>
      </c>
      <c r="AP590" t="str">
        <f t="shared" si="126"/>
        <v>Valid</v>
      </c>
      <c r="AQ590" t="str">
        <f>IF(Audit_Data[[#This Row],[Z_CostContact]]=3,"Valid","Invalid")</f>
        <v>Valid</v>
      </c>
      <c r="AR590" t="str">
        <f t="shared" si="127"/>
        <v>Valid</v>
      </c>
      <c r="AS590" t="str">
        <f t="shared" si="128"/>
        <v>Valid</v>
      </c>
    </row>
    <row r="591" spans="1:45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 t="str">
        <f t="shared" si="117"/>
        <v>Ok</v>
      </c>
      <c r="AE591" t="str">
        <f>IF(AND(Audit_Data[[#This Row],[Year_Birth]]&gt;=1900,Audit_Data[[#This Row],[Year_Birth]]&lt;=2010),"OK","Invalid")</f>
        <v>OK</v>
      </c>
      <c r="AF591" t="str">
        <f t="shared" si="118"/>
        <v>Valid</v>
      </c>
      <c r="AG591" t="str">
        <f t="shared" si="119"/>
        <v>Valid</v>
      </c>
      <c r="AH591" t="str">
        <f t="shared" si="120"/>
        <v>Valid</v>
      </c>
      <c r="AI591" t="str">
        <f t="shared" si="121"/>
        <v>Valid</v>
      </c>
      <c r="AJ591" t="str">
        <f t="shared" si="122"/>
        <v>Valid</v>
      </c>
      <c r="AK591" t="str">
        <f t="shared" si="129"/>
        <v xml:space="preserve">Valid </v>
      </c>
      <c r="AL591" t="str">
        <f>IF(AND(Audit_Data[[#This Row],[Recency]]&gt;=0,Audit_Data[[#This Row],[Recency]]&lt;=100),"Valid","Invalid")</f>
        <v>Valid</v>
      </c>
      <c r="AM591" t="str">
        <f t="shared" si="123"/>
        <v>Valid</v>
      </c>
      <c r="AN591" t="str">
        <f t="shared" si="124"/>
        <v>Valid</v>
      </c>
      <c r="AO591" t="str">
        <f t="shared" si="125"/>
        <v>Valid</v>
      </c>
      <c r="AP591" t="str">
        <f t="shared" si="126"/>
        <v>Valid</v>
      </c>
      <c r="AQ591" t="str">
        <f>IF(Audit_Data[[#This Row],[Z_CostContact]]=3,"Valid","Invalid")</f>
        <v>Valid</v>
      </c>
      <c r="AR591" t="str">
        <f t="shared" si="127"/>
        <v>Valid</v>
      </c>
      <c r="AS591" t="str">
        <f t="shared" si="128"/>
        <v>Valid</v>
      </c>
    </row>
    <row r="592" spans="1:45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 t="str">
        <f t="shared" si="117"/>
        <v>Ok</v>
      </c>
      <c r="AE592" t="str">
        <f>IF(AND(Audit_Data[[#This Row],[Year_Birth]]&gt;=1900,Audit_Data[[#This Row],[Year_Birth]]&lt;=2010),"OK","Invalid")</f>
        <v>OK</v>
      </c>
      <c r="AF592" t="str">
        <f t="shared" si="118"/>
        <v>Valid</v>
      </c>
      <c r="AG592" t="str">
        <f t="shared" si="119"/>
        <v>Valid</v>
      </c>
      <c r="AH592" t="str">
        <f t="shared" si="120"/>
        <v>Valid</v>
      </c>
      <c r="AI592" t="str">
        <f t="shared" si="121"/>
        <v>Valid</v>
      </c>
      <c r="AJ592" t="str">
        <f t="shared" si="122"/>
        <v>Valid</v>
      </c>
      <c r="AK592" t="str">
        <f t="shared" si="129"/>
        <v xml:space="preserve">Valid </v>
      </c>
      <c r="AL592" t="str">
        <f>IF(AND(Audit_Data[[#This Row],[Recency]]&gt;=0,Audit_Data[[#This Row],[Recency]]&lt;=100),"Valid","Invalid")</f>
        <v>Valid</v>
      </c>
      <c r="AM592" t="str">
        <f t="shared" si="123"/>
        <v>Valid</v>
      </c>
      <c r="AN592" t="str">
        <f t="shared" si="124"/>
        <v>Valid</v>
      </c>
      <c r="AO592" t="str">
        <f t="shared" si="125"/>
        <v>Valid</v>
      </c>
      <c r="AP592" t="str">
        <f t="shared" si="126"/>
        <v>Valid</v>
      </c>
      <c r="AQ592" t="str">
        <f>IF(Audit_Data[[#This Row],[Z_CostContact]]=3,"Valid","Invalid")</f>
        <v>Valid</v>
      </c>
      <c r="AR592" t="str">
        <f t="shared" si="127"/>
        <v>Valid</v>
      </c>
      <c r="AS592" t="str">
        <f t="shared" si="128"/>
        <v>Valid</v>
      </c>
    </row>
    <row r="593" spans="1:45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 t="str">
        <f t="shared" si="117"/>
        <v>Ok</v>
      </c>
      <c r="AE593" t="str">
        <f>IF(AND(Audit_Data[[#This Row],[Year_Birth]]&gt;=1900,Audit_Data[[#This Row],[Year_Birth]]&lt;=2010),"OK","Invalid")</f>
        <v>OK</v>
      </c>
      <c r="AF593" t="str">
        <f t="shared" si="118"/>
        <v>Valid</v>
      </c>
      <c r="AG593" t="str">
        <f t="shared" si="119"/>
        <v>Valid</v>
      </c>
      <c r="AH593" t="str">
        <f t="shared" si="120"/>
        <v>Valid</v>
      </c>
      <c r="AI593" t="str">
        <f t="shared" si="121"/>
        <v>Valid</v>
      </c>
      <c r="AJ593" t="str">
        <f t="shared" si="122"/>
        <v>Valid</v>
      </c>
      <c r="AK593" t="str">
        <f t="shared" si="129"/>
        <v xml:space="preserve">Valid </v>
      </c>
      <c r="AL593" t="str">
        <f>IF(AND(Audit_Data[[#This Row],[Recency]]&gt;=0,Audit_Data[[#This Row],[Recency]]&lt;=100),"Valid","Invalid")</f>
        <v>Valid</v>
      </c>
      <c r="AM593" t="str">
        <f t="shared" si="123"/>
        <v>Valid</v>
      </c>
      <c r="AN593" t="str">
        <f t="shared" si="124"/>
        <v>Valid</v>
      </c>
      <c r="AO593" t="str">
        <f t="shared" si="125"/>
        <v>Valid</v>
      </c>
      <c r="AP593" t="str">
        <f t="shared" si="126"/>
        <v>Valid</v>
      </c>
      <c r="AQ593" t="str">
        <f>IF(Audit_Data[[#This Row],[Z_CostContact]]=3,"Valid","Invalid")</f>
        <v>Valid</v>
      </c>
      <c r="AR593" t="str">
        <f t="shared" si="127"/>
        <v>Valid</v>
      </c>
      <c r="AS593" t="str">
        <f t="shared" si="128"/>
        <v>Valid</v>
      </c>
    </row>
    <row r="594" spans="1:45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 t="str">
        <f t="shared" si="117"/>
        <v>Ok</v>
      </c>
      <c r="AE594" t="str">
        <f>IF(AND(Audit_Data[[#This Row],[Year_Birth]]&gt;=1900,Audit_Data[[#This Row],[Year_Birth]]&lt;=2010),"OK","Invalid")</f>
        <v>OK</v>
      </c>
      <c r="AF594" t="str">
        <f t="shared" si="118"/>
        <v>Valid</v>
      </c>
      <c r="AG594" t="str">
        <f t="shared" si="119"/>
        <v>Valid</v>
      </c>
      <c r="AH594" t="str">
        <f t="shared" si="120"/>
        <v>Valid</v>
      </c>
      <c r="AI594" t="str">
        <f t="shared" si="121"/>
        <v>Valid</v>
      </c>
      <c r="AJ594" t="str">
        <f t="shared" si="122"/>
        <v>Valid</v>
      </c>
      <c r="AK594" t="str">
        <f t="shared" si="129"/>
        <v xml:space="preserve">Valid </v>
      </c>
      <c r="AL594" t="str">
        <f>IF(AND(Audit_Data[[#This Row],[Recency]]&gt;=0,Audit_Data[[#This Row],[Recency]]&lt;=100),"Valid","Invalid")</f>
        <v>Valid</v>
      </c>
      <c r="AM594" t="str">
        <f t="shared" si="123"/>
        <v>Valid</v>
      </c>
      <c r="AN594" t="str">
        <f t="shared" si="124"/>
        <v>Valid</v>
      </c>
      <c r="AO594" t="str">
        <f t="shared" si="125"/>
        <v>Valid</v>
      </c>
      <c r="AP594" t="str">
        <f t="shared" si="126"/>
        <v>Valid</v>
      </c>
      <c r="AQ594" t="str">
        <f>IF(Audit_Data[[#This Row],[Z_CostContact]]=3,"Valid","Invalid")</f>
        <v>Valid</v>
      </c>
      <c r="AR594" t="str">
        <f t="shared" si="127"/>
        <v>Valid</v>
      </c>
      <c r="AS594" t="str">
        <f t="shared" si="128"/>
        <v>Valid</v>
      </c>
    </row>
    <row r="595" spans="1:45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 t="str">
        <f t="shared" si="117"/>
        <v>Ok</v>
      </c>
      <c r="AE595" t="str">
        <f>IF(AND(Audit_Data[[#This Row],[Year_Birth]]&gt;=1900,Audit_Data[[#This Row],[Year_Birth]]&lt;=2010),"OK","Invalid")</f>
        <v>OK</v>
      </c>
      <c r="AF595" t="str">
        <f t="shared" si="118"/>
        <v>Valid</v>
      </c>
      <c r="AG595" t="str">
        <f t="shared" si="119"/>
        <v>Valid</v>
      </c>
      <c r="AH595" t="str">
        <f t="shared" si="120"/>
        <v>Valid</v>
      </c>
      <c r="AI595" t="str">
        <f t="shared" si="121"/>
        <v>Valid</v>
      </c>
      <c r="AJ595" t="str">
        <f t="shared" si="122"/>
        <v>Valid</v>
      </c>
      <c r="AK595" t="str">
        <f t="shared" si="129"/>
        <v xml:space="preserve">Valid </v>
      </c>
      <c r="AL595" t="str">
        <f>IF(AND(Audit_Data[[#This Row],[Recency]]&gt;=0,Audit_Data[[#This Row],[Recency]]&lt;=100),"Valid","Invalid")</f>
        <v>Valid</v>
      </c>
      <c r="AM595" t="str">
        <f t="shared" si="123"/>
        <v>Valid</v>
      </c>
      <c r="AN595" t="str">
        <f t="shared" si="124"/>
        <v>Valid</v>
      </c>
      <c r="AO595" t="str">
        <f t="shared" si="125"/>
        <v>Valid</v>
      </c>
      <c r="AP595" t="str">
        <f t="shared" si="126"/>
        <v>Valid</v>
      </c>
      <c r="AQ595" t="str">
        <f>IF(Audit_Data[[#This Row],[Z_CostContact]]=3,"Valid","Invalid")</f>
        <v>Valid</v>
      </c>
      <c r="AR595" t="str">
        <f t="shared" si="127"/>
        <v>Valid</v>
      </c>
      <c r="AS595" t="str">
        <f t="shared" si="128"/>
        <v>Valid</v>
      </c>
    </row>
    <row r="596" spans="1:45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 t="str">
        <f t="shared" si="117"/>
        <v>Ok</v>
      </c>
      <c r="AE596" t="str">
        <f>IF(AND(Audit_Data[[#This Row],[Year_Birth]]&gt;=1900,Audit_Data[[#This Row],[Year_Birth]]&lt;=2010),"OK","Invalid")</f>
        <v>OK</v>
      </c>
      <c r="AF596" t="str">
        <f t="shared" si="118"/>
        <v>Valid</v>
      </c>
      <c r="AG596" t="str">
        <f t="shared" si="119"/>
        <v>Valid</v>
      </c>
      <c r="AH596" t="str">
        <f t="shared" si="120"/>
        <v>Valid</v>
      </c>
      <c r="AI596" t="str">
        <f t="shared" si="121"/>
        <v>Valid</v>
      </c>
      <c r="AJ596" t="str">
        <f t="shared" si="122"/>
        <v>Valid</v>
      </c>
      <c r="AK596" t="str">
        <f t="shared" si="129"/>
        <v xml:space="preserve">Valid </v>
      </c>
      <c r="AL596" t="str">
        <f>IF(AND(Audit_Data[[#This Row],[Recency]]&gt;=0,Audit_Data[[#This Row],[Recency]]&lt;=100),"Valid","Invalid")</f>
        <v>Valid</v>
      </c>
      <c r="AM596" t="str">
        <f t="shared" si="123"/>
        <v>Valid</v>
      </c>
      <c r="AN596" t="str">
        <f t="shared" si="124"/>
        <v>Valid</v>
      </c>
      <c r="AO596" t="str">
        <f t="shared" si="125"/>
        <v>Valid</v>
      </c>
      <c r="AP596" t="str">
        <f t="shared" si="126"/>
        <v>Valid</v>
      </c>
      <c r="AQ596" t="str">
        <f>IF(Audit_Data[[#This Row],[Z_CostContact]]=3,"Valid","Invalid")</f>
        <v>Valid</v>
      </c>
      <c r="AR596" t="str">
        <f t="shared" si="127"/>
        <v>Valid</v>
      </c>
      <c r="AS596" t="str">
        <f t="shared" si="128"/>
        <v>Valid</v>
      </c>
    </row>
    <row r="597" spans="1:45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 t="str">
        <f t="shared" si="117"/>
        <v>Ok</v>
      </c>
      <c r="AE597" t="str">
        <f>IF(AND(Audit_Data[[#This Row],[Year_Birth]]&gt;=1900,Audit_Data[[#This Row],[Year_Birth]]&lt;=2010),"OK","Invalid")</f>
        <v>OK</v>
      </c>
      <c r="AF597" t="str">
        <f t="shared" si="118"/>
        <v>Valid</v>
      </c>
      <c r="AG597" t="str">
        <f t="shared" si="119"/>
        <v>Valid</v>
      </c>
      <c r="AH597" t="str">
        <f t="shared" si="120"/>
        <v>Valid</v>
      </c>
      <c r="AI597" t="str">
        <f t="shared" si="121"/>
        <v>Valid</v>
      </c>
      <c r="AJ597" t="str">
        <f t="shared" si="122"/>
        <v>Valid</v>
      </c>
      <c r="AK597" t="str">
        <f t="shared" si="129"/>
        <v xml:space="preserve">Valid </v>
      </c>
      <c r="AL597" t="str">
        <f>IF(AND(Audit_Data[[#This Row],[Recency]]&gt;=0,Audit_Data[[#This Row],[Recency]]&lt;=100),"Valid","Invalid")</f>
        <v>Valid</v>
      </c>
      <c r="AM597" t="str">
        <f t="shared" si="123"/>
        <v>Valid</v>
      </c>
      <c r="AN597" t="str">
        <f t="shared" si="124"/>
        <v>Valid</v>
      </c>
      <c r="AO597" t="str">
        <f t="shared" si="125"/>
        <v>Valid</v>
      </c>
      <c r="AP597" t="str">
        <f t="shared" si="126"/>
        <v>Valid</v>
      </c>
      <c r="AQ597" t="str">
        <f>IF(Audit_Data[[#This Row],[Z_CostContact]]=3,"Valid","Invalid")</f>
        <v>Valid</v>
      </c>
      <c r="AR597" t="str">
        <f t="shared" si="127"/>
        <v>Valid</v>
      </c>
      <c r="AS597" t="str">
        <f t="shared" si="128"/>
        <v>Valid</v>
      </c>
    </row>
    <row r="598" spans="1:45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 t="str">
        <f t="shared" si="117"/>
        <v>Ok</v>
      </c>
      <c r="AE598" t="str">
        <f>IF(AND(Audit_Data[[#This Row],[Year_Birth]]&gt;=1900,Audit_Data[[#This Row],[Year_Birth]]&lt;=2010),"OK","Invalid")</f>
        <v>OK</v>
      </c>
      <c r="AF598" t="str">
        <f t="shared" si="118"/>
        <v>Valid</v>
      </c>
      <c r="AG598" t="str">
        <f t="shared" si="119"/>
        <v>Valid</v>
      </c>
      <c r="AH598" t="str">
        <f t="shared" si="120"/>
        <v>Valid</v>
      </c>
      <c r="AI598" t="str">
        <f t="shared" si="121"/>
        <v>Valid</v>
      </c>
      <c r="AJ598" t="str">
        <f t="shared" si="122"/>
        <v>Valid</v>
      </c>
      <c r="AK598" t="str">
        <f t="shared" si="129"/>
        <v xml:space="preserve">Valid </v>
      </c>
      <c r="AL598" t="str">
        <f>IF(AND(Audit_Data[[#This Row],[Recency]]&gt;=0,Audit_Data[[#This Row],[Recency]]&lt;=100),"Valid","Invalid")</f>
        <v>Valid</v>
      </c>
      <c r="AM598" t="str">
        <f t="shared" si="123"/>
        <v>Valid</v>
      </c>
      <c r="AN598" t="str">
        <f t="shared" si="124"/>
        <v>Valid</v>
      </c>
      <c r="AO598" t="str">
        <f t="shared" si="125"/>
        <v>Valid</v>
      </c>
      <c r="AP598" t="str">
        <f t="shared" si="126"/>
        <v>Valid</v>
      </c>
      <c r="AQ598" t="str">
        <f>IF(Audit_Data[[#This Row],[Z_CostContact]]=3,"Valid","Invalid")</f>
        <v>Valid</v>
      </c>
      <c r="AR598" t="str">
        <f t="shared" si="127"/>
        <v>Valid</v>
      </c>
      <c r="AS598" t="str">
        <f t="shared" si="128"/>
        <v>Valid</v>
      </c>
    </row>
    <row r="599" spans="1:45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 t="str">
        <f t="shared" si="117"/>
        <v>Ok</v>
      </c>
      <c r="AE599" t="str">
        <f>IF(AND(Audit_Data[[#This Row],[Year_Birth]]&gt;=1900,Audit_Data[[#This Row],[Year_Birth]]&lt;=2010),"OK","Invalid")</f>
        <v>OK</v>
      </c>
      <c r="AF599" t="str">
        <f t="shared" si="118"/>
        <v>Valid</v>
      </c>
      <c r="AG599" t="str">
        <f t="shared" si="119"/>
        <v>Valid</v>
      </c>
      <c r="AH599" t="str">
        <f t="shared" si="120"/>
        <v>Valid</v>
      </c>
      <c r="AI599" t="str">
        <f t="shared" si="121"/>
        <v>Valid</v>
      </c>
      <c r="AJ599" t="str">
        <f t="shared" si="122"/>
        <v>Valid</v>
      </c>
      <c r="AK599" t="str">
        <f t="shared" si="129"/>
        <v xml:space="preserve">Valid </v>
      </c>
      <c r="AL599" t="str">
        <f>IF(AND(Audit_Data[[#This Row],[Recency]]&gt;=0,Audit_Data[[#This Row],[Recency]]&lt;=100),"Valid","Invalid")</f>
        <v>Valid</v>
      </c>
      <c r="AM599" t="str">
        <f t="shared" si="123"/>
        <v>Valid</v>
      </c>
      <c r="AN599" t="str">
        <f t="shared" si="124"/>
        <v>Valid</v>
      </c>
      <c r="AO599" t="str">
        <f t="shared" si="125"/>
        <v>Valid</v>
      </c>
      <c r="AP599" t="str">
        <f t="shared" si="126"/>
        <v>Valid</v>
      </c>
      <c r="AQ599" t="str">
        <f>IF(Audit_Data[[#This Row],[Z_CostContact]]=3,"Valid","Invalid")</f>
        <v>Valid</v>
      </c>
      <c r="AR599" t="str">
        <f t="shared" si="127"/>
        <v>Valid</v>
      </c>
      <c r="AS599" t="str">
        <f t="shared" si="128"/>
        <v>Valid</v>
      </c>
    </row>
    <row r="600" spans="1:45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 t="str">
        <f t="shared" si="117"/>
        <v>Ok</v>
      </c>
      <c r="AE600" t="str">
        <f>IF(AND(Audit_Data[[#This Row],[Year_Birth]]&gt;=1900,Audit_Data[[#This Row],[Year_Birth]]&lt;=2010),"OK","Invalid")</f>
        <v>OK</v>
      </c>
      <c r="AF600" t="str">
        <f t="shared" si="118"/>
        <v>Valid</v>
      </c>
      <c r="AG600" t="str">
        <f t="shared" si="119"/>
        <v>Valid</v>
      </c>
      <c r="AH600" t="str">
        <f t="shared" si="120"/>
        <v>Valid</v>
      </c>
      <c r="AI600" t="str">
        <f t="shared" si="121"/>
        <v>Valid</v>
      </c>
      <c r="AJ600" t="str">
        <f t="shared" si="122"/>
        <v>Valid</v>
      </c>
      <c r="AK600" t="str">
        <f t="shared" si="129"/>
        <v xml:space="preserve">Valid </v>
      </c>
      <c r="AL600" t="str">
        <f>IF(AND(Audit_Data[[#This Row],[Recency]]&gt;=0,Audit_Data[[#This Row],[Recency]]&lt;=100),"Valid","Invalid")</f>
        <v>Valid</v>
      </c>
      <c r="AM600" t="str">
        <f t="shared" si="123"/>
        <v>Valid</v>
      </c>
      <c r="AN600" t="str">
        <f t="shared" si="124"/>
        <v>Valid</v>
      </c>
      <c r="AO600" t="str">
        <f t="shared" si="125"/>
        <v>Valid</v>
      </c>
      <c r="AP600" t="str">
        <f t="shared" si="126"/>
        <v>Valid</v>
      </c>
      <c r="AQ600" t="str">
        <f>IF(Audit_Data[[#This Row],[Z_CostContact]]=3,"Valid","Invalid")</f>
        <v>Valid</v>
      </c>
      <c r="AR600" t="str">
        <f t="shared" si="127"/>
        <v>Valid</v>
      </c>
      <c r="AS600" t="str">
        <f t="shared" si="128"/>
        <v>Valid</v>
      </c>
    </row>
    <row r="601" spans="1:45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 t="str">
        <f t="shared" si="117"/>
        <v>Ok</v>
      </c>
      <c r="AE601" t="str">
        <f>IF(AND(Audit_Data[[#This Row],[Year_Birth]]&gt;=1900,Audit_Data[[#This Row],[Year_Birth]]&lt;=2010),"OK","Invalid")</f>
        <v>OK</v>
      </c>
      <c r="AF601" t="str">
        <f t="shared" si="118"/>
        <v>Valid</v>
      </c>
      <c r="AG601" t="str">
        <f t="shared" si="119"/>
        <v>Valid</v>
      </c>
      <c r="AH601" t="str">
        <f t="shared" si="120"/>
        <v>Valid</v>
      </c>
      <c r="AI601" t="str">
        <f t="shared" si="121"/>
        <v>Valid</v>
      </c>
      <c r="AJ601" t="str">
        <f t="shared" si="122"/>
        <v>Valid</v>
      </c>
      <c r="AK601" t="str">
        <f t="shared" si="129"/>
        <v xml:space="preserve">Valid </v>
      </c>
      <c r="AL601" t="str">
        <f>IF(AND(Audit_Data[[#This Row],[Recency]]&gt;=0,Audit_Data[[#This Row],[Recency]]&lt;=100),"Valid","Invalid")</f>
        <v>Valid</v>
      </c>
      <c r="AM601" t="str">
        <f t="shared" si="123"/>
        <v>Valid</v>
      </c>
      <c r="AN601" t="str">
        <f t="shared" si="124"/>
        <v>Valid</v>
      </c>
      <c r="AO601" t="str">
        <f t="shared" si="125"/>
        <v>Valid</v>
      </c>
      <c r="AP601" t="str">
        <f t="shared" si="126"/>
        <v>Valid</v>
      </c>
      <c r="AQ601" t="str">
        <f>IF(Audit_Data[[#This Row],[Z_CostContact]]=3,"Valid","Invalid")</f>
        <v>Valid</v>
      </c>
      <c r="AR601" t="str">
        <f t="shared" si="127"/>
        <v>Valid</v>
      </c>
      <c r="AS601" t="str">
        <f t="shared" si="128"/>
        <v>Valid</v>
      </c>
    </row>
    <row r="602" spans="1:45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 t="str">
        <f t="shared" si="117"/>
        <v>Ok</v>
      </c>
      <c r="AE602" t="str">
        <f>IF(AND(Audit_Data[[#This Row],[Year_Birth]]&gt;=1900,Audit_Data[[#This Row],[Year_Birth]]&lt;=2010),"OK","Invalid")</f>
        <v>OK</v>
      </c>
      <c r="AF602" t="str">
        <f t="shared" si="118"/>
        <v>Valid</v>
      </c>
      <c r="AG602" t="str">
        <f t="shared" si="119"/>
        <v>Valid</v>
      </c>
      <c r="AH602" t="str">
        <f t="shared" si="120"/>
        <v>Valid</v>
      </c>
      <c r="AI602" t="str">
        <f t="shared" si="121"/>
        <v>Valid</v>
      </c>
      <c r="AJ602" t="str">
        <f t="shared" si="122"/>
        <v>Valid</v>
      </c>
      <c r="AK602" t="str">
        <f t="shared" si="129"/>
        <v xml:space="preserve">Valid </v>
      </c>
      <c r="AL602" t="str">
        <f>IF(AND(Audit_Data[[#This Row],[Recency]]&gt;=0,Audit_Data[[#This Row],[Recency]]&lt;=100),"Valid","Invalid")</f>
        <v>Valid</v>
      </c>
      <c r="AM602" t="str">
        <f t="shared" si="123"/>
        <v>Valid</v>
      </c>
      <c r="AN602" t="str">
        <f t="shared" si="124"/>
        <v>Valid</v>
      </c>
      <c r="AO602" t="str">
        <f t="shared" si="125"/>
        <v>Valid</v>
      </c>
      <c r="AP602" t="str">
        <f t="shared" si="126"/>
        <v>Valid</v>
      </c>
      <c r="AQ602" t="str">
        <f>IF(Audit_Data[[#This Row],[Z_CostContact]]=3,"Valid","Invalid")</f>
        <v>Valid</v>
      </c>
      <c r="AR602" t="str">
        <f t="shared" si="127"/>
        <v>Valid</v>
      </c>
      <c r="AS602" t="str">
        <f t="shared" si="128"/>
        <v>Valid</v>
      </c>
    </row>
    <row r="603" spans="1:45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 t="str">
        <f t="shared" si="117"/>
        <v>Ok</v>
      </c>
      <c r="AE603" t="str">
        <f>IF(AND(Audit_Data[[#This Row],[Year_Birth]]&gt;=1900,Audit_Data[[#This Row],[Year_Birth]]&lt;=2010),"OK","Invalid")</f>
        <v>OK</v>
      </c>
      <c r="AF603" t="str">
        <f t="shared" si="118"/>
        <v>Valid</v>
      </c>
      <c r="AG603" t="str">
        <f t="shared" si="119"/>
        <v>Valid</v>
      </c>
      <c r="AH603" t="str">
        <f t="shared" si="120"/>
        <v>Valid</v>
      </c>
      <c r="AI603" t="str">
        <f t="shared" si="121"/>
        <v>Valid</v>
      </c>
      <c r="AJ603" t="str">
        <f t="shared" si="122"/>
        <v>Valid</v>
      </c>
      <c r="AK603" t="str">
        <f t="shared" si="129"/>
        <v xml:space="preserve">Valid </v>
      </c>
      <c r="AL603" t="str">
        <f>IF(AND(Audit_Data[[#This Row],[Recency]]&gt;=0,Audit_Data[[#This Row],[Recency]]&lt;=100),"Valid","Invalid")</f>
        <v>Valid</v>
      </c>
      <c r="AM603" t="str">
        <f t="shared" si="123"/>
        <v>Valid</v>
      </c>
      <c r="AN603" t="str">
        <f t="shared" si="124"/>
        <v>Valid</v>
      </c>
      <c r="AO603" t="str">
        <f t="shared" si="125"/>
        <v>Valid</v>
      </c>
      <c r="AP603" t="str">
        <f t="shared" si="126"/>
        <v>Valid</v>
      </c>
      <c r="AQ603" t="str">
        <f>IF(Audit_Data[[#This Row],[Z_CostContact]]=3,"Valid","Invalid")</f>
        <v>Valid</v>
      </c>
      <c r="AR603" t="str">
        <f t="shared" si="127"/>
        <v>Valid</v>
      </c>
      <c r="AS603" t="str">
        <f t="shared" si="128"/>
        <v>Valid</v>
      </c>
    </row>
    <row r="604" spans="1:45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 t="str">
        <f t="shared" si="117"/>
        <v>Ok</v>
      </c>
      <c r="AE604" t="str">
        <f>IF(AND(Audit_Data[[#This Row],[Year_Birth]]&gt;=1900,Audit_Data[[#This Row],[Year_Birth]]&lt;=2010),"OK","Invalid")</f>
        <v>OK</v>
      </c>
      <c r="AF604" t="str">
        <f t="shared" si="118"/>
        <v>Valid</v>
      </c>
      <c r="AG604" t="str">
        <f t="shared" si="119"/>
        <v>Valid</v>
      </c>
      <c r="AH604" t="str">
        <f t="shared" si="120"/>
        <v>Valid</v>
      </c>
      <c r="AI604" t="str">
        <f t="shared" si="121"/>
        <v>Valid</v>
      </c>
      <c r="AJ604" t="str">
        <f t="shared" si="122"/>
        <v>Valid</v>
      </c>
      <c r="AK604" t="str">
        <f t="shared" si="129"/>
        <v xml:space="preserve">Valid </v>
      </c>
      <c r="AL604" t="str">
        <f>IF(AND(Audit_Data[[#This Row],[Recency]]&gt;=0,Audit_Data[[#This Row],[Recency]]&lt;=100),"Valid","Invalid")</f>
        <v>Valid</v>
      </c>
      <c r="AM604" t="str">
        <f t="shared" si="123"/>
        <v>Valid</v>
      </c>
      <c r="AN604" t="str">
        <f t="shared" si="124"/>
        <v>Valid</v>
      </c>
      <c r="AO604" t="str">
        <f t="shared" si="125"/>
        <v>Valid</v>
      </c>
      <c r="AP604" t="str">
        <f t="shared" si="126"/>
        <v>Valid</v>
      </c>
      <c r="AQ604" t="str">
        <f>IF(Audit_Data[[#This Row],[Z_CostContact]]=3,"Valid","Invalid")</f>
        <v>Valid</v>
      </c>
      <c r="AR604" t="str">
        <f t="shared" si="127"/>
        <v>Valid</v>
      </c>
      <c r="AS604" t="str">
        <f t="shared" si="128"/>
        <v>Valid</v>
      </c>
    </row>
    <row r="605" spans="1:45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 t="str">
        <f t="shared" si="117"/>
        <v>Ok</v>
      </c>
      <c r="AE605" t="str">
        <f>IF(AND(Audit_Data[[#This Row],[Year_Birth]]&gt;=1900,Audit_Data[[#This Row],[Year_Birth]]&lt;=2010),"OK","Invalid")</f>
        <v>OK</v>
      </c>
      <c r="AF605" t="str">
        <f t="shared" si="118"/>
        <v>Valid</v>
      </c>
      <c r="AG605" t="str">
        <f t="shared" si="119"/>
        <v>Valid</v>
      </c>
      <c r="AH605" t="str">
        <f t="shared" si="120"/>
        <v>Valid</v>
      </c>
      <c r="AI605" t="str">
        <f t="shared" si="121"/>
        <v>Valid</v>
      </c>
      <c r="AJ605" t="str">
        <f t="shared" si="122"/>
        <v>Valid</v>
      </c>
      <c r="AK605" t="str">
        <f t="shared" si="129"/>
        <v xml:space="preserve">Valid </v>
      </c>
      <c r="AL605" t="str">
        <f>IF(AND(Audit_Data[[#This Row],[Recency]]&gt;=0,Audit_Data[[#This Row],[Recency]]&lt;=100),"Valid","Invalid")</f>
        <v>Valid</v>
      </c>
      <c r="AM605" t="str">
        <f t="shared" si="123"/>
        <v>Valid</v>
      </c>
      <c r="AN605" t="str">
        <f t="shared" si="124"/>
        <v>Valid</v>
      </c>
      <c r="AO605" t="str">
        <f t="shared" si="125"/>
        <v>Valid</v>
      </c>
      <c r="AP605" t="str">
        <f t="shared" si="126"/>
        <v>Valid</v>
      </c>
      <c r="AQ605" t="str">
        <f>IF(Audit_Data[[#This Row],[Z_CostContact]]=3,"Valid","Invalid")</f>
        <v>Valid</v>
      </c>
      <c r="AR605" t="str">
        <f t="shared" si="127"/>
        <v>Valid</v>
      </c>
      <c r="AS605" t="str">
        <f t="shared" si="128"/>
        <v>Valid</v>
      </c>
    </row>
    <row r="606" spans="1:45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 t="str">
        <f t="shared" si="117"/>
        <v>Ok</v>
      </c>
      <c r="AE606" t="str">
        <f>IF(AND(Audit_Data[[#This Row],[Year_Birth]]&gt;=1900,Audit_Data[[#This Row],[Year_Birth]]&lt;=2010),"OK","Invalid")</f>
        <v>OK</v>
      </c>
      <c r="AF606" t="str">
        <f t="shared" si="118"/>
        <v>Valid</v>
      </c>
      <c r="AG606" t="str">
        <f t="shared" si="119"/>
        <v>Valid</v>
      </c>
      <c r="AH606" t="str">
        <f t="shared" si="120"/>
        <v>Valid</v>
      </c>
      <c r="AI606" t="str">
        <f t="shared" si="121"/>
        <v>Valid</v>
      </c>
      <c r="AJ606" t="str">
        <f t="shared" si="122"/>
        <v>Valid</v>
      </c>
      <c r="AK606" t="str">
        <f t="shared" si="129"/>
        <v xml:space="preserve">Valid </v>
      </c>
      <c r="AL606" t="str">
        <f>IF(AND(Audit_Data[[#This Row],[Recency]]&gt;=0,Audit_Data[[#This Row],[Recency]]&lt;=100),"Valid","Invalid")</f>
        <v>Valid</v>
      </c>
      <c r="AM606" t="str">
        <f t="shared" si="123"/>
        <v>Valid</v>
      </c>
      <c r="AN606" t="str">
        <f t="shared" si="124"/>
        <v>Valid</v>
      </c>
      <c r="AO606" t="str">
        <f t="shared" si="125"/>
        <v>Valid</v>
      </c>
      <c r="AP606" t="str">
        <f t="shared" si="126"/>
        <v>Valid</v>
      </c>
      <c r="AQ606" t="str">
        <f>IF(Audit_Data[[#This Row],[Z_CostContact]]=3,"Valid","Invalid")</f>
        <v>Valid</v>
      </c>
      <c r="AR606" t="str">
        <f t="shared" si="127"/>
        <v>Valid</v>
      </c>
      <c r="AS606" t="str">
        <f t="shared" si="128"/>
        <v>Valid</v>
      </c>
    </row>
    <row r="607" spans="1:45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 t="str">
        <f t="shared" si="117"/>
        <v>Ok</v>
      </c>
      <c r="AE607" t="str">
        <f>IF(AND(Audit_Data[[#This Row],[Year_Birth]]&gt;=1900,Audit_Data[[#This Row],[Year_Birth]]&lt;=2010),"OK","Invalid")</f>
        <v>OK</v>
      </c>
      <c r="AF607" t="str">
        <f t="shared" si="118"/>
        <v>Valid</v>
      </c>
      <c r="AG607" t="str">
        <f t="shared" si="119"/>
        <v>Valid</v>
      </c>
      <c r="AH607" t="str">
        <f t="shared" si="120"/>
        <v>Valid</v>
      </c>
      <c r="AI607" t="str">
        <f t="shared" si="121"/>
        <v>Valid</v>
      </c>
      <c r="AJ607" t="str">
        <f t="shared" si="122"/>
        <v>Valid</v>
      </c>
      <c r="AK607" t="str">
        <f t="shared" si="129"/>
        <v xml:space="preserve">Valid </v>
      </c>
      <c r="AL607" t="str">
        <f>IF(AND(Audit_Data[[#This Row],[Recency]]&gt;=0,Audit_Data[[#This Row],[Recency]]&lt;=100),"Valid","Invalid")</f>
        <v>Valid</v>
      </c>
      <c r="AM607" t="str">
        <f t="shared" si="123"/>
        <v>Valid</v>
      </c>
      <c r="AN607" t="str">
        <f t="shared" si="124"/>
        <v>Valid</v>
      </c>
      <c r="AO607" t="str">
        <f t="shared" si="125"/>
        <v>Valid</v>
      </c>
      <c r="AP607" t="str">
        <f t="shared" si="126"/>
        <v>Valid</v>
      </c>
      <c r="AQ607" t="str">
        <f>IF(Audit_Data[[#This Row],[Z_CostContact]]=3,"Valid","Invalid")</f>
        <v>Valid</v>
      </c>
      <c r="AR607" t="str">
        <f t="shared" si="127"/>
        <v>Valid</v>
      </c>
      <c r="AS607" t="str">
        <f t="shared" si="128"/>
        <v>Valid</v>
      </c>
    </row>
    <row r="608" spans="1:45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 t="str">
        <f t="shared" si="117"/>
        <v>Ok</v>
      </c>
      <c r="AE608" t="str">
        <f>IF(AND(Audit_Data[[#This Row],[Year_Birth]]&gt;=1900,Audit_Data[[#This Row],[Year_Birth]]&lt;=2010),"OK","Invalid")</f>
        <v>OK</v>
      </c>
      <c r="AF608" t="str">
        <f t="shared" si="118"/>
        <v>Valid</v>
      </c>
      <c r="AG608" t="str">
        <f t="shared" si="119"/>
        <v>Valid</v>
      </c>
      <c r="AH608" t="str">
        <f t="shared" si="120"/>
        <v>Valid</v>
      </c>
      <c r="AI608" t="str">
        <f t="shared" si="121"/>
        <v>Valid</v>
      </c>
      <c r="AJ608" t="str">
        <f t="shared" si="122"/>
        <v>Valid</v>
      </c>
      <c r="AK608" t="str">
        <f t="shared" si="129"/>
        <v xml:space="preserve">Valid </v>
      </c>
      <c r="AL608" t="str">
        <f>IF(AND(Audit_Data[[#This Row],[Recency]]&gt;=0,Audit_Data[[#This Row],[Recency]]&lt;=100),"Valid","Invalid")</f>
        <v>Valid</v>
      </c>
      <c r="AM608" t="str">
        <f t="shared" si="123"/>
        <v>Valid</v>
      </c>
      <c r="AN608" t="str">
        <f t="shared" si="124"/>
        <v>Valid</v>
      </c>
      <c r="AO608" t="str">
        <f t="shared" si="125"/>
        <v>Valid</v>
      </c>
      <c r="AP608" t="str">
        <f t="shared" si="126"/>
        <v>Valid</v>
      </c>
      <c r="AQ608" t="str">
        <f>IF(Audit_Data[[#This Row],[Z_CostContact]]=3,"Valid","Invalid")</f>
        <v>Valid</v>
      </c>
      <c r="AR608" t="str">
        <f t="shared" si="127"/>
        <v>Valid</v>
      </c>
      <c r="AS608" t="str">
        <f t="shared" si="128"/>
        <v>Valid</v>
      </c>
    </row>
    <row r="609" spans="1:45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 t="str">
        <f t="shared" si="117"/>
        <v>Ok</v>
      </c>
      <c r="AE609" t="str">
        <f>IF(AND(Audit_Data[[#This Row],[Year_Birth]]&gt;=1900,Audit_Data[[#This Row],[Year_Birth]]&lt;=2010),"OK","Invalid")</f>
        <v>OK</v>
      </c>
      <c r="AF609" t="str">
        <f t="shared" si="118"/>
        <v>Valid</v>
      </c>
      <c r="AG609" t="str">
        <f t="shared" si="119"/>
        <v>Valid</v>
      </c>
      <c r="AH609" t="str">
        <f t="shared" si="120"/>
        <v>Valid</v>
      </c>
      <c r="AI609" t="str">
        <f t="shared" si="121"/>
        <v>Valid</v>
      </c>
      <c r="AJ609" t="str">
        <f t="shared" si="122"/>
        <v>Valid</v>
      </c>
      <c r="AK609" t="str">
        <f t="shared" si="129"/>
        <v xml:space="preserve">Valid </v>
      </c>
      <c r="AL609" t="str">
        <f>IF(AND(Audit_Data[[#This Row],[Recency]]&gt;=0,Audit_Data[[#This Row],[Recency]]&lt;=100),"Valid","Invalid")</f>
        <v>Valid</v>
      </c>
      <c r="AM609" t="str">
        <f t="shared" si="123"/>
        <v>Valid</v>
      </c>
      <c r="AN609" t="str">
        <f t="shared" si="124"/>
        <v>Valid</v>
      </c>
      <c r="AO609" t="str">
        <f t="shared" si="125"/>
        <v>Valid</v>
      </c>
      <c r="AP609" t="str">
        <f t="shared" si="126"/>
        <v>Valid</v>
      </c>
      <c r="AQ609" t="str">
        <f>IF(Audit_Data[[#This Row],[Z_CostContact]]=3,"Valid","Invalid")</f>
        <v>Valid</v>
      </c>
      <c r="AR609" t="str">
        <f t="shared" si="127"/>
        <v>Valid</v>
      </c>
      <c r="AS609" t="str">
        <f t="shared" si="128"/>
        <v>Valid</v>
      </c>
    </row>
    <row r="610" spans="1:45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 t="str">
        <f t="shared" si="117"/>
        <v>Ok</v>
      </c>
      <c r="AE610" t="str">
        <f>IF(AND(Audit_Data[[#This Row],[Year_Birth]]&gt;=1900,Audit_Data[[#This Row],[Year_Birth]]&lt;=2010),"OK","Invalid")</f>
        <v>OK</v>
      </c>
      <c r="AF610" t="str">
        <f t="shared" si="118"/>
        <v>Valid</v>
      </c>
      <c r="AG610" t="str">
        <f t="shared" si="119"/>
        <v>Valid</v>
      </c>
      <c r="AH610" t="str">
        <f t="shared" si="120"/>
        <v>Valid</v>
      </c>
      <c r="AI610" t="str">
        <f t="shared" si="121"/>
        <v>Valid</v>
      </c>
      <c r="AJ610" t="str">
        <f t="shared" si="122"/>
        <v>Valid</v>
      </c>
      <c r="AK610" t="str">
        <f t="shared" si="129"/>
        <v xml:space="preserve">Valid </v>
      </c>
      <c r="AL610" t="str">
        <f>IF(AND(Audit_Data[[#This Row],[Recency]]&gt;=0,Audit_Data[[#This Row],[Recency]]&lt;=100),"Valid","Invalid")</f>
        <v>Valid</v>
      </c>
      <c r="AM610" t="str">
        <f t="shared" si="123"/>
        <v>Valid</v>
      </c>
      <c r="AN610" t="str">
        <f t="shared" si="124"/>
        <v>Valid</v>
      </c>
      <c r="AO610" t="str">
        <f t="shared" si="125"/>
        <v>Valid</v>
      </c>
      <c r="AP610" t="str">
        <f t="shared" si="126"/>
        <v>Valid</v>
      </c>
      <c r="AQ610" t="str">
        <f>IF(Audit_Data[[#This Row],[Z_CostContact]]=3,"Valid","Invalid")</f>
        <v>Valid</v>
      </c>
      <c r="AR610" t="str">
        <f t="shared" si="127"/>
        <v>Valid</v>
      </c>
      <c r="AS610" t="str">
        <f t="shared" si="128"/>
        <v>Valid</v>
      </c>
    </row>
    <row r="611" spans="1:45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 t="str">
        <f t="shared" si="117"/>
        <v>Ok</v>
      </c>
      <c r="AE611" t="str">
        <f>IF(AND(Audit_Data[[#This Row],[Year_Birth]]&gt;=1900,Audit_Data[[#This Row],[Year_Birth]]&lt;=2010),"OK","Invalid")</f>
        <v>OK</v>
      </c>
      <c r="AF611" t="str">
        <f t="shared" si="118"/>
        <v>Valid</v>
      </c>
      <c r="AG611" t="str">
        <f t="shared" si="119"/>
        <v>Valid</v>
      </c>
      <c r="AH611" t="str">
        <f t="shared" si="120"/>
        <v>Valid</v>
      </c>
      <c r="AI611" t="str">
        <f t="shared" si="121"/>
        <v>Valid</v>
      </c>
      <c r="AJ611" t="str">
        <f t="shared" si="122"/>
        <v>Valid</v>
      </c>
      <c r="AK611" t="str">
        <f t="shared" si="129"/>
        <v xml:space="preserve">Valid </v>
      </c>
      <c r="AL611" t="str">
        <f>IF(AND(Audit_Data[[#This Row],[Recency]]&gt;=0,Audit_Data[[#This Row],[Recency]]&lt;=100),"Valid","Invalid")</f>
        <v>Valid</v>
      </c>
      <c r="AM611" t="str">
        <f t="shared" si="123"/>
        <v>Valid</v>
      </c>
      <c r="AN611" t="str">
        <f t="shared" si="124"/>
        <v>Valid</v>
      </c>
      <c r="AO611" t="str">
        <f t="shared" si="125"/>
        <v>Valid</v>
      </c>
      <c r="AP611" t="str">
        <f t="shared" si="126"/>
        <v>Valid</v>
      </c>
      <c r="AQ611" t="str">
        <f>IF(Audit_Data[[#This Row],[Z_CostContact]]=3,"Valid","Invalid")</f>
        <v>Valid</v>
      </c>
      <c r="AR611" t="str">
        <f t="shared" si="127"/>
        <v>Valid</v>
      </c>
      <c r="AS611" t="str">
        <f t="shared" si="128"/>
        <v>Valid</v>
      </c>
    </row>
    <row r="612" spans="1:45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 t="str">
        <f t="shared" si="117"/>
        <v>Ok</v>
      </c>
      <c r="AE612" t="str">
        <f>IF(AND(Audit_Data[[#This Row],[Year_Birth]]&gt;=1900,Audit_Data[[#This Row],[Year_Birth]]&lt;=2010),"OK","Invalid")</f>
        <v>OK</v>
      </c>
      <c r="AF612" t="str">
        <f t="shared" si="118"/>
        <v>Valid</v>
      </c>
      <c r="AG612" t="str">
        <f t="shared" si="119"/>
        <v>Valid</v>
      </c>
      <c r="AH612" t="str">
        <f t="shared" si="120"/>
        <v>Valid</v>
      </c>
      <c r="AI612" t="str">
        <f t="shared" si="121"/>
        <v>Valid</v>
      </c>
      <c r="AJ612" t="str">
        <f t="shared" si="122"/>
        <v>Valid</v>
      </c>
      <c r="AK612" t="str">
        <f t="shared" si="129"/>
        <v xml:space="preserve">Valid </v>
      </c>
      <c r="AL612" t="str">
        <f>IF(AND(Audit_Data[[#This Row],[Recency]]&gt;=0,Audit_Data[[#This Row],[Recency]]&lt;=100),"Valid","Invalid")</f>
        <v>Valid</v>
      </c>
      <c r="AM612" t="str">
        <f t="shared" si="123"/>
        <v>Valid</v>
      </c>
      <c r="AN612" t="str">
        <f t="shared" si="124"/>
        <v>Valid</v>
      </c>
      <c r="AO612" t="str">
        <f t="shared" si="125"/>
        <v>Valid</v>
      </c>
      <c r="AP612" t="str">
        <f t="shared" si="126"/>
        <v>Valid</v>
      </c>
      <c r="AQ612" t="str">
        <f>IF(Audit_Data[[#This Row],[Z_CostContact]]=3,"Valid","Invalid")</f>
        <v>Valid</v>
      </c>
      <c r="AR612" t="str">
        <f t="shared" si="127"/>
        <v>Valid</v>
      </c>
      <c r="AS612" t="str">
        <f t="shared" si="128"/>
        <v>Valid</v>
      </c>
    </row>
    <row r="613" spans="1:45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 t="str">
        <f t="shared" si="117"/>
        <v>Ok</v>
      </c>
      <c r="AE613" t="str">
        <f>IF(AND(Audit_Data[[#This Row],[Year_Birth]]&gt;=1900,Audit_Data[[#This Row],[Year_Birth]]&lt;=2010),"OK","Invalid")</f>
        <v>OK</v>
      </c>
      <c r="AF613" t="str">
        <f t="shared" si="118"/>
        <v>Valid</v>
      </c>
      <c r="AG613" t="str">
        <f t="shared" si="119"/>
        <v>Valid</v>
      </c>
      <c r="AH613" t="str">
        <f t="shared" si="120"/>
        <v>Valid</v>
      </c>
      <c r="AI613" t="str">
        <f t="shared" si="121"/>
        <v>Valid</v>
      </c>
      <c r="AJ613" t="str">
        <f t="shared" si="122"/>
        <v>Valid</v>
      </c>
      <c r="AK613" t="str">
        <f t="shared" si="129"/>
        <v xml:space="preserve">Valid </v>
      </c>
      <c r="AL613" t="str">
        <f>IF(AND(Audit_Data[[#This Row],[Recency]]&gt;=0,Audit_Data[[#This Row],[Recency]]&lt;=100),"Valid","Invalid")</f>
        <v>Valid</v>
      </c>
      <c r="AM613" t="str">
        <f t="shared" si="123"/>
        <v>Valid</v>
      </c>
      <c r="AN613" t="str">
        <f t="shared" si="124"/>
        <v>Valid</v>
      </c>
      <c r="AO613" t="str">
        <f t="shared" si="125"/>
        <v>Valid</v>
      </c>
      <c r="AP613" t="str">
        <f t="shared" si="126"/>
        <v>Valid</v>
      </c>
      <c r="AQ613" t="str">
        <f>IF(Audit_Data[[#This Row],[Z_CostContact]]=3,"Valid","Invalid")</f>
        <v>Valid</v>
      </c>
      <c r="AR613" t="str">
        <f t="shared" si="127"/>
        <v>Valid</v>
      </c>
      <c r="AS613" t="str">
        <f t="shared" si="128"/>
        <v>Valid</v>
      </c>
    </row>
    <row r="614" spans="1:45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 t="str">
        <f t="shared" si="117"/>
        <v>Ok</v>
      </c>
      <c r="AE614" t="str">
        <f>IF(AND(Audit_Data[[#This Row],[Year_Birth]]&gt;=1900,Audit_Data[[#This Row],[Year_Birth]]&lt;=2010),"OK","Invalid")</f>
        <v>OK</v>
      </c>
      <c r="AF614" t="str">
        <f t="shared" si="118"/>
        <v>Valid</v>
      </c>
      <c r="AG614" t="str">
        <f t="shared" si="119"/>
        <v>Valid</v>
      </c>
      <c r="AH614" t="str">
        <f t="shared" si="120"/>
        <v>Valid</v>
      </c>
      <c r="AI614" t="str">
        <f t="shared" si="121"/>
        <v>Valid</v>
      </c>
      <c r="AJ614" t="str">
        <f t="shared" si="122"/>
        <v>Valid</v>
      </c>
      <c r="AK614" t="str">
        <f t="shared" si="129"/>
        <v xml:space="preserve">Valid </v>
      </c>
      <c r="AL614" t="str">
        <f>IF(AND(Audit_Data[[#This Row],[Recency]]&gt;=0,Audit_Data[[#This Row],[Recency]]&lt;=100),"Valid","Invalid")</f>
        <v>Valid</v>
      </c>
      <c r="AM614" t="str">
        <f t="shared" si="123"/>
        <v>Valid</v>
      </c>
      <c r="AN614" t="str">
        <f t="shared" si="124"/>
        <v>Valid</v>
      </c>
      <c r="AO614" t="str">
        <f t="shared" si="125"/>
        <v>Valid</v>
      </c>
      <c r="AP614" t="str">
        <f t="shared" si="126"/>
        <v>Valid</v>
      </c>
      <c r="AQ614" t="str">
        <f>IF(Audit_Data[[#This Row],[Z_CostContact]]=3,"Valid","Invalid")</f>
        <v>Valid</v>
      </c>
      <c r="AR614" t="str">
        <f t="shared" si="127"/>
        <v>Valid</v>
      </c>
      <c r="AS614" t="str">
        <f t="shared" si="128"/>
        <v>Valid</v>
      </c>
    </row>
    <row r="615" spans="1:45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 t="str">
        <f t="shared" si="117"/>
        <v>Ok</v>
      </c>
      <c r="AE615" t="str">
        <f>IF(AND(Audit_Data[[#This Row],[Year_Birth]]&gt;=1900,Audit_Data[[#This Row],[Year_Birth]]&lt;=2010),"OK","Invalid")</f>
        <v>OK</v>
      </c>
      <c r="AF615" t="str">
        <f t="shared" si="118"/>
        <v>Valid</v>
      </c>
      <c r="AG615" t="str">
        <f t="shared" si="119"/>
        <v>Valid</v>
      </c>
      <c r="AH615" t="str">
        <f t="shared" si="120"/>
        <v>Valid</v>
      </c>
      <c r="AI615" t="str">
        <f t="shared" si="121"/>
        <v>Valid</v>
      </c>
      <c r="AJ615" t="str">
        <f t="shared" si="122"/>
        <v>Valid</v>
      </c>
      <c r="AK615" t="str">
        <f t="shared" si="129"/>
        <v xml:space="preserve">Valid </v>
      </c>
      <c r="AL615" t="str">
        <f>IF(AND(Audit_Data[[#This Row],[Recency]]&gt;=0,Audit_Data[[#This Row],[Recency]]&lt;=100),"Valid","Invalid")</f>
        <v>Valid</v>
      </c>
      <c r="AM615" t="str">
        <f t="shared" si="123"/>
        <v>Valid</v>
      </c>
      <c r="AN615" t="str">
        <f t="shared" si="124"/>
        <v>Valid</v>
      </c>
      <c r="AO615" t="str">
        <f t="shared" si="125"/>
        <v>Valid</v>
      </c>
      <c r="AP615" t="str">
        <f t="shared" si="126"/>
        <v>Valid</v>
      </c>
      <c r="AQ615" t="str">
        <f>IF(Audit_Data[[#This Row],[Z_CostContact]]=3,"Valid","Invalid")</f>
        <v>Valid</v>
      </c>
      <c r="AR615" t="str">
        <f t="shared" si="127"/>
        <v>Valid</v>
      </c>
      <c r="AS615" t="str">
        <f t="shared" si="128"/>
        <v>Valid</v>
      </c>
    </row>
    <row r="616" spans="1:45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 t="str">
        <f t="shared" si="117"/>
        <v>Ok</v>
      </c>
      <c r="AE616" t="str">
        <f>IF(AND(Audit_Data[[#This Row],[Year_Birth]]&gt;=1900,Audit_Data[[#This Row],[Year_Birth]]&lt;=2010),"OK","Invalid")</f>
        <v>OK</v>
      </c>
      <c r="AF616" t="str">
        <f t="shared" si="118"/>
        <v>Valid</v>
      </c>
      <c r="AG616" t="str">
        <f t="shared" si="119"/>
        <v>Valid</v>
      </c>
      <c r="AH616" t="str">
        <f t="shared" si="120"/>
        <v>Valid</v>
      </c>
      <c r="AI616" t="str">
        <f t="shared" si="121"/>
        <v>Valid</v>
      </c>
      <c r="AJ616" t="str">
        <f t="shared" si="122"/>
        <v>Valid</v>
      </c>
      <c r="AK616" t="str">
        <f t="shared" si="129"/>
        <v xml:space="preserve">Valid </v>
      </c>
      <c r="AL616" t="str">
        <f>IF(AND(Audit_Data[[#This Row],[Recency]]&gt;=0,Audit_Data[[#This Row],[Recency]]&lt;=100),"Valid","Invalid")</f>
        <v>Valid</v>
      </c>
      <c r="AM616" t="str">
        <f t="shared" si="123"/>
        <v>Valid</v>
      </c>
      <c r="AN616" t="str">
        <f t="shared" si="124"/>
        <v>Valid</v>
      </c>
      <c r="AO616" t="str">
        <f t="shared" si="125"/>
        <v>Valid</v>
      </c>
      <c r="AP616" t="str">
        <f t="shared" si="126"/>
        <v>Valid</v>
      </c>
      <c r="AQ616" t="str">
        <f>IF(Audit_Data[[#This Row],[Z_CostContact]]=3,"Valid","Invalid")</f>
        <v>Valid</v>
      </c>
      <c r="AR616" t="str">
        <f t="shared" si="127"/>
        <v>Valid</v>
      </c>
      <c r="AS616" t="str">
        <f t="shared" si="128"/>
        <v>Valid</v>
      </c>
    </row>
    <row r="617" spans="1:45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 t="str">
        <f t="shared" si="117"/>
        <v>Ok</v>
      </c>
      <c r="AE617" t="str">
        <f>IF(AND(Audit_Data[[#This Row],[Year_Birth]]&gt;=1900,Audit_Data[[#This Row],[Year_Birth]]&lt;=2010),"OK","Invalid")</f>
        <v>OK</v>
      </c>
      <c r="AF617" t="str">
        <f t="shared" si="118"/>
        <v>Valid</v>
      </c>
      <c r="AG617" t="str">
        <f t="shared" si="119"/>
        <v>Valid</v>
      </c>
      <c r="AH617" t="str">
        <f t="shared" si="120"/>
        <v>Valid</v>
      </c>
      <c r="AI617" t="str">
        <f t="shared" si="121"/>
        <v>Valid</v>
      </c>
      <c r="AJ617" t="str">
        <f t="shared" si="122"/>
        <v>Valid</v>
      </c>
      <c r="AK617" t="str">
        <f t="shared" si="129"/>
        <v xml:space="preserve">Valid </v>
      </c>
      <c r="AL617" t="str">
        <f>IF(AND(Audit_Data[[#This Row],[Recency]]&gt;=0,Audit_Data[[#This Row],[Recency]]&lt;=100),"Valid","Invalid")</f>
        <v>Valid</v>
      </c>
      <c r="AM617" t="str">
        <f t="shared" si="123"/>
        <v>Valid</v>
      </c>
      <c r="AN617" t="str">
        <f t="shared" si="124"/>
        <v>Valid</v>
      </c>
      <c r="AO617" t="str">
        <f t="shared" si="125"/>
        <v>Valid</v>
      </c>
      <c r="AP617" t="str">
        <f t="shared" si="126"/>
        <v>Valid</v>
      </c>
      <c r="AQ617" t="str">
        <f>IF(Audit_Data[[#This Row],[Z_CostContact]]=3,"Valid","Invalid")</f>
        <v>Valid</v>
      </c>
      <c r="AR617" t="str">
        <f t="shared" si="127"/>
        <v>Valid</v>
      </c>
      <c r="AS617" t="str">
        <f t="shared" si="128"/>
        <v>Valid</v>
      </c>
    </row>
    <row r="618" spans="1:45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 t="str">
        <f t="shared" si="117"/>
        <v>Ok</v>
      </c>
      <c r="AE618" t="str">
        <f>IF(AND(Audit_Data[[#This Row],[Year_Birth]]&gt;=1900,Audit_Data[[#This Row],[Year_Birth]]&lt;=2010),"OK","Invalid")</f>
        <v>OK</v>
      </c>
      <c r="AF618" t="str">
        <f t="shared" si="118"/>
        <v>Valid</v>
      </c>
      <c r="AG618" t="str">
        <f t="shared" si="119"/>
        <v>Valid</v>
      </c>
      <c r="AH618" t="str">
        <f t="shared" si="120"/>
        <v>Valid</v>
      </c>
      <c r="AI618" t="str">
        <f t="shared" si="121"/>
        <v>Valid</v>
      </c>
      <c r="AJ618" t="str">
        <f t="shared" si="122"/>
        <v>Valid</v>
      </c>
      <c r="AK618" t="str">
        <f t="shared" si="129"/>
        <v xml:space="preserve">Valid </v>
      </c>
      <c r="AL618" t="str">
        <f>IF(AND(Audit_Data[[#This Row],[Recency]]&gt;=0,Audit_Data[[#This Row],[Recency]]&lt;=100),"Valid","Invalid")</f>
        <v>Valid</v>
      </c>
      <c r="AM618" t="str">
        <f t="shared" si="123"/>
        <v>Valid</v>
      </c>
      <c r="AN618" t="str">
        <f t="shared" si="124"/>
        <v>Valid</v>
      </c>
      <c r="AO618" t="str">
        <f t="shared" si="125"/>
        <v>Valid</v>
      </c>
      <c r="AP618" t="str">
        <f t="shared" si="126"/>
        <v>Valid</v>
      </c>
      <c r="AQ618" t="str">
        <f>IF(Audit_Data[[#This Row],[Z_CostContact]]=3,"Valid","Invalid")</f>
        <v>Valid</v>
      </c>
      <c r="AR618" t="str">
        <f t="shared" si="127"/>
        <v>Valid</v>
      </c>
      <c r="AS618" t="str">
        <f t="shared" si="128"/>
        <v>Valid</v>
      </c>
    </row>
    <row r="619" spans="1:45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 t="str">
        <f t="shared" si="117"/>
        <v>Ok</v>
      </c>
      <c r="AE619" t="str">
        <f>IF(AND(Audit_Data[[#This Row],[Year_Birth]]&gt;=1900,Audit_Data[[#This Row],[Year_Birth]]&lt;=2010),"OK","Invalid")</f>
        <v>OK</v>
      </c>
      <c r="AF619" t="str">
        <f t="shared" si="118"/>
        <v>Valid</v>
      </c>
      <c r="AG619" t="str">
        <f t="shared" si="119"/>
        <v>Valid</v>
      </c>
      <c r="AH619" t="str">
        <f t="shared" si="120"/>
        <v>Valid</v>
      </c>
      <c r="AI619" t="str">
        <f t="shared" si="121"/>
        <v>Valid</v>
      </c>
      <c r="AJ619" t="str">
        <f t="shared" si="122"/>
        <v>Valid</v>
      </c>
      <c r="AK619" t="str">
        <f t="shared" si="129"/>
        <v xml:space="preserve">Valid </v>
      </c>
      <c r="AL619" t="str">
        <f>IF(AND(Audit_Data[[#This Row],[Recency]]&gt;=0,Audit_Data[[#This Row],[Recency]]&lt;=100),"Valid","Invalid")</f>
        <v>Valid</v>
      </c>
      <c r="AM619" t="str">
        <f t="shared" si="123"/>
        <v>Valid</v>
      </c>
      <c r="AN619" t="str">
        <f t="shared" si="124"/>
        <v>Valid</v>
      </c>
      <c r="AO619" t="str">
        <f t="shared" si="125"/>
        <v>Valid</v>
      </c>
      <c r="AP619" t="str">
        <f t="shared" si="126"/>
        <v>Valid</v>
      </c>
      <c r="AQ619" t="str">
        <f>IF(Audit_Data[[#This Row],[Z_CostContact]]=3,"Valid","Invalid")</f>
        <v>Valid</v>
      </c>
      <c r="AR619" t="str">
        <f t="shared" si="127"/>
        <v>Valid</v>
      </c>
      <c r="AS619" t="str">
        <f t="shared" si="128"/>
        <v>Valid</v>
      </c>
    </row>
    <row r="620" spans="1:45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 t="str">
        <f t="shared" si="117"/>
        <v>Ok</v>
      </c>
      <c r="AE620" t="str">
        <f>IF(AND(Audit_Data[[#This Row],[Year_Birth]]&gt;=1900,Audit_Data[[#This Row],[Year_Birth]]&lt;=2010),"OK","Invalid")</f>
        <v>OK</v>
      </c>
      <c r="AF620" t="str">
        <f t="shared" si="118"/>
        <v>Valid</v>
      </c>
      <c r="AG620" t="str">
        <f t="shared" si="119"/>
        <v>Valid</v>
      </c>
      <c r="AH620" t="str">
        <f t="shared" si="120"/>
        <v>Valid</v>
      </c>
      <c r="AI620" t="str">
        <f t="shared" si="121"/>
        <v>Valid</v>
      </c>
      <c r="AJ620" t="str">
        <f t="shared" si="122"/>
        <v>Valid</v>
      </c>
      <c r="AK620" t="str">
        <f t="shared" si="129"/>
        <v xml:space="preserve">Valid </v>
      </c>
      <c r="AL620" t="str">
        <f>IF(AND(Audit_Data[[#This Row],[Recency]]&gt;=0,Audit_Data[[#This Row],[Recency]]&lt;=100),"Valid","Invalid")</f>
        <v>Valid</v>
      </c>
      <c r="AM620" t="str">
        <f t="shared" si="123"/>
        <v>Valid</v>
      </c>
      <c r="AN620" t="str">
        <f t="shared" si="124"/>
        <v>Valid</v>
      </c>
      <c r="AO620" t="str">
        <f t="shared" si="125"/>
        <v>Valid</v>
      </c>
      <c r="AP620" t="str">
        <f t="shared" si="126"/>
        <v>Valid</v>
      </c>
      <c r="AQ620" t="str">
        <f>IF(Audit_Data[[#This Row],[Z_CostContact]]=3,"Valid","Invalid")</f>
        <v>Valid</v>
      </c>
      <c r="AR620" t="str">
        <f t="shared" si="127"/>
        <v>Valid</v>
      </c>
      <c r="AS620" t="str">
        <f t="shared" si="128"/>
        <v>Valid</v>
      </c>
    </row>
    <row r="621" spans="1:45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 t="str">
        <f t="shared" si="117"/>
        <v>Ok</v>
      </c>
      <c r="AE621" t="str">
        <f>IF(AND(Audit_Data[[#This Row],[Year_Birth]]&gt;=1900,Audit_Data[[#This Row],[Year_Birth]]&lt;=2010),"OK","Invalid")</f>
        <v>OK</v>
      </c>
      <c r="AF621" t="str">
        <f t="shared" si="118"/>
        <v>Valid</v>
      </c>
      <c r="AG621" t="str">
        <f t="shared" si="119"/>
        <v>Valid</v>
      </c>
      <c r="AH621" t="str">
        <f t="shared" si="120"/>
        <v>Valid</v>
      </c>
      <c r="AI621" t="str">
        <f t="shared" si="121"/>
        <v>Valid</v>
      </c>
      <c r="AJ621" t="str">
        <f t="shared" si="122"/>
        <v>Valid</v>
      </c>
      <c r="AK621" t="str">
        <f t="shared" si="129"/>
        <v xml:space="preserve">Valid </v>
      </c>
      <c r="AL621" t="str">
        <f>IF(AND(Audit_Data[[#This Row],[Recency]]&gt;=0,Audit_Data[[#This Row],[Recency]]&lt;=100),"Valid","Invalid")</f>
        <v>Valid</v>
      </c>
      <c r="AM621" t="str">
        <f t="shared" si="123"/>
        <v>Valid</v>
      </c>
      <c r="AN621" t="str">
        <f t="shared" si="124"/>
        <v>Valid</v>
      </c>
      <c r="AO621" t="str">
        <f t="shared" si="125"/>
        <v>Valid</v>
      </c>
      <c r="AP621" t="str">
        <f t="shared" si="126"/>
        <v>Valid</v>
      </c>
      <c r="AQ621" t="str">
        <f>IF(Audit_Data[[#This Row],[Z_CostContact]]=3,"Valid","Invalid")</f>
        <v>Valid</v>
      </c>
      <c r="AR621" t="str">
        <f t="shared" si="127"/>
        <v>Valid</v>
      </c>
      <c r="AS621" t="str">
        <f t="shared" si="128"/>
        <v>Valid</v>
      </c>
    </row>
    <row r="622" spans="1:45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 t="str">
        <f t="shared" si="117"/>
        <v>Ok</v>
      </c>
      <c r="AE622" t="str">
        <f>IF(AND(Audit_Data[[#This Row],[Year_Birth]]&gt;=1900,Audit_Data[[#This Row],[Year_Birth]]&lt;=2010),"OK","Invalid")</f>
        <v>OK</v>
      </c>
      <c r="AF622" t="str">
        <f t="shared" si="118"/>
        <v>Valid</v>
      </c>
      <c r="AG622" t="str">
        <f t="shared" si="119"/>
        <v>Valid</v>
      </c>
      <c r="AH622" t="str">
        <f t="shared" si="120"/>
        <v>Valid</v>
      </c>
      <c r="AI622" t="str">
        <f t="shared" si="121"/>
        <v>Valid</v>
      </c>
      <c r="AJ622" t="str">
        <f t="shared" si="122"/>
        <v>Valid</v>
      </c>
      <c r="AK622" t="str">
        <f t="shared" si="129"/>
        <v xml:space="preserve">Valid </v>
      </c>
      <c r="AL622" t="str">
        <f>IF(AND(Audit_Data[[#This Row],[Recency]]&gt;=0,Audit_Data[[#This Row],[Recency]]&lt;=100),"Valid","Invalid")</f>
        <v>Valid</v>
      </c>
      <c r="AM622" t="str">
        <f t="shared" si="123"/>
        <v>Valid</v>
      </c>
      <c r="AN622" t="str">
        <f t="shared" si="124"/>
        <v>Valid</v>
      </c>
      <c r="AO622" t="str">
        <f t="shared" si="125"/>
        <v>Valid</v>
      </c>
      <c r="AP622" t="str">
        <f t="shared" si="126"/>
        <v>Valid</v>
      </c>
      <c r="AQ622" t="str">
        <f>IF(Audit_Data[[#This Row],[Z_CostContact]]=3,"Valid","Invalid")</f>
        <v>Valid</v>
      </c>
      <c r="AR622" t="str">
        <f t="shared" si="127"/>
        <v>Valid</v>
      </c>
      <c r="AS622" t="str">
        <f t="shared" si="128"/>
        <v>Valid</v>
      </c>
    </row>
    <row r="623" spans="1:45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 t="str">
        <f t="shared" si="117"/>
        <v>Ok</v>
      </c>
      <c r="AE623" t="str">
        <f>IF(AND(Audit_Data[[#This Row],[Year_Birth]]&gt;=1900,Audit_Data[[#This Row],[Year_Birth]]&lt;=2010),"OK","Invalid")</f>
        <v>OK</v>
      </c>
      <c r="AF623" t="str">
        <f t="shared" si="118"/>
        <v>Valid</v>
      </c>
      <c r="AG623" t="str">
        <f t="shared" si="119"/>
        <v>Valid</v>
      </c>
      <c r="AH623" t="str">
        <f t="shared" si="120"/>
        <v>Valid</v>
      </c>
      <c r="AI623" t="str">
        <f t="shared" si="121"/>
        <v>Valid</v>
      </c>
      <c r="AJ623" t="str">
        <f t="shared" si="122"/>
        <v>Valid</v>
      </c>
      <c r="AK623" t="str">
        <f t="shared" si="129"/>
        <v xml:space="preserve">Valid </v>
      </c>
      <c r="AL623" t="str">
        <f>IF(AND(Audit_Data[[#This Row],[Recency]]&gt;=0,Audit_Data[[#This Row],[Recency]]&lt;=100),"Valid","Invalid")</f>
        <v>Valid</v>
      </c>
      <c r="AM623" t="str">
        <f t="shared" si="123"/>
        <v>Valid</v>
      </c>
      <c r="AN623" t="str">
        <f t="shared" si="124"/>
        <v>Valid</v>
      </c>
      <c r="AO623" t="str">
        <f t="shared" si="125"/>
        <v>Valid</v>
      </c>
      <c r="AP623" t="str">
        <f t="shared" si="126"/>
        <v>Valid</v>
      </c>
      <c r="AQ623" t="str">
        <f>IF(Audit_Data[[#This Row],[Z_CostContact]]=3,"Valid","Invalid")</f>
        <v>Valid</v>
      </c>
      <c r="AR623" t="str">
        <f t="shared" si="127"/>
        <v>Valid</v>
      </c>
      <c r="AS623" t="str">
        <f t="shared" si="128"/>
        <v>Valid</v>
      </c>
    </row>
    <row r="624" spans="1:45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 t="str">
        <f t="shared" si="117"/>
        <v>Ok</v>
      </c>
      <c r="AE624" t="str">
        <f>IF(AND(Audit_Data[[#This Row],[Year_Birth]]&gt;=1900,Audit_Data[[#This Row],[Year_Birth]]&lt;=2010),"OK","Invalid")</f>
        <v>OK</v>
      </c>
      <c r="AF624" t="str">
        <f t="shared" si="118"/>
        <v>Valid</v>
      </c>
      <c r="AG624" t="str">
        <f t="shared" si="119"/>
        <v>Valid</v>
      </c>
      <c r="AH624" t="str">
        <f t="shared" si="120"/>
        <v>Valid</v>
      </c>
      <c r="AI624" t="str">
        <f t="shared" si="121"/>
        <v>Valid</v>
      </c>
      <c r="AJ624" t="str">
        <f t="shared" si="122"/>
        <v>Valid</v>
      </c>
      <c r="AK624" t="str">
        <f t="shared" si="129"/>
        <v xml:space="preserve">Valid </v>
      </c>
      <c r="AL624" t="str">
        <f>IF(AND(Audit_Data[[#This Row],[Recency]]&gt;=0,Audit_Data[[#This Row],[Recency]]&lt;=100),"Valid","Invalid")</f>
        <v>Valid</v>
      </c>
      <c r="AM624" t="str">
        <f t="shared" si="123"/>
        <v>Valid</v>
      </c>
      <c r="AN624" t="str">
        <f t="shared" si="124"/>
        <v>Valid</v>
      </c>
      <c r="AO624" t="str">
        <f t="shared" si="125"/>
        <v>Valid</v>
      </c>
      <c r="AP624" t="str">
        <f t="shared" si="126"/>
        <v>Valid</v>
      </c>
      <c r="AQ624" t="str">
        <f>IF(Audit_Data[[#This Row],[Z_CostContact]]=3,"Valid","Invalid")</f>
        <v>Valid</v>
      </c>
      <c r="AR624" t="str">
        <f t="shared" si="127"/>
        <v>Valid</v>
      </c>
      <c r="AS624" t="str">
        <f t="shared" si="128"/>
        <v>Valid</v>
      </c>
    </row>
    <row r="625" spans="1:45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 t="str">
        <f t="shared" si="117"/>
        <v>Ok</v>
      </c>
      <c r="AE625" t="str">
        <f>IF(AND(Audit_Data[[#This Row],[Year_Birth]]&gt;=1900,Audit_Data[[#This Row],[Year_Birth]]&lt;=2010),"OK","Invalid")</f>
        <v>OK</v>
      </c>
      <c r="AF625" t="str">
        <f t="shared" si="118"/>
        <v>Valid</v>
      </c>
      <c r="AG625" t="str">
        <f t="shared" si="119"/>
        <v>Valid</v>
      </c>
      <c r="AH625" t="str">
        <f t="shared" si="120"/>
        <v>Valid</v>
      </c>
      <c r="AI625" t="str">
        <f t="shared" si="121"/>
        <v>Valid</v>
      </c>
      <c r="AJ625" t="str">
        <f t="shared" si="122"/>
        <v>Valid</v>
      </c>
      <c r="AK625" t="str">
        <f t="shared" si="129"/>
        <v xml:space="preserve">Valid </v>
      </c>
      <c r="AL625" t="str">
        <f>IF(AND(Audit_Data[[#This Row],[Recency]]&gt;=0,Audit_Data[[#This Row],[Recency]]&lt;=100),"Valid","Invalid")</f>
        <v>Valid</v>
      </c>
      <c r="AM625" t="str">
        <f t="shared" si="123"/>
        <v>Valid</v>
      </c>
      <c r="AN625" t="str">
        <f t="shared" si="124"/>
        <v>Valid</v>
      </c>
      <c r="AO625" t="str">
        <f t="shared" si="125"/>
        <v>Valid</v>
      </c>
      <c r="AP625" t="str">
        <f t="shared" si="126"/>
        <v>Valid</v>
      </c>
      <c r="AQ625" t="str">
        <f>IF(Audit_Data[[#This Row],[Z_CostContact]]=3,"Valid","Invalid")</f>
        <v>Valid</v>
      </c>
      <c r="AR625" t="str">
        <f t="shared" si="127"/>
        <v>Valid</v>
      </c>
      <c r="AS625" t="str">
        <f t="shared" si="128"/>
        <v>Valid</v>
      </c>
    </row>
    <row r="626" spans="1:45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 t="str">
        <f t="shared" si="117"/>
        <v>Ok</v>
      </c>
      <c r="AE626" t="str">
        <f>IF(AND(Audit_Data[[#This Row],[Year_Birth]]&gt;=1900,Audit_Data[[#This Row],[Year_Birth]]&lt;=2010),"OK","Invalid")</f>
        <v>OK</v>
      </c>
      <c r="AF626" t="str">
        <f t="shared" si="118"/>
        <v>Valid</v>
      </c>
      <c r="AG626" t="str">
        <f t="shared" si="119"/>
        <v>Valid</v>
      </c>
      <c r="AH626" t="str">
        <f t="shared" si="120"/>
        <v>Valid</v>
      </c>
      <c r="AI626" t="str">
        <f t="shared" si="121"/>
        <v>Valid</v>
      </c>
      <c r="AJ626" t="str">
        <f t="shared" si="122"/>
        <v>Valid</v>
      </c>
      <c r="AK626" t="str">
        <f t="shared" si="129"/>
        <v xml:space="preserve">Valid </v>
      </c>
      <c r="AL626" t="str">
        <f>IF(AND(Audit_Data[[#This Row],[Recency]]&gt;=0,Audit_Data[[#This Row],[Recency]]&lt;=100),"Valid","Invalid")</f>
        <v>Valid</v>
      </c>
      <c r="AM626" t="str">
        <f t="shared" si="123"/>
        <v>Valid</v>
      </c>
      <c r="AN626" t="str">
        <f t="shared" si="124"/>
        <v>Valid</v>
      </c>
      <c r="AO626" t="str">
        <f t="shared" si="125"/>
        <v>Valid</v>
      </c>
      <c r="AP626" t="str">
        <f t="shared" si="126"/>
        <v>Valid</v>
      </c>
      <c r="AQ626" t="str">
        <f>IF(Audit_Data[[#This Row],[Z_CostContact]]=3,"Valid","Invalid")</f>
        <v>Valid</v>
      </c>
      <c r="AR626" t="str">
        <f t="shared" si="127"/>
        <v>Valid</v>
      </c>
      <c r="AS626" t="str">
        <f t="shared" si="128"/>
        <v>Valid</v>
      </c>
    </row>
    <row r="627" spans="1:45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 t="str">
        <f t="shared" si="117"/>
        <v>Ok</v>
      </c>
      <c r="AE627" t="str">
        <f>IF(AND(Audit_Data[[#This Row],[Year_Birth]]&gt;=1900,Audit_Data[[#This Row],[Year_Birth]]&lt;=2010),"OK","Invalid")</f>
        <v>OK</v>
      </c>
      <c r="AF627" t="str">
        <f t="shared" si="118"/>
        <v>Valid</v>
      </c>
      <c r="AG627" t="str">
        <f t="shared" si="119"/>
        <v>Valid</v>
      </c>
      <c r="AH627" t="str">
        <f t="shared" si="120"/>
        <v>Valid</v>
      </c>
      <c r="AI627" t="str">
        <f t="shared" si="121"/>
        <v>Valid</v>
      </c>
      <c r="AJ627" t="str">
        <f t="shared" si="122"/>
        <v>Valid</v>
      </c>
      <c r="AK627" t="str">
        <f t="shared" si="129"/>
        <v xml:space="preserve">Valid </v>
      </c>
      <c r="AL627" t="str">
        <f>IF(AND(Audit_Data[[#This Row],[Recency]]&gt;=0,Audit_Data[[#This Row],[Recency]]&lt;=100),"Valid","Invalid")</f>
        <v>Valid</v>
      </c>
      <c r="AM627" t="str">
        <f t="shared" si="123"/>
        <v>Valid</v>
      </c>
      <c r="AN627" t="str">
        <f t="shared" si="124"/>
        <v>Valid</v>
      </c>
      <c r="AO627" t="str">
        <f t="shared" si="125"/>
        <v>Valid</v>
      </c>
      <c r="AP627" t="str">
        <f t="shared" si="126"/>
        <v>Valid</v>
      </c>
      <c r="AQ627" t="str">
        <f>IF(Audit_Data[[#This Row],[Z_CostContact]]=3,"Valid","Invalid")</f>
        <v>Valid</v>
      </c>
      <c r="AR627" t="str">
        <f t="shared" si="127"/>
        <v>Valid</v>
      </c>
      <c r="AS627" t="str">
        <f t="shared" si="128"/>
        <v>Valid</v>
      </c>
    </row>
    <row r="628" spans="1:45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 t="str">
        <f t="shared" si="117"/>
        <v>Ok</v>
      </c>
      <c r="AE628" t="str">
        <f>IF(AND(Audit_Data[[#This Row],[Year_Birth]]&gt;=1900,Audit_Data[[#This Row],[Year_Birth]]&lt;=2010),"OK","Invalid")</f>
        <v>OK</v>
      </c>
      <c r="AF628" t="str">
        <f t="shared" si="118"/>
        <v>Valid</v>
      </c>
      <c r="AG628" t="str">
        <f t="shared" si="119"/>
        <v>Valid</v>
      </c>
      <c r="AH628" t="str">
        <f t="shared" si="120"/>
        <v>Valid</v>
      </c>
      <c r="AI628" t="str">
        <f t="shared" si="121"/>
        <v>Valid</v>
      </c>
      <c r="AJ628" t="str">
        <f t="shared" si="122"/>
        <v>Valid</v>
      </c>
      <c r="AK628" t="str">
        <f t="shared" si="129"/>
        <v xml:space="preserve">Valid </v>
      </c>
      <c r="AL628" t="str">
        <f>IF(AND(Audit_Data[[#This Row],[Recency]]&gt;=0,Audit_Data[[#This Row],[Recency]]&lt;=100),"Valid","Invalid")</f>
        <v>Valid</v>
      </c>
      <c r="AM628" t="str">
        <f t="shared" si="123"/>
        <v>Valid</v>
      </c>
      <c r="AN628" t="str">
        <f t="shared" si="124"/>
        <v>Valid</v>
      </c>
      <c r="AO628" t="str">
        <f t="shared" si="125"/>
        <v>Valid</v>
      </c>
      <c r="AP628" t="str">
        <f t="shared" si="126"/>
        <v>Valid</v>
      </c>
      <c r="AQ628" t="str">
        <f>IF(Audit_Data[[#This Row],[Z_CostContact]]=3,"Valid","Invalid")</f>
        <v>Valid</v>
      </c>
      <c r="AR628" t="str">
        <f t="shared" si="127"/>
        <v>Valid</v>
      </c>
      <c r="AS628" t="str">
        <f t="shared" si="128"/>
        <v>Valid</v>
      </c>
    </row>
    <row r="629" spans="1:45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 t="str">
        <f t="shared" si="117"/>
        <v>Ok</v>
      </c>
      <c r="AE629" t="str">
        <f>IF(AND(Audit_Data[[#This Row],[Year_Birth]]&gt;=1900,Audit_Data[[#This Row],[Year_Birth]]&lt;=2010),"OK","Invalid")</f>
        <v>OK</v>
      </c>
      <c r="AF629" t="str">
        <f t="shared" si="118"/>
        <v>Valid</v>
      </c>
      <c r="AG629" t="str">
        <f t="shared" si="119"/>
        <v>Valid</v>
      </c>
      <c r="AH629" t="str">
        <f t="shared" si="120"/>
        <v>Valid</v>
      </c>
      <c r="AI629" t="str">
        <f t="shared" si="121"/>
        <v>Valid</v>
      </c>
      <c r="AJ629" t="str">
        <f t="shared" si="122"/>
        <v>Valid</v>
      </c>
      <c r="AK629" t="str">
        <f t="shared" si="129"/>
        <v xml:space="preserve">Valid </v>
      </c>
      <c r="AL629" t="str">
        <f>IF(AND(Audit_Data[[#This Row],[Recency]]&gt;=0,Audit_Data[[#This Row],[Recency]]&lt;=100),"Valid","Invalid")</f>
        <v>Valid</v>
      </c>
      <c r="AM629" t="str">
        <f t="shared" si="123"/>
        <v>Valid</v>
      </c>
      <c r="AN629" t="str">
        <f t="shared" si="124"/>
        <v>Valid</v>
      </c>
      <c r="AO629" t="str">
        <f t="shared" si="125"/>
        <v>Valid</v>
      </c>
      <c r="AP629" t="str">
        <f t="shared" si="126"/>
        <v>Valid</v>
      </c>
      <c r="AQ629" t="str">
        <f>IF(Audit_Data[[#This Row],[Z_CostContact]]=3,"Valid","Invalid")</f>
        <v>Valid</v>
      </c>
      <c r="AR629" t="str">
        <f t="shared" si="127"/>
        <v>Valid</v>
      </c>
      <c r="AS629" t="str">
        <f t="shared" si="128"/>
        <v>Valid</v>
      </c>
    </row>
    <row r="630" spans="1:45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 t="str">
        <f t="shared" si="117"/>
        <v>Ok</v>
      </c>
      <c r="AE630" t="str">
        <f>IF(AND(Audit_Data[[#This Row],[Year_Birth]]&gt;=1900,Audit_Data[[#This Row],[Year_Birth]]&lt;=2010),"OK","Invalid")</f>
        <v>OK</v>
      </c>
      <c r="AF630" t="str">
        <f t="shared" si="118"/>
        <v>Valid</v>
      </c>
      <c r="AG630" t="str">
        <f t="shared" si="119"/>
        <v>Valid</v>
      </c>
      <c r="AH630" t="str">
        <f t="shared" si="120"/>
        <v>Valid</v>
      </c>
      <c r="AI630" t="str">
        <f t="shared" si="121"/>
        <v>Valid</v>
      </c>
      <c r="AJ630" t="str">
        <f t="shared" si="122"/>
        <v>Valid</v>
      </c>
      <c r="AK630" t="str">
        <f t="shared" si="129"/>
        <v xml:space="preserve">Valid </v>
      </c>
      <c r="AL630" t="str">
        <f>IF(AND(Audit_Data[[#This Row],[Recency]]&gt;=0,Audit_Data[[#This Row],[Recency]]&lt;=100),"Valid","Invalid")</f>
        <v>Valid</v>
      </c>
      <c r="AM630" t="str">
        <f t="shared" si="123"/>
        <v>Valid</v>
      </c>
      <c r="AN630" t="str">
        <f t="shared" si="124"/>
        <v>Valid</v>
      </c>
      <c r="AO630" t="str">
        <f t="shared" si="125"/>
        <v>Valid</v>
      </c>
      <c r="AP630" t="str">
        <f t="shared" si="126"/>
        <v>Valid</v>
      </c>
      <c r="AQ630" t="str">
        <f>IF(Audit_Data[[#This Row],[Z_CostContact]]=3,"Valid","Invalid")</f>
        <v>Valid</v>
      </c>
      <c r="AR630" t="str">
        <f t="shared" si="127"/>
        <v>Valid</v>
      </c>
      <c r="AS630" t="str">
        <f t="shared" si="128"/>
        <v>Valid</v>
      </c>
    </row>
    <row r="631" spans="1:45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 t="str">
        <f t="shared" si="117"/>
        <v>Ok</v>
      </c>
      <c r="AE631" t="str">
        <f>IF(AND(Audit_Data[[#This Row],[Year_Birth]]&gt;=1900,Audit_Data[[#This Row],[Year_Birth]]&lt;=2010),"OK","Invalid")</f>
        <v>OK</v>
      </c>
      <c r="AF631" t="str">
        <f t="shared" si="118"/>
        <v>Valid</v>
      </c>
      <c r="AG631" t="str">
        <f t="shared" si="119"/>
        <v>Valid</v>
      </c>
      <c r="AH631" t="str">
        <f t="shared" si="120"/>
        <v>Valid</v>
      </c>
      <c r="AI631" t="str">
        <f t="shared" si="121"/>
        <v>Valid</v>
      </c>
      <c r="AJ631" t="str">
        <f t="shared" si="122"/>
        <v>Valid</v>
      </c>
      <c r="AK631" t="str">
        <f t="shared" si="129"/>
        <v xml:space="preserve">Valid </v>
      </c>
      <c r="AL631" t="str">
        <f>IF(AND(Audit_Data[[#This Row],[Recency]]&gt;=0,Audit_Data[[#This Row],[Recency]]&lt;=100),"Valid","Invalid")</f>
        <v>Valid</v>
      </c>
      <c r="AM631" t="str">
        <f t="shared" si="123"/>
        <v>Valid</v>
      </c>
      <c r="AN631" t="str">
        <f t="shared" si="124"/>
        <v>Valid</v>
      </c>
      <c r="AO631" t="str">
        <f t="shared" si="125"/>
        <v>Valid</v>
      </c>
      <c r="AP631" t="str">
        <f t="shared" si="126"/>
        <v>Valid</v>
      </c>
      <c r="AQ631" t="str">
        <f>IF(Audit_Data[[#This Row],[Z_CostContact]]=3,"Valid","Invalid")</f>
        <v>Valid</v>
      </c>
      <c r="AR631" t="str">
        <f t="shared" si="127"/>
        <v>Valid</v>
      </c>
      <c r="AS631" t="str">
        <f t="shared" si="128"/>
        <v>Valid</v>
      </c>
    </row>
    <row r="632" spans="1:45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 t="str">
        <f t="shared" si="117"/>
        <v>Ok</v>
      </c>
      <c r="AE632" t="str">
        <f>IF(AND(Audit_Data[[#This Row],[Year_Birth]]&gt;=1900,Audit_Data[[#This Row],[Year_Birth]]&lt;=2010),"OK","Invalid")</f>
        <v>OK</v>
      </c>
      <c r="AF632" t="str">
        <f t="shared" si="118"/>
        <v>Valid</v>
      </c>
      <c r="AG632" t="str">
        <f t="shared" si="119"/>
        <v>Valid</v>
      </c>
      <c r="AH632" t="str">
        <f t="shared" si="120"/>
        <v>Valid</v>
      </c>
      <c r="AI632" t="str">
        <f t="shared" si="121"/>
        <v>Valid</v>
      </c>
      <c r="AJ632" t="str">
        <f t="shared" si="122"/>
        <v>Valid</v>
      </c>
      <c r="AK632" t="str">
        <f t="shared" si="129"/>
        <v xml:space="preserve">Valid </v>
      </c>
      <c r="AL632" t="str">
        <f>IF(AND(Audit_Data[[#This Row],[Recency]]&gt;=0,Audit_Data[[#This Row],[Recency]]&lt;=100),"Valid","Invalid")</f>
        <v>Valid</v>
      </c>
      <c r="AM632" t="str">
        <f t="shared" si="123"/>
        <v>Valid</v>
      </c>
      <c r="AN632" t="str">
        <f t="shared" si="124"/>
        <v>Valid</v>
      </c>
      <c r="AO632" t="str">
        <f t="shared" si="125"/>
        <v>Valid</v>
      </c>
      <c r="AP632" t="str">
        <f t="shared" si="126"/>
        <v>Valid</v>
      </c>
      <c r="AQ632" t="str">
        <f>IF(Audit_Data[[#This Row],[Z_CostContact]]=3,"Valid","Invalid")</f>
        <v>Valid</v>
      </c>
      <c r="AR632" t="str">
        <f t="shared" si="127"/>
        <v>Valid</v>
      </c>
      <c r="AS632" t="str">
        <f t="shared" si="128"/>
        <v>Valid</v>
      </c>
    </row>
    <row r="633" spans="1:45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 t="str">
        <f t="shared" si="117"/>
        <v>Ok</v>
      </c>
      <c r="AE633" t="str">
        <f>IF(AND(Audit_Data[[#This Row],[Year_Birth]]&gt;=1900,Audit_Data[[#This Row],[Year_Birth]]&lt;=2010),"OK","Invalid")</f>
        <v>OK</v>
      </c>
      <c r="AF633" t="str">
        <f t="shared" si="118"/>
        <v>Valid</v>
      </c>
      <c r="AG633" t="str">
        <f t="shared" si="119"/>
        <v>Valid</v>
      </c>
      <c r="AH633" t="str">
        <f t="shared" si="120"/>
        <v>Valid</v>
      </c>
      <c r="AI633" t="str">
        <f t="shared" si="121"/>
        <v>Valid</v>
      </c>
      <c r="AJ633" t="str">
        <f t="shared" si="122"/>
        <v>Valid</v>
      </c>
      <c r="AK633" t="str">
        <f t="shared" si="129"/>
        <v xml:space="preserve">Valid </v>
      </c>
      <c r="AL633" t="str">
        <f>IF(AND(Audit_Data[[#This Row],[Recency]]&gt;=0,Audit_Data[[#This Row],[Recency]]&lt;=100),"Valid","Invalid")</f>
        <v>Valid</v>
      </c>
      <c r="AM633" t="str">
        <f t="shared" si="123"/>
        <v>Valid</v>
      </c>
      <c r="AN633" t="str">
        <f t="shared" si="124"/>
        <v>Valid</v>
      </c>
      <c r="AO633" t="str">
        <f t="shared" si="125"/>
        <v>Valid</v>
      </c>
      <c r="AP633" t="str">
        <f t="shared" si="126"/>
        <v>Valid</v>
      </c>
      <c r="AQ633" t="str">
        <f>IF(Audit_Data[[#This Row],[Z_CostContact]]=3,"Valid","Invalid")</f>
        <v>Valid</v>
      </c>
      <c r="AR633" t="str">
        <f t="shared" si="127"/>
        <v>Valid</v>
      </c>
      <c r="AS633" t="str">
        <f t="shared" si="128"/>
        <v>Valid</v>
      </c>
    </row>
    <row r="634" spans="1:45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 t="str">
        <f t="shared" si="117"/>
        <v>Ok</v>
      </c>
      <c r="AE634" t="str">
        <f>IF(AND(Audit_Data[[#This Row],[Year_Birth]]&gt;=1900,Audit_Data[[#This Row],[Year_Birth]]&lt;=2010),"OK","Invalid")</f>
        <v>OK</v>
      </c>
      <c r="AF634" t="str">
        <f t="shared" si="118"/>
        <v>Valid</v>
      </c>
      <c r="AG634" t="str">
        <f t="shared" si="119"/>
        <v>Valid</v>
      </c>
      <c r="AH634" t="str">
        <f t="shared" si="120"/>
        <v>Valid</v>
      </c>
      <c r="AI634" t="str">
        <f t="shared" si="121"/>
        <v>Valid</v>
      </c>
      <c r="AJ634" t="str">
        <f t="shared" si="122"/>
        <v>Valid</v>
      </c>
      <c r="AK634" t="str">
        <f t="shared" si="129"/>
        <v xml:space="preserve">Valid </v>
      </c>
      <c r="AL634" t="str">
        <f>IF(AND(Audit_Data[[#This Row],[Recency]]&gt;=0,Audit_Data[[#This Row],[Recency]]&lt;=100),"Valid","Invalid")</f>
        <v>Valid</v>
      </c>
      <c r="AM634" t="str">
        <f t="shared" si="123"/>
        <v>Valid</v>
      </c>
      <c r="AN634" t="str">
        <f t="shared" si="124"/>
        <v>Valid</v>
      </c>
      <c r="AO634" t="str">
        <f t="shared" si="125"/>
        <v>Valid</v>
      </c>
      <c r="AP634" t="str">
        <f t="shared" si="126"/>
        <v>Valid</v>
      </c>
      <c r="AQ634" t="str">
        <f>IF(Audit_Data[[#This Row],[Z_CostContact]]=3,"Valid","Invalid")</f>
        <v>Valid</v>
      </c>
      <c r="AR634" t="str">
        <f t="shared" si="127"/>
        <v>Valid</v>
      </c>
      <c r="AS634" t="str">
        <f t="shared" si="128"/>
        <v>Valid</v>
      </c>
    </row>
    <row r="635" spans="1:45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 t="str">
        <f t="shared" si="117"/>
        <v>Ok</v>
      </c>
      <c r="AE635" t="str">
        <f>IF(AND(Audit_Data[[#This Row],[Year_Birth]]&gt;=1900,Audit_Data[[#This Row],[Year_Birth]]&lt;=2010),"OK","Invalid")</f>
        <v>OK</v>
      </c>
      <c r="AF635" t="str">
        <f t="shared" si="118"/>
        <v>Valid</v>
      </c>
      <c r="AG635" t="str">
        <f t="shared" si="119"/>
        <v>Valid</v>
      </c>
      <c r="AH635" t="str">
        <f t="shared" si="120"/>
        <v>Valid</v>
      </c>
      <c r="AI635" t="str">
        <f t="shared" si="121"/>
        <v>Valid</v>
      </c>
      <c r="AJ635" t="str">
        <f t="shared" si="122"/>
        <v>Valid</v>
      </c>
      <c r="AK635" t="str">
        <f t="shared" si="129"/>
        <v xml:space="preserve">Valid </v>
      </c>
      <c r="AL635" t="str">
        <f>IF(AND(Audit_Data[[#This Row],[Recency]]&gt;=0,Audit_Data[[#This Row],[Recency]]&lt;=100),"Valid","Invalid")</f>
        <v>Valid</v>
      </c>
      <c r="AM635" t="str">
        <f t="shared" si="123"/>
        <v>Valid</v>
      </c>
      <c r="AN635" t="str">
        <f t="shared" si="124"/>
        <v>Valid</v>
      </c>
      <c r="AO635" t="str">
        <f t="shared" si="125"/>
        <v>Valid</v>
      </c>
      <c r="AP635" t="str">
        <f t="shared" si="126"/>
        <v>Valid</v>
      </c>
      <c r="AQ635" t="str">
        <f>IF(Audit_Data[[#This Row],[Z_CostContact]]=3,"Valid","Invalid")</f>
        <v>Valid</v>
      </c>
      <c r="AR635" t="str">
        <f t="shared" si="127"/>
        <v>Valid</v>
      </c>
      <c r="AS635" t="str">
        <f t="shared" si="128"/>
        <v>Valid</v>
      </c>
    </row>
    <row r="636" spans="1:45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 t="str">
        <f t="shared" si="117"/>
        <v>Ok</v>
      </c>
      <c r="AE636" t="str">
        <f>IF(AND(Audit_Data[[#This Row],[Year_Birth]]&gt;=1900,Audit_Data[[#This Row],[Year_Birth]]&lt;=2010),"OK","Invalid")</f>
        <v>OK</v>
      </c>
      <c r="AF636" t="str">
        <f t="shared" si="118"/>
        <v>Valid</v>
      </c>
      <c r="AG636" t="str">
        <f t="shared" si="119"/>
        <v>Valid</v>
      </c>
      <c r="AH636" t="str">
        <f t="shared" si="120"/>
        <v>Valid</v>
      </c>
      <c r="AI636" t="str">
        <f t="shared" si="121"/>
        <v>Valid</v>
      </c>
      <c r="AJ636" t="str">
        <f t="shared" si="122"/>
        <v>Valid</v>
      </c>
      <c r="AK636" t="str">
        <f t="shared" si="129"/>
        <v xml:space="preserve">Valid </v>
      </c>
      <c r="AL636" t="str">
        <f>IF(AND(Audit_Data[[#This Row],[Recency]]&gt;=0,Audit_Data[[#This Row],[Recency]]&lt;=100),"Valid","Invalid")</f>
        <v>Valid</v>
      </c>
      <c r="AM636" t="str">
        <f t="shared" si="123"/>
        <v>Valid</v>
      </c>
      <c r="AN636" t="str">
        <f t="shared" si="124"/>
        <v>Valid</v>
      </c>
      <c r="AO636" t="str">
        <f t="shared" si="125"/>
        <v>Valid</v>
      </c>
      <c r="AP636" t="str">
        <f t="shared" si="126"/>
        <v>Valid</v>
      </c>
      <c r="AQ636" t="str">
        <f>IF(Audit_Data[[#This Row],[Z_CostContact]]=3,"Valid","Invalid")</f>
        <v>Valid</v>
      </c>
      <c r="AR636" t="str">
        <f t="shared" si="127"/>
        <v>Valid</v>
      </c>
      <c r="AS636" t="str">
        <f t="shared" si="128"/>
        <v>Valid</v>
      </c>
    </row>
    <row r="637" spans="1:45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 t="str">
        <f t="shared" si="117"/>
        <v>Ok</v>
      </c>
      <c r="AE637" t="str">
        <f>IF(AND(Audit_Data[[#This Row],[Year_Birth]]&gt;=1900,Audit_Data[[#This Row],[Year_Birth]]&lt;=2010),"OK","Invalid")</f>
        <v>OK</v>
      </c>
      <c r="AF637" t="str">
        <f t="shared" si="118"/>
        <v>Valid</v>
      </c>
      <c r="AG637" t="str">
        <f t="shared" si="119"/>
        <v>Valid</v>
      </c>
      <c r="AH637" t="str">
        <f t="shared" si="120"/>
        <v>Valid</v>
      </c>
      <c r="AI637" t="str">
        <f t="shared" si="121"/>
        <v>Valid</v>
      </c>
      <c r="AJ637" t="str">
        <f t="shared" si="122"/>
        <v>Valid</v>
      </c>
      <c r="AK637" t="str">
        <f t="shared" si="129"/>
        <v xml:space="preserve">Valid </v>
      </c>
      <c r="AL637" t="str">
        <f>IF(AND(Audit_Data[[#This Row],[Recency]]&gt;=0,Audit_Data[[#This Row],[Recency]]&lt;=100),"Valid","Invalid")</f>
        <v>Valid</v>
      </c>
      <c r="AM637" t="str">
        <f t="shared" si="123"/>
        <v>Valid</v>
      </c>
      <c r="AN637" t="str">
        <f t="shared" si="124"/>
        <v>Valid</v>
      </c>
      <c r="AO637" t="str">
        <f t="shared" si="125"/>
        <v>Valid</v>
      </c>
      <c r="AP637" t="str">
        <f t="shared" si="126"/>
        <v>Valid</v>
      </c>
      <c r="AQ637" t="str">
        <f>IF(Audit_Data[[#This Row],[Z_CostContact]]=3,"Valid","Invalid")</f>
        <v>Valid</v>
      </c>
      <c r="AR637" t="str">
        <f t="shared" si="127"/>
        <v>Valid</v>
      </c>
      <c r="AS637" t="str">
        <f t="shared" si="128"/>
        <v>Valid</v>
      </c>
    </row>
    <row r="638" spans="1:45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 t="str">
        <f t="shared" si="117"/>
        <v>Ok</v>
      </c>
      <c r="AE638" t="str">
        <f>IF(AND(Audit_Data[[#This Row],[Year_Birth]]&gt;=1900,Audit_Data[[#This Row],[Year_Birth]]&lt;=2010),"OK","Invalid")</f>
        <v>OK</v>
      </c>
      <c r="AF638" t="str">
        <f t="shared" si="118"/>
        <v>Valid</v>
      </c>
      <c r="AG638" t="str">
        <f t="shared" si="119"/>
        <v>Valid</v>
      </c>
      <c r="AH638" t="str">
        <f t="shared" si="120"/>
        <v>Valid</v>
      </c>
      <c r="AI638" t="str">
        <f t="shared" si="121"/>
        <v>Valid</v>
      </c>
      <c r="AJ638" t="str">
        <f t="shared" si="122"/>
        <v>Valid</v>
      </c>
      <c r="AK638" t="str">
        <f t="shared" si="129"/>
        <v xml:space="preserve">Valid </v>
      </c>
      <c r="AL638" t="str">
        <f>IF(AND(Audit_Data[[#This Row],[Recency]]&gt;=0,Audit_Data[[#This Row],[Recency]]&lt;=100),"Valid","Invalid")</f>
        <v>Valid</v>
      </c>
      <c r="AM638" t="str">
        <f t="shared" si="123"/>
        <v>Valid</v>
      </c>
      <c r="AN638" t="str">
        <f t="shared" si="124"/>
        <v>Valid</v>
      </c>
      <c r="AO638" t="str">
        <f t="shared" si="125"/>
        <v>Valid</v>
      </c>
      <c r="AP638" t="str">
        <f t="shared" si="126"/>
        <v>Valid</v>
      </c>
      <c r="AQ638" t="str">
        <f>IF(Audit_Data[[#This Row],[Z_CostContact]]=3,"Valid","Invalid")</f>
        <v>Valid</v>
      </c>
      <c r="AR638" t="str">
        <f t="shared" si="127"/>
        <v>Valid</v>
      </c>
      <c r="AS638" t="str">
        <f t="shared" si="128"/>
        <v>Valid</v>
      </c>
    </row>
    <row r="639" spans="1:45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 t="str">
        <f t="shared" si="117"/>
        <v>Ok</v>
      </c>
      <c r="AE639" t="str">
        <f>IF(AND(Audit_Data[[#This Row],[Year_Birth]]&gt;=1900,Audit_Data[[#This Row],[Year_Birth]]&lt;=2010),"OK","Invalid")</f>
        <v>OK</v>
      </c>
      <c r="AF639" t="str">
        <f t="shared" si="118"/>
        <v>Valid</v>
      </c>
      <c r="AG639" t="str">
        <f t="shared" si="119"/>
        <v>Valid</v>
      </c>
      <c r="AH639" t="str">
        <f t="shared" si="120"/>
        <v>Valid</v>
      </c>
      <c r="AI639" t="str">
        <f t="shared" si="121"/>
        <v>Valid</v>
      </c>
      <c r="AJ639" t="str">
        <f t="shared" si="122"/>
        <v>Valid</v>
      </c>
      <c r="AK639" t="str">
        <f t="shared" si="129"/>
        <v xml:space="preserve">Valid </v>
      </c>
      <c r="AL639" t="str">
        <f>IF(AND(Audit_Data[[#This Row],[Recency]]&gt;=0,Audit_Data[[#This Row],[Recency]]&lt;=100),"Valid","Invalid")</f>
        <v>Valid</v>
      </c>
      <c r="AM639" t="str">
        <f t="shared" si="123"/>
        <v>Valid</v>
      </c>
      <c r="AN639" t="str">
        <f t="shared" si="124"/>
        <v>Valid</v>
      </c>
      <c r="AO639" t="str">
        <f t="shared" si="125"/>
        <v>Valid</v>
      </c>
      <c r="AP639" t="str">
        <f t="shared" si="126"/>
        <v>Valid</v>
      </c>
      <c r="AQ639" t="str">
        <f>IF(Audit_Data[[#This Row],[Z_CostContact]]=3,"Valid","Invalid")</f>
        <v>Valid</v>
      </c>
      <c r="AR639" t="str">
        <f t="shared" si="127"/>
        <v>Valid</v>
      </c>
      <c r="AS639" t="str">
        <f t="shared" si="128"/>
        <v>Valid</v>
      </c>
    </row>
    <row r="640" spans="1:45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 t="str">
        <f t="shared" si="117"/>
        <v>Ok</v>
      </c>
      <c r="AE640" t="str">
        <f>IF(AND(Audit_Data[[#This Row],[Year_Birth]]&gt;=1900,Audit_Data[[#This Row],[Year_Birth]]&lt;=2010),"OK","Invalid")</f>
        <v>OK</v>
      </c>
      <c r="AF640" t="str">
        <f t="shared" si="118"/>
        <v>Valid</v>
      </c>
      <c r="AG640" t="str">
        <f t="shared" si="119"/>
        <v>Valid</v>
      </c>
      <c r="AH640" t="str">
        <f t="shared" si="120"/>
        <v>Valid</v>
      </c>
      <c r="AI640" t="str">
        <f t="shared" si="121"/>
        <v>Valid</v>
      </c>
      <c r="AJ640" t="str">
        <f t="shared" si="122"/>
        <v>Valid</v>
      </c>
      <c r="AK640" t="str">
        <f t="shared" si="129"/>
        <v xml:space="preserve">Valid </v>
      </c>
      <c r="AL640" t="str">
        <f>IF(AND(Audit_Data[[#This Row],[Recency]]&gt;=0,Audit_Data[[#This Row],[Recency]]&lt;=100),"Valid","Invalid")</f>
        <v>Valid</v>
      </c>
      <c r="AM640" t="str">
        <f t="shared" si="123"/>
        <v>Valid</v>
      </c>
      <c r="AN640" t="str">
        <f t="shared" si="124"/>
        <v>Valid</v>
      </c>
      <c r="AO640" t="str">
        <f t="shared" si="125"/>
        <v>Valid</v>
      </c>
      <c r="AP640" t="str">
        <f t="shared" si="126"/>
        <v>Valid</v>
      </c>
      <c r="AQ640" t="str">
        <f>IF(Audit_Data[[#This Row],[Z_CostContact]]=3,"Valid","Invalid")</f>
        <v>Valid</v>
      </c>
      <c r="AR640" t="str">
        <f t="shared" si="127"/>
        <v>Valid</v>
      </c>
      <c r="AS640" t="str">
        <f t="shared" si="128"/>
        <v>Valid</v>
      </c>
    </row>
    <row r="641" spans="1:45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 t="str">
        <f t="shared" si="117"/>
        <v>Ok</v>
      </c>
      <c r="AE641" t="str">
        <f>IF(AND(Audit_Data[[#This Row],[Year_Birth]]&gt;=1900,Audit_Data[[#This Row],[Year_Birth]]&lt;=2010),"OK","Invalid")</f>
        <v>OK</v>
      </c>
      <c r="AF641" t="str">
        <f t="shared" si="118"/>
        <v>Valid</v>
      </c>
      <c r="AG641" t="str">
        <f t="shared" si="119"/>
        <v>Valid</v>
      </c>
      <c r="AH641" t="str">
        <f t="shared" si="120"/>
        <v>Valid</v>
      </c>
      <c r="AI641" t="str">
        <f t="shared" si="121"/>
        <v>Valid</v>
      </c>
      <c r="AJ641" t="str">
        <f t="shared" si="122"/>
        <v>Valid</v>
      </c>
      <c r="AK641" t="str">
        <f t="shared" si="129"/>
        <v xml:space="preserve">Valid </v>
      </c>
      <c r="AL641" t="str">
        <f>IF(AND(Audit_Data[[#This Row],[Recency]]&gt;=0,Audit_Data[[#This Row],[Recency]]&lt;=100),"Valid","Invalid")</f>
        <v>Valid</v>
      </c>
      <c r="AM641" t="str">
        <f t="shared" si="123"/>
        <v>Valid</v>
      </c>
      <c r="AN641" t="str">
        <f t="shared" si="124"/>
        <v>Valid</v>
      </c>
      <c r="AO641" t="str">
        <f t="shared" si="125"/>
        <v>Valid</v>
      </c>
      <c r="AP641" t="str">
        <f t="shared" si="126"/>
        <v>Valid</v>
      </c>
      <c r="AQ641" t="str">
        <f>IF(Audit_Data[[#This Row],[Z_CostContact]]=3,"Valid","Invalid")</f>
        <v>Valid</v>
      </c>
      <c r="AR641" t="str">
        <f t="shared" si="127"/>
        <v>Valid</v>
      </c>
      <c r="AS641" t="str">
        <f t="shared" si="128"/>
        <v>Valid</v>
      </c>
    </row>
    <row r="642" spans="1:45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 t="str">
        <f t="shared" ref="AD642:AD705" si="130">IF(COUNTIF(A:A,A642)&gt;1,"Duplicate","Ok")</f>
        <v>Ok</v>
      </c>
      <c r="AE642" t="str">
        <f>IF(AND(Audit_Data[[#This Row],[Year_Birth]]&gt;=1900,Audit_Data[[#This Row],[Year_Birth]]&lt;=2010),"OK","Invalid")</f>
        <v>OK</v>
      </c>
      <c r="AF642" t="str">
        <f t="shared" ref="AF642:AF705" si="131">IF(OR(C642="Graduation",C642="phD",C642="Master",C642="Basic",C642="2n Cycle"),"Valid","Invalid")</f>
        <v>Valid</v>
      </c>
      <c r="AG642" t="str">
        <f t="shared" ref="AG642:AG705" si="132">IF(OR(D642="Single",D642="Married",D642="Divorced",D642="Together",D642="Widow",D642="Alone"),"Valid","Invalid")</f>
        <v>Valid</v>
      </c>
      <c r="AH642" t="str">
        <f t="shared" ref="AH642:AH705" si="133">IF(AND(ISNUMBER(E642),E642&lt;&gt;""),"Valid","Invalid")</f>
        <v>Valid</v>
      </c>
      <c r="AI642" t="str">
        <f t="shared" ref="AI642:AI705" si="134">IF(AND(F642&gt;=0,F642&lt;=2),"Valid","Invalid")</f>
        <v>Valid</v>
      </c>
      <c r="AJ642" t="str">
        <f t="shared" ref="AJ642:AJ705" si="135">IF(AND(G642&gt;=0,G642&lt;=2),"Valid","Invalid")</f>
        <v>Valid</v>
      </c>
      <c r="AK642" t="str">
        <f t="shared" si="129"/>
        <v xml:space="preserve">Valid </v>
      </c>
      <c r="AL642" t="str">
        <f>IF(AND(Audit_Data[[#This Row],[Recency]]&gt;=0,Audit_Data[[#This Row],[Recency]]&lt;=100),"Valid","Invalid")</f>
        <v>Valid</v>
      </c>
      <c r="AM642" t="str">
        <f t="shared" ref="AM642:AM705" si="136">IF(AND(ISNUMBER(J642),J642&gt;=0,ISNUMBER(K642),K642&gt;=0,ISNUMBER(L642),L642&gt;=0,ISNUMBER(M642),M642&gt;=0,ISNUMBER(N642),N642&gt;=0,ISNUMBER(O642),O642&gt;=0),"Valid","Invalid")</f>
        <v>Valid</v>
      </c>
      <c r="AN642" t="str">
        <f t="shared" ref="AN642:AN705" si="137">IF(AND(ISNUMBER(P642),P642&gt;=0,ISNUMBER(Q642),Q642&gt;=0,ISNUMBER(R642),R642&gt;=0,ISNUMBER(S642),S642&gt;=0,ISNUMBER(T642),T642&gt;=0),"Valid","Invalid")</f>
        <v>Valid</v>
      </c>
      <c r="AO642" t="str">
        <f t="shared" ref="AO642:AO705" si="138">IF(AND(U642&lt;=1,V642&lt;=1,W642&lt;=1,X642&lt;=1,Y642&lt;=1),"Valid","Invalid")</f>
        <v>Valid</v>
      </c>
      <c r="AP642" t="str">
        <f t="shared" ref="AP642:AP705" si="139">IF(OR(Z642=0,Z642=1),"Valid","Invalid")</f>
        <v>Valid</v>
      </c>
      <c r="AQ642" t="str">
        <f>IF(Audit_Data[[#This Row],[Z_CostContact]]=3,"Valid","Invalid")</f>
        <v>Valid</v>
      </c>
      <c r="AR642" t="str">
        <f t="shared" ref="AR642:AR705" si="140">IF(AB642=11,"Valid","Invalid")</f>
        <v>Valid</v>
      </c>
      <c r="AS642" t="str">
        <f t="shared" ref="AS642:AS705" si="141">IF(OR(AC642=0,AC642=1),"Valid","Invalid")</f>
        <v>Valid</v>
      </c>
    </row>
    <row r="643" spans="1:45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 t="str">
        <f t="shared" si="130"/>
        <v>Ok</v>
      </c>
      <c r="AE643" t="str">
        <f>IF(AND(Audit_Data[[#This Row],[Year_Birth]]&gt;=1900,Audit_Data[[#This Row],[Year_Birth]]&lt;=2010),"OK","Invalid")</f>
        <v>OK</v>
      </c>
      <c r="AF643" t="str">
        <f t="shared" si="131"/>
        <v>Valid</v>
      </c>
      <c r="AG643" t="str">
        <f t="shared" si="132"/>
        <v>Valid</v>
      </c>
      <c r="AH643" t="str">
        <f t="shared" si="133"/>
        <v>Valid</v>
      </c>
      <c r="AI643" t="str">
        <f t="shared" si="134"/>
        <v>Valid</v>
      </c>
      <c r="AJ643" t="str">
        <f t="shared" si="135"/>
        <v>Valid</v>
      </c>
      <c r="AK643" t="str">
        <f t="shared" ref="AK643:AK706" si="142">IF(AND(ISNUMBER(H643),H643&gt;=DATE(2012,1,1),H643&lt;=DATE(2014,12,31)),"Valid ","Invalid")</f>
        <v xml:space="preserve">Valid </v>
      </c>
      <c r="AL643" t="str">
        <f>IF(AND(Audit_Data[[#This Row],[Recency]]&gt;=0,Audit_Data[[#This Row],[Recency]]&lt;=100),"Valid","Invalid")</f>
        <v>Valid</v>
      </c>
      <c r="AM643" t="str">
        <f t="shared" si="136"/>
        <v>Valid</v>
      </c>
      <c r="AN643" t="str">
        <f t="shared" si="137"/>
        <v>Valid</v>
      </c>
      <c r="AO643" t="str">
        <f t="shared" si="138"/>
        <v>Valid</v>
      </c>
      <c r="AP643" t="str">
        <f t="shared" si="139"/>
        <v>Valid</v>
      </c>
      <c r="AQ643" t="str">
        <f>IF(Audit_Data[[#This Row],[Z_CostContact]]=3,"Valid","Invalid")</f>
        <v>Valid</v>
      </c>
      <c r="AR643" t="str">
        <f t="shared" si="140"/>
        <v>Valid</v>
      </c>
      <c r="AS643" t="str">
        <f t="shared" si="141"/>
        <v>Valid</v>
      </c>
    </row>
    <row r="644" spans="1:45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 t="str">
        <f t="shared" si="130"/>
        <v>Ok</v>
      </c>
      <c r="AE644" t="str">
        <f>IF(AND(Audit_Data[[#This Row],[Year_Birth]]&gt;=1900,Audit_Data[[#This Row],[Year_Birth]]&lt;=2010),"OK","Invalid")</f>
        <v>OK</v>
      </c>
      <c r="AF644" t="str">
        <f t="shared" si="131"/>
        <v>Valid</v>
      </c>
      <c r="AG644" t="str">
        <f t="shared" si="132"/>
        <v>Valid</v>
      </c>
      <c r="AH644" t="str">
        <f t="shared" si="133"/>
        <v>Valid</v>
      </c>
      <c r="AI644" t="str">
        <f t="shared" si="134"/>
        <v>Valid</v>
      </c>
      <c r="AJ644" t="str">
        <f t="shared" si="135"/>
        <v>Valid</v>
      </c>
      <c r="AK644" t="str">
        <f t="shared" si="142"/>
        <v xml:space="preserve">Valid </v>
      </c>
      <c r="AL644" t="str">
        <f>IF(AND(Audit_Data[[#This Row],[Recency]]&gt;=0,Audit_Data[[#This Row],[Recency]]&lt;=100),"Valid","Invalid")</f>
        <v>Valid</v>
      </c>
      <c r="AM644" t="str">
        <f t="shared" si="136"/>
        <v>Valid</v>
      </c>
      <c r="AN644" t="str">
        <f t="shared" si="137"/>
        <v>Valid</v>
      </c>
      <c r="AO644" t="str">
        <f t="shared" si="138"/>
        <v>Valid</v>
      </c>
      <c r="AP644" t="str">
        <f t="shared" si="139"/>
        <v>Valid</v>
      </c>
      <c r="AQ644" t="str">
        <f>IF(Audit_Data[[#This Row],[Z_CostContact]]=3,"Valid","Invalid")</f>
        <v>Valid</v>
      </c>
      <c r="AR644" t="str">
        <f t="shared" si="140"/>
        <v>Valid</v>
      </c>
      <c r="AS644" t="str">
        <f t="shared" si="141"/>
        <v>Valid</v>
      </c>
    </row>
    <row r="645" spans="1:45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 t="str">
        <f t="shared" si="130"/>
        <v>Ok</v>
      </c>
      <c r="AE645" t="str">
        <f>IF(AND(Audit_Data[[#This Row],[Year_Birth]]&gt;=1900,Audit_Data[[#This Row],[Year_Birth]]&lt;=2010),"OK","Invalid")</f>
        <v>OK</v>
      </c>
      <c r="AF645" t="str">
        <f t="shared" si="131"/>
        <v>Valid</v>
      </c>
      <c r="AG645" t="str">
        <f t="shared" si="132"/>
        <v>Valid</v>
      </c>
      <c r="AH645" t="str">
        <f t="shared" si="133"/>
        <v>Valid</v>
      </c>
      <c r="AI645" t="str">
        <f t="shared" si="134"/>
        <v>Valid</v>
      </c>
      <c r="AJ645" t="str">
        <f t="shared" si="135"/>
        <v>Valid</v>
      </c>
      <c r="AK645" t="str">
        <f t="shared" si="142"/>
        <v xml:space="preserve">Valid </v>
      </c>
      <c r="AL645" t="str">
        <f>IF(AND(Audit_Data[[#This Row],[Recency]]&gt;=0,Audit_Data[[#This Row],[Recency]]&lt;=100),"Valid","Invalid")</f>
        <v>Valid</v>
      </c>
      <c r="AM645" t="str">
        <f t="shared" si="136"/>
        <v>Valid</v>
      </c>
      <c r="AN645" t="str">
        <f t="shared" si="137"/>
        <v>Valid</v>
      </c>
      <c r="AO645" t="str">
        <f t="shared" si="138"/>
        <v>Valid</v>
      </c>
      <c r="AP645" t="str">
        <f t="shared" si="139"/>
        <v>Valid</v>
      </c>
      <c r="AQ645" t="str">
        <f>IF(Audit_Data[[#This Row],[Z_CostContact]]=3,"Valid","Invalid")</f>
        <v>Valid</v>
      </c>
      <c r="AR645" t="str">
        <f t="shared" si="140"/>
        <v>Valid</v>
      </c>
      <c r="AS645" t="str">
        <f t="shared" si="141"/>
        <v>Valid</v>
      </c>
    </row>
    <row r="646" spans="1:45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 t="str">
        <f t="shared" si="130"/>
        <v>Ok</v>
      </c>
      <c r="AE646" t="str">
        <f>IF(AND(Audit_Data[[#This Row],[Year_Birth]]&gt;=1900,Audit_Data[[#This Row],[Year_Birth]]&lt;=2010),"OK","Invalid")</f>
        <v>OK</v>
      </c>
      <c r="AF646" t="str">
        <f t="shared" si="131"/>
        <v>Valid</v>
      </c>
      <c r="AG646" t="str">
        <f t="shared" si="132"/>
        <v>Valid</v>
      </c>
      <c r="AH646" t="str">
        <f t="shared" si="133"/>
        <v>Valid</v>
      </c>
      <c r="AI646" t="str">
        <f t="shared" si="134"/>
        <v>Valid</v>
      </c>
      <c r="AJ646" t="str">
        <f t="shared" si="135"/>
        <v>Valid</v>
      </c>
      <c r="AK646" t="str">
        <f t="shared" si="142"/>
        <v xml:space="preserve">Valid </v>
      </c>
      <c r="AL646" t="str">
        <f>IF(AND(Audit_Data[[#This Row],[Recency]]&gt;=0,Audit_Data[[#This Row],[Recency]]&lt;=100),"Valid","Invalid")</f>
        <v>Valid</v>
      </c>
      <c r="AM646" t="str">
        <f t="shared" si="136"/>
        <v>Valid</v>
      </c>
      <c r="AN646" t="str">
        <f t="shared" si="137"/>
        <v>Valid</v>
      </c>
      <c r="AO646" t="str">
        <f t="shared" si="138"/>
        <v>Valid</v>
      </c>
      <c r="AP646" t="str">
        <f t="shared" si="139"/>
        <v>Valid</v>
      </c>
      <c r="AQ646" t="str">
        <f>IF(Audit_Data[[#This Row],[Z_CostContact]]=3,"Valid","Invalid")</f>
        <v>Valid</v>
      </c>
      <c r="AR646" t="str">
        <f t="shared" si="140"/>
        <v>Valid</v>
      </c>
      <c r="AS646" t="str">
        <f t="shared" si="141"/>
        <v>Valid</v>
      </c>
    </row>
    <row r="647" spans="1:45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 t="str">
        <f t="shared" si="130"/>
        <v>Ok</v>
      </c>
      <c r="AE647" t="str">
        <f>IF(AND(Audit_Data[[#This Row],[Year_Birth]]&gt;=1900,Audit_Data[[#This Row],[Year_Birth]]&lt;=2010),"OK","Invalid")</f>
        <v>OK</v>
      </c>
      <c r="AF647" t="str">
        <f t="shared" si="131"/>
        <v>Valid</v>
      </c>
      <c r="AG647" t="str">
        <f t="shared" si="132"/>
        <v>Valid</v>
      </c>
      <c r="AH647" t="str">
        <f t="shared" si="133"/>
        <v>Valid</v>
      </c>
      <c r="AI647" t="str">
        <f t="shared" si="134"/>
        <v>Valid</v>
      </c>
      <c r="AJ647" t="str">
        <f t="shared" si="135"/>
        <v>Valid</v>
      </c>
      <c r="AK647" t="str">
        <f t="shared" si="142"/>
        <v xml:space="preserve">Valid </v>
      </c>
      <c r="AL647" t="str">
        <f>IF(AND(Audit_Data[[#This Row],[Recency]]&gt;=0,Audit_Data[[#This Row],[Recency]]&lt;=100),"Valid","Invalid")</f>
        <v>Valid</v>
      </c>
      <c r="AM647" t="str">
        <f t="shared" si="136"/>
        <v>Valid</v>
      </c>
      <c r="AN647" t="str">
        <f t="shared" si="137"/>
        <v>Valid</v>
      </c>
      <c r="AO647" t="str">
        <f t="shared" si="138"/>
        <v>Valid</v>
      </c>
      <c r="AP647" t="str">
        <f t="shared" si="139"/>
        <v>Valid</v>
      </c>
      <c r="AQ647" t="str">
        <f>IF(Audit_Data[[#This Row],[Z_CostContact]]=3,"Valid","Invalid")</f>
        <v>Valid</v>
      </c>
      <c r="AR647" t="str">
        <f t="shared" si="140"/>
        <v>Valid</v>
      </c>
      <c r="AS647" t="str">
        <f t="shared" si="141"/>
        <v>Valid</v>
      </c>
    </row>
    <row r="648" spans="1:45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 t="str">
        <f t="shared" si="130"/>
        <v>Ok</v>
      </c>
      <c r="AE648" t="str">
        <f>IF(AND(Audit_Data[[#This Row],[Year_Birth]]&gt;=1900,Audit_Data[[#This Row],[Year_Birth]]&lt;=2010),"OK","Invalid")</f>
        <v>OK</v>
      </c>
      <c r="AF648" t="str">
        <f t="shared" si="131"/>
        <v>Valid</v>
      </c>
      <c r="AG648" t="str">
        <f t="shared" si="132"/>
        <v>Valid</v>
      </c>
      <c r="AH648" t="str">
        <f t="shared" si="133"/>
        <v>Valid</v>
      </c>
      <c r="AI648" t="str">
        <f t="shared" si="134"/>
        <v>Valid</v>
      </c>
      <c r="AJ648" t="str">
        <f t="shared" si="135"/>
        <v>Valid</v>
      </c>
      <c r="AK648" t="str">
        <f t="shared" si="142"/>
        <v xml:space="preserve">Valid </v>
      </c>
      <c r="AL648" t="str">
        <f>IF(AND(Audit_Data[[#This Row],[Recency]]&gt;=0,Audit_Data[[#This Row],[Recency]]&lt;=100),"Valid","Invalid")</f>
        <v>Valid</v>
      </c>
      <c r="AM648" t="str">
        <f t="shared" si="136"/>
        <v>Valid</v>
      </c>
      <c r="AN648" t="str">
        <f t="shared" si="137"/>
        <v>Valid</v>
      </c>
      <c r="AO648" t="str">
        <f t="shared" si="138"/>
        <v>Valid</v>
      </c>
      <c r="AP648" t="str">
        <f t="shared" si="139"/>
        <v>Valid</v>
      </c>
      <c r="AQ648" t="str">
        <f>IF(Audit_Data[[#This Row],[Z_CostContact]]=3,"Valid","Invalid")</f>
        <v>Valid</v>
      </c>
      <c r="AR648" t="str">
        <f t="shared" si="140"/>
        <v>Valid</v>
      </c>
      <c r="AS648" t="str">
        <f t="shared" si="141"/>
        <v>Valid</v>
      </c>
    </row>
    <row r="649" spans="1:45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 t="str">
        <f t="shared" si="130"/>
        <v>Ok</v>
      </c>
      <c r="AE649" t="str">
        <f>IF(AND(Audit_Data[[#This Row],[Year_Birth]]&gt;=1900,Audit_Data[[#This Row],[Year_Birth]]&lt;=2010),"OK","Invalid")</f>
        <v>OK</v>
      </c>
      <c r="AF649" t="str">
        <f t="shared" si="131"/>
        <v>Valid</v>
      </c>
      <c r="AG649" t="str">
        <f t="shared" si="132"/>
        <v>Valid</v>
      </c>
      <c r="AH649" t="str">
        <f t="shared" si="133"/>
        <v>Valid</v>
      </c>
      <c r="AI649" t="str">
        <f t="shared" si="134"/>
        <v>Valid</v>
      </c>
      <c r="AJ649" t="str">
        <f t="shared" si="135"/>
        <v>Valid</v>
      </c>
      <c r="AK649" t="str">
        <f t="shared" si="142"/>
        <v xml:space="preserve">Valid </v>
      </c>
      <c r="AL649" t="str">
        <f>IF(AND(Audit_Data[[#This Row],[Recency]]&gt;=0,Audit_Data[[#This Row],[Recency]]&lt;=100),"Valid","Invalid")</f>
        <v>Valid</v>
      </c>
      <c r="AM649" t="str">
        <f t="shared" si="136"/>
        <v>Valid</v>
      </c>
      <c r="AN649" t="str">
        <f t="shared" si="137"/>
        <v>Valid</v>
      </c>
      <c r="AO649" t="str">
        <f t="shared" si="138"/>
        <v>Valid</v>
      </c>
      <c r="AP649" t="str">
        <f t="shared" si="139"/>
        <v>Valid</v>
      </c>
      <c r="AQ649" t="str">
        <f>IF(Audit_Data[[#This Row],[Z_CostContact]]=3,"Valid","Invalid")</f>
        <v>Valid</v>
      </c>
      <c r="AR649" t="str">
        <f t="shared" si="140"/>
        <v>Valid</v>
      </c>
      <c r="AS649" t="str">
        <f t="shared" si="141"/>
        <v>Valid</v>
      </c>
    </row>
    <row r="650" spans="1:45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 t="str">
        <f t="shared" si="130"/>
        <v>Ok</v>
      </c>
      <c r="AE650" t="str">
        <f>IF(AND(Audit_Data[[#This Row],[Year_Birth]]&gt;=1900,Audit_Data[[#This Row],[Year_Birth]]&lt;=2010),"OK","Invalid")</f>
        <v>OK</v>
      </c>
      <c r="AF650" t="str">
        <f t="shared" si="131"/>
        <v>Valid</v>
      </c>
      <c r="AG650" t="str">
        <f t="shared" si="132"/>
        <v>Valid</v>
      </c>
      <c r="AH650" t="str">
        <f t="shared" si="133"/>
        <v>Valid</v>
      </c>
      <c r="AI650" t="str">
        <f t="shared" si="134"/>
        <v>Valid</v>
      </c>
      <c r="AJ650" t="str">
        <f t="shared" si="135"/>
        <v>Valid</v>
      </c>
      <c r="AK650" t="str">
        <f t="shared" si="142"/>
        <v xml:space="preserve">Valid </v>
      </c>
      <c r="AL650" t="str">
        <f>IF(AND(Audit_Data[[#This Row],[Recency]]&gt;=0,Audit_Data[[#This Row],[Recency]]&lt;=100),"Valid","Invalid")</f>
        <v>Valid</v>
      </c>
      <c r="AM650" t="str">
        <f t="shared" si="136"/>
        <v>Valid</v>
      </c>
      <c r="AN650" t="str">
        <f t="shared" si="137"/>
        <v>Valid</v>
      </c>
      <c r="AO650" t="str">
        <f t="shared" si="138"/>
        <v>Valid</v>
      </c>
      <c r="AP650" t="str">
        <f t="shared" si="139"/>
        <v>Valid</v>
      </c>
      <c r="AQ650" t="str">
        <f>IF(Audit_Data[[#This Row],[Z_CostContact]]=3,"Valid","Invalid")</f>
        <v>Valid</v>
      </c>
      <c r="AR650" t="str">
        <f t="shared" si="140"/>
        <v>Valid</v>
      </c>
      <c r="AS650" t="str">
        <f t="shared" si="141"/>
        <v>Valid</v>
      </c>
    </row>
    <row r="651" spans="1:45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 t="str">
        <f t="shared" si="130"/>
        <v>Ok</v>
      </c>
      <c r="AE651" t="str">
        <f>IF(AND(Audit_Data[[#This Row],[Year_Birth]]&gt;=1900,Audit_Data[[#This Row],[Year_Birth]]&lt;=2010),"OK","Invalid")</f>
        <v>OK</v>
      </c>
      <c r="AF651" t="str">
        <f t="shared" si="131"/>
        <v>Valid</v>
      </c>
      <c r="AG651" t="str">
        <f t="shared" si="132"/>
        <v>Valid</v>
      </c>
      <c r="AH651" t="str">
        <f t="shared" si="133"/>
        <v>Valid</v>
      </c>
      <c r="AI651" t="str">
        <f t="shared" si="134"/>
        <v>Valid</v>
      </c>
      <c r="AJ651" t="str">
        <f t="shared" si="135"/>
        <v>Valid</v>
      </c>
      <c r="AK651" t="str">
        <f t="shared" si="142"/>
        <v xml:space="preserve">Valid </v>
      </c>
      <c r="AL651" t="str">
        <f>IF(AND(Audit_Data[[#This Row],[Recency]]&gt;=0,Audit_Data[[#This Row],[Recency]]&lt;=100),"Valid","Invalid")</f>
        <v>Valid</v>
      </c>
      <c r="AM651" t="str">
        <f t="shared" si="136"/>
        <v>Valid</v>
      </c>
      <c r="AN651" t="str">
        <f t="shared" si="137"/>
        <v>Valid</v>
      </c>
      <c r="AO651" t="str">
        <f t="shared" si="138"/>
        <v>Valid</v>
      </c>
      <c r="AP651" t="str">
        <f t="shared" si="139"/>
        <v>Valid</v>
      </c>
      <c r="AQ651" t="str">
        <f>IF(Audit_Data[[#This Row],[Z_CostContact]]=3,"Valid","Invalid")</f>
        <v>Valid</v>
      </c>
      <c r="AR651" t="str">
        <f t="shared" si="140"/>
        <v>Valid</v>
      </c>
      <c r="AS651" t="str">
        <f t="shared" si="141"/>
        <v>Valid</v>
      </c>
    </row>
    <row r="652" spans="1:45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 t="str">
        <f t="shared" si="130"/>
        <v>Ok</v>
      </c>
      <c r="AE652" t="str">
        <f>IF(AND(Audit_Data[[#This Row],[Year_Birth]]&gt;=1900,Audit_Data[[#This Row],[Year_Birth]]&lt;=2010),"OK","Invalid")</f>
        <v>OK</v>
      </c>
      <c r="AF652" t="str">
        <f t="shared" si="131"/>
        <v>Valid</v>
      </c>
      <c r="AG652" t="str">
        <f t="shared" si="132"/>
        <v>Valid</v>
      </c>
      <c r="AH652" t="str">
        <f t="shared" si="133"/>
        <v>Valid</v>
      </c>
      <c r="AI652" t="str">
        <f t="shared" si="134"/>
        <v>Valid</v>
      </c>
      <c r="AJ652" t="str">
        <f t="shared" si="135"/>
        <v>Valid</v>
      </c>
      <c r="AK652" t="str">
        <f t="shared" si="142"/>
        <v xml:space="preserve">Valid </v>
      </c>
      <c r="AL652" t="str">
        <f>IF(AND(Audit_Data[[#This Row],[Recency]]&gt;=0,Audit_Data[[#This Row],[Recency]]&lt;=100),"Valid","Invalid")</f>
        <v>Valid</v>
      </c>
      <c r="AM652" t="str">
        <f t="shared" si="136"/>
        <v>Valid</v>
      </c>
      <c r="AN652" t="str">
        <f t="shared" si="137"/>
        <v>Valid</v>
      </c>
      <c r="AO652" t="str">
        <f t="shared" si="138"/>
        <v>Valid</v>
      </c>
      <c r="AP652" t="str">
        <f t="shared" si="139"/>
        <v>Valid</v>
      </c>
      <c r="AQ652" t="str">
        <f>IF(Audit_Data[[#This Row],[Z_CostContact]]=3,"Valid","Invalid")</f>
        <v>Valid</v>
      </c>
      <c r="AR652" t="str">
        <f t="shared" si="140"/>
        <v>Valid</v>
      </c>
      <c r="AS652" t="str">
        <f t="shared" si="141"/>
        <v>Valid</v>
      </c>
    </row>
    <row r="653" spans="1:45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 t="str">
        <f t="shared" si="130"/>
        <v>Ok</v>
      </c>
      <c r="AE653" t="str">
        <f>IF(AND(Audit_Data[[#This Row],[Year_Birth]]&gt;=1900,Audit_Data[[#This Row],[Year_Birth]]&lt;=2010),"OK","Invalid")</f>
        <v>OK</v>
      </c>
      <c r="AF653" t="str">
        <f t="shared" si="131"/>
        <v>Valid</v>
      </c>
      <c r="AG653" t="str">
        <f t="shared" si="132"/>
        <v>Valid</v>
      </c>
      <c r="AH653" t="str">
        <f t="shared" si="133"/>
        <v>Valid</v>
      </c>
      <c r="AI653" t="str">
        <f t="shared" si="134"/>
        <v>Valid</v>
      </c>
      <c r="AJ653" t="str">
        <f t="shared" si="135"/>
        <v>Valid</v>
      </c>
      <c r="AK653" t="str">
        <f t="shared" si="142"/>
        <v xml:space="preserve">Valid </v>
      </c>
      <c r="AL653" t="str">
        <f>IF(AND(Audit_Data[[#This Row],[Recency]]&gt;=0,Audit_Data[[#This Row],[Recency]]&lt;=100),"Valid","Invalid")</f>
        <v>Valid</v>
      </c>
      <c r="AM653" t="str">
        <f t="shared" si="136"/>
        <v>Valid</v>
      </c>
      <c r="AN653" t="str">
        <f t="shared" si="137"/>
        <v>Valid</v>
      </c>
      <c r="AO653" t="str">
        <f t="shared" si="138"/>
        <v>Valid</v>
      </c>
      <c r="AP653" t="str">
        <f t="shared" si="139"/>
        <v>Valid</v>
      </c>
      <c r="AQ653" t="str">
        <f>IF(Audit_Data[[#This Row],[Z_CostContact]]=3,"Valid","Invalid")</f>
        <v>Valid</v>
      </c>
      <c r="AR653" t="str">
        <f t="shared" si="140"/>
        <v>Valid</v>
      </c>
      <c r="AS653" t="str">
        <f t="shared" si="141"/>
        <v>Valid</v>
      </c>
    </row>
    <row r="654" spans="1:45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 t="str">
        <f t="shared" si="130"/>
        <v>Ok</v>
      </c>
      <c r="AE654" t="str">
        <f>IF(AND(Audit_Data[[#This Row],[Year_Birth]]&gt;=1900,Audit_Data[[#This Row],[Year_Birth]]&lt;=2010),"OK","Invalid")</f>
        <v>OK</v>
      </c>
      <c r="AF654" t="str">
        <f t="shared" si="131"/>
        <v>Valid</v>
      </c>
      <c r="AG654" t="str">
        <f t="shared" si="132"/>
        <v>Valid</v>
      </c>
      <c r="AH654" t="str">
        <f t="shared" si="133"/>
        <v>Valid</v>
      </c>
      <c r="AI654" t="str">
        <f t="shared" si="134"/>
        <v>Valid</v>
      </c>
      <c r="AJ654" t="str">
        <f t="shared" si="135"/>
        <v>Valid</v>
      </c>
      <c r="AK654" t="str">
        <f t="shared" si="142"/>
        <v xml:space="preserve">Valid </v>
      </c>
      <c r="AL654" t="str">
        <f>IF(AND(Audit_Data[[#This Row],[Recency]]&gt;=0,Audit_Data[[#This Row],[Recency]]&lt;=100),"Valid","Invalid")</f>
        <v>Valid</v>
      </c>
      <c r="AM654" t="str">
        <f t="shared" si="136"/>
        <v>Valid</v>
      </c>
      <c r="AN654" t="str">
        <f t="shared" si="137"/>
        <v>Valid</v>
      </c>
      <c r="AO654" t="str">
        <f t="shared" si="138"/>
        <v>Valid</v>
      </c>
      <c r="AP654" t="str">
        <f t="shared" si="139"/>
        <v>Valid</v>
      </c>
      <c r="AQ654" t="str">
        <f>IF(Audit_Data[[#This Row],[Z_CostContact]]=3,"Valid","Invalid")</f>
        <v>Valid</v>
      </c>
      <c r="AR654" t="str">
        <f t="shared" si="140"/>
        <v>Valid</v>
      </c>
      <c r="AS654" t="str">
        <f t="shared" si="141"/>
        <v>Valid</v>
      </c>
    </row>
    <row r="655" spans="1:45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 t="str">
        <f t="shared" si="130"/>
        <v>Ok</v>
      </c>
      <c r="AE655" t="str">
        <f>IF(AND(Audit_Data[[#This Row],[Year_Birth]]&gt;=1900,Audit_Data[[#This Row],[Year_Birth]]&lt;=2010),"OK","Invalid")</f>
        <v>OK</v>
      </c>
      <c r="AF655" t="str">
        <f t="shared" si="131"/>
        <v>Valid</v>
      </c>
      <c r="AG655" t="str">
        <f t="shared" si="132"/>
        <v>Valid</v>
      </c>
      <c r="AH655" t="str">
        <f t="shared" si="133"/>
        <v>Valid</v>
      </c>
      <c r="AI655" t="str">
        <f t="shared" si="134"/>
        <v>Valid</v>
      </c>
      <c r="AJ655" t="str">
        <f t="shared" si="135"/>
        <v>Valid</v>
      </c>
      <c r="AK655" t="str">
        <f t="shared" si="142"/>
        <v xml:space="preserve">Valid </v>
      </c>
      <c r="AL655" t="str">
        <f>IF(AND(Audit_Data[[#This Row],[Recency]]&gt;=0,Audit_Data[[#This Row],[Recency]]&lt;=100),"Valid","Invalid")</f>
        <v>Valid</v>
      </c>
      <c r="AM655" t="str">
        <f t="shared" si="136"/>
        <v>Valid</v>
      </c>
      <c r="AN655" t="str">
        <f t="shared" si="137"/>
        <v>Valid</v>
      </c>
      <c r="AO655" t="str">
        <f t="shared" si="138"/>
        <v>Valid</v>
      </c>
      <c r="AP655" t="str">
        <f t="shared" si="139"/>
        <v>Valid</v>
      </c>
      <c r="AQ655" t="str">
        <f>IF(Audit_Data[[#This Row],[Z_CostContact]]=3,"Valid","Invalid")</f>
        <v>Valid</v>
      </c>
      <c r="AR655" t="str">
        <f t="shared" si="140"/>
        <v>Valid</v>
      </c>
      <c r="AS655" t="str">
        <f t="shared" si="141"/>
        <v>Valid</v>
      </c>
    </row>
    <row r="656" spans="1:45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 t="str">
        <f t="shared" si="130"/>
        <v>Ok</v>
      </c>
      <c r="AE656" t="str">
        <f>IF(AND(Audit_Data[[#This Row],[Year_Birth]]&gt;=1900,Audit_Data[[#This Row],[Year_Birth]]&lt;=2010),"OK","Invalid")</f>
        <v>OK</v>
      </c>
      <c r="AF656" t="str">
        <f t="shared" si="131"/>
        <v>Valid</v>
      </c>
      <c r="AG656" t="str">
        <f t="shared" si="132"/>
        <v>Valid</v>
      </c>
      <c r="AH656" t="str">
        <f t="shared" si="133"/>
        <v>Valid</v>
      </c>
      <c r="AI656" t="str">
        <f t="shared" si="134"/>
        <v>Valid</v>
      </c>
      <c r="AJ656" t="str">
        <f t="shared" si="135"/>
        <v>Valid</v>
      </c>
      <c r="AK656" t="str">
        <f t="shared" si="142"/>
        <v xml:space="preserve">Valid </v>
      </c>
      <c r="AL656" t="str">
        <f>IF(AND(Audit_Data[[#This Row],[Recency]]&gt;=0,Audit_Data[[#This Row],[Recency]]&lt;=100),"Valid","Invalid")</f>
        <v>Valid</v>
      </c>
      <c r="AM656" t="str">
        <f t="shared" si="136"/>
        <v>Valid</v>
      </c>
      <c r="AN656" t="str">
        <f t="shared" si="137"/>
        <v>Valid</v>
      </c>
      <c r="AO656" t="str">
        <f t="shared" si="138"/>
        <v>Valid</v>
      </c>
      <c r="AP656" t="str">
        <f t="shared" si="139"/>
        <v>Valid</v>
      </c>
      <c r="AQ656" t="str">
        <f>IF(Audit_Data[[#This Row],[Z_CostContact]]=3,"Valid","Invalid")</f>
        <v>Valid</v>
      </c>
      <c r="AR656" t="str">
        <f t="shared" si="140"/>
        <v>Valid</v>
      </c>
      <c r="AS656" t="str">
        <f t="shared" si="141"/>
        <v>Valid</v>
      </c>
    </row>
    <row r="657" spans="1:45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 t="str">
        <f t="shared" si="130"/>
        <v>Ok</v>
      </c>
      <c r="AE657" t="str">
        <f>IF(AND(Audit_Data[[#This Row],[Year_Birth]]&gt;=1900,Audit_Data[[#This Row],[Year_Birth]]&lt;=2010),"OK","Invalid")</f>
        <v>OK</v>
      </c>
      <c r="AF657" t="str">
        <f t="shared" si="131"/>
        <v>Valid</v>
      </c>
      <c r="AG657" t="str">
        <f t="shared" si="132"/>
        <v>Valid</v>
      </c>
      <c r="AH657" t="str">
        <f t="shared" si="133"/>
        <v>Valid</v>
      </c>
      <c r="AI657" t="str">
        <f t="shared" si="134"/>
        <v>Valid</v>
      </c>
      <c r="AJ657" t="str">
        <f t="shared" si="135"/>
        <v>Valid</v>
      </c>
      <c r="AK657" t="str">
        <f t="shared" si="142"/>
        <v xml:space="preserve">Valid </v>
      </c>
      <c r="AL657" t="str">
        <f>IF(AND(Audit_Data[[#This Row],[Recency]]&gt;=0,Audit_Data[[#This Row],[Recency]]&lt;=100),"Valid","Invalid")</f>
        <v>Valid</v>
      </c>
      <c r="AM657" t="str">
        <f t="shared" si="136"/>
        <v>Valid</v>
      </c>
      <c r="AN657" t="str">
        <f t="shared" si="137"/>
        <v>Valid</v>
      </c>
      <c r="AO657" t="str">
        <f t="shared" si="138"/>
        <v>Valid</v>
      </c>
      <c r="AP657" t="str">
        <f t="shared" si="139"/>
        <v>Valid</v>
      </c>
      <c r="AQ657" t="str">
        <f>IF(Audit_Data[[#This Row],[Z_CostContact]]=3,"Valid","Invalid")</f>
        <v>Valid</v>
      </c>
      <c r="AR657" t="str">
        <f t="shared" si="140"/>
        <v>Valid</v>
      </c>
      <c r="AS657" t="str">
        <f t="shared" si="141"/>
        <v>Valid</v>
      </c>
    </row>
    <row r="658" spans="1:45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 t="str">
        <f t="shared" si="130"/>
        <v>Ok</v>
      </c>
      <c r="AE658" t="str">
        <f>IF(AND(Audit_Data[[#This Row],[Year_Birth]]&gt;=1900,Audit_Data[[#This Row],[Year_Birth]]&lt;=2010),"OK","Invalid")</f>
        <v>OK</v>
      </c>
      <c r="AF658" t="str">
        <f t="shared" si="131"/>
        <v>Valid</v>
      </c>
      <c r="AG658" t="str">
        <f t="shared" si="132"/>
        <v>Valid</v>
      </c>
      <c r="AH658" t="str">
        <f t="shared" si="133"/>
        <v>Valid</v>
      </c>
      <c r="AI658" t="str">
        <f t="shared" si="134"/>
        <v>Valid</v>
      </c>
      <c r="AJ658" t="str">
        <f t="shared" si="135"/>
        <v>Valid</v>
      </c>
      <c r="AK658" t="str">
        <f t="shared" si="142"/>
        <v xml:space="preserve">Valid </v>
      </c>
      <c r="AL658" t="str">
        <f>IF(AND(Audit_Data[[#This Row],[Recency]]&gt;=0,Audit_Data[[#This Row],[Recency]]&lt;=100),"Valid","Invalid")</f>
        <v>Valid</v>
      </c>
      <c r="AM658" t="str">
        <f t="shared" si="136"/>
        <v>Valid</v>
      </c>
      <c r="AN658" t="str">
        <f t="shared" si="137"/>
        <v>Valid</v>
      </c>
      <c r="AO658" t="str">
        <f t="shared" si="138"/>
        <v>Valid</v>
      </c>
      <c r="AP658" t="str">
        <f t="shared" si="139"/>
        <v>Valid</v>
      </c>
      <c r="AQ658" t="str">
        <f>IF(Audit_Data[[#This Row],[Z_CostContact]]=3,"Valid","Invalid")</f>
        <v>Valid</v>
      </c>
      <c r="AR658" t="str">
        <f t="shared" si="140"/>
        <v>Valid</v>
      </c>
      <c r="AS658" t="str">
        <f t="shared" si="141"/>
        <v>Valid</v>
      </c>
    </row>
    <row r="659" spans="1:45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 t="str">
        <f t="shared" si="130"/>
        <v>Ok</v>
      </c>
      <c r="AE659" t="str">
        <f>IF(AND(Audit_Data[[#This Row],[Year_Birth]]&gt;=1900,Audit_Data[[#This Row],[Year_Birth]]&lt;=2010),"OK","Invalid")</f>
        <v>OK</v>
      </c>
      <c r="AF659" t="str">
        <f t="shared" si="131"/>
        <v>Valid</v>
      </c>
      <c r="AG659" t="str">
        <f t="shared" si="132"/>
        <v>Valid</v>
      </c>
      <c r="AH659" t="str">
        <f t="shared" si="133"/>
        <v>Valid</v>
      </c>
      <c r="AI659" t="str">
        <f t="shared" si="134"/>
        <v>Valid</v>
      </c>
      <c r="AJ659" t="str">
        <f t="shared" si="135"/>
        <v>Valid</v>
      </c>
      <c r="AK659" t="str">
        <f t="shared" si="142"/>
        <v xml:space="preserve">Valid </v>
      </c>
      <c r="AL659" t="str">
        <f>IF(AND(Audit_Data[[#This Row],[Recency]]&gt;=0,Audit_Data[[#This Row],[Recency]]&lt;=100),"Valid","Invalid")</f>
        <v>Valid</v>
      </c>
      <c r="AM659" t="str">
        <f t="shared" si="136"/>
        <v>Valid</v>
      </c>
      <c r="AN659" t="str">
        <f t="shared" si="137"/>
        <v>Valid</v>
      </c>
      <c r="AO659" t="str">
        <f t="shared" si="138"/>
        <v>Valid</v>
      </c>
      <c r="AP659" t="str">
        <f t="shared" si="139"/>
        <v>Valid</v>
      </c>
      <c r="AQ659" t="str">
        <f>IF(Audit_Data[[#This Row],[Z_CostContact]]=3,"Valid","Invalid")</f>
        <v>Valid</v>
      </c>
      <c r="AR659" t="str">
        <f t="shared" si="140"/>
        <v>Valid</v>
      </c>
      <c r="AS659" t="str">
        <f t="shared" si="141"/>
        <v>Valid</v>
      </c>
    </row>
    <row r="660" spans="1:45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 t="str">
        <f t="shared" si="130"/>
        <v>Ok</v>
      </c>
      <c r="AE660" t="str">
        <f>IF(AND(Audit_Data[[#This Row],[Year_Birth]]&gt;=1900,Audit_Data[[#This Row],[Year_Birth]]&lt;=2010),"OK","Invalid")</f>
        <v>OK</v>
      </c>
      <c r="AF660" t="str">
        <f t="shared" si="131"/>
        <v>Valid</v>
      </c>
      <c r="AG660" t="str">
        <f t="shared" si="132"/>
        <v>Valid</v>
      </c>
      <c r="AH660" t="str">
        <f t="shared" si="133"/>
        <v>Valid</v>
      </c>
      <c r="AI660" t="str">
        <f t="shared" si="134"/>
        <v>Valid</v>
      </c>
      <c r="AJ660" t="str">
        <f t="shared" si="135"/>
        <v>Valid</v>
      </c>
      <c r="AK660" t="str">
        <f t="shared" si="142"/>
        <v xml:space="preserve">Valid </v>
      </c>
      <c r="AL660" t="str">
        <f>IF(AND(Audit_Data[[#This Row],[Recency]]&gt;=0,Audit_Data[[#This Row],[Recency]]&lt;=100),"Valid","Invalid")</f>
        <v>Valid</v>
      </c>
      <c r="AM660" t="str">
        <f t="shared" si="136"/>
        <v>Valid</v>
      </c>
      <c r="AN660" t="str">
        <f t="shared" si="137"/>
        <v>Valid</v>
      </c>
      <c r="AO660" t="str">
        <f t="shared" si="138"/>
        <v>Valid</v>
      </c>
      <c r="AP660" t="str">
        <f t="shared" si="139"/>
        <v>Valid</v>
      </c>
      <c r="AQ660" t="str">
        <f>IF(Audit_Data[[#This Row],[Z_CostContact]]=3,"Valid","Invalid")</f>
        <v>Valid</v>
      </c>
      <c r="AR660" t="str">
        <f t="shared" si="140"/>
        <v>Valid</v>
      </c>
      <c r="AS660" t="str">
        <f t="shared" si="141"/>
        <v>Valid</v>
      </c>
    </row>
    <row r="661" spans="1:45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 t="str">
        <f t="shared" si="130"/>
        <v>Ok</v>
      </c>
      <c r="AE661" t="str">
        <f>IF(AND(Audit_Data[[#This Row],[Year_Birth]]&gt;=1900,Audit_Data[[#This Row],[Year_Birth]]&lt;=2010),"OK","Invalid")</f>
        <v>OK</v>
      </c>
      <c r="AF661" t="str">
        <f t="shared" si="131"/>
        <v>Valid</v>
      </c>
      <c r="AG661" t="str">
        <f t="shared" si="132"/>
        <v>Valid</v>
      </c>
      <c r="AH661" t="str">
        <f t="shared" si="133"/>
        <v>Valid</v>
      </c>
      <c r="AI661" t="str">
        <f t="shared" si="134"/>
        <v>Valid</v>
      </c>
      <c r="AJ661" t="str">
        <f t="shared" si="135"/>
        <v>Valid</v>
      </c>
      <c r="AK661" t="str">
        <f t="shared" si="142"/>
        <v xml:space="preserve">Valid </v>
      </c>
      <c r="AL661" t="str">
        <f>IF(AND(Audit_Data[[#This Row],[Recency]]&gt;=0,Audit_Data[[#This Row],[Recency]]&lt;=100),"Valid","Invalid")</f>
        <v>Valid</v>
      </c>
      <c r="AM661" t="str">
        <f t="shared" si="136"/>
        <v>Valid</v>
      </c>
      <c r="AN661" t="str">
        <f t="shared" si="137"/>
        <v>Valid</v>
      </c>
      <c r="AO661" t="str">
        <f t="shared" si="138"/>
        <v>Valid</v>
      </c>
      <c r="AP661" t="str">
        <f t="shared" si="139"/>
        <v>Valid</v>
      </c>
      <c r="AQ661" t="str">
        <f>IF(Audit_Data[[#This Row],[Z_CostContact]]=3,"Valid","Invalid")</f>
        <v>Valid</v>
      </c>
      <c r="AR661" t="str">
        <f t="shared" si="140"/>
        <v>Valid</v>
      </c>
      <c r="AS661" t="str">
        <f t="shared" si="141"/>
        <v>Valid</v>
      </c>
    </row>
    <row r="662" spans="1:45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 t="str">
        <f t="shared" si="130"/>
        <v>Ok</v>
      </c>
      <c r="AE662" t="str">
        <f>IF(AND(Audit_Data[[#This Row],[Year_Birth]]&gt;=1900,Audit_Data[[#This Row],[Year_Birth]]&lt;=2010),"OK","Invalid")</f>
        <v>OK</v>
      </c>
      <c r="AF662" t="str">
        <f t="shared" si="131"/>
        <v>Valid</v>
      </c>
      <c r="AG662" t="str">
        <f t="shared" si="132"/>
        <v>Valid</v>
      </c>
      <c r="AH662" t="str">
        <f t="shared" si="133"/>
        <v>Valid</v>
      </c>
      <c r="AI662" t="str">
        <f t="shared" si="134"/>
        <v>Valid</v>
      </c>
      <c r="AJ662" t="str">
        <f t="shared" si="135"/>
        <v>Valid</v>
      </c>
      <c r="AK662" t="str">
        <f t="shared" si="142"/>
        <v xml:space="preserve">Valid </v>
      </c>
      <c r="AL662" t="str">
        <f>IF(AND(Audit_Data[[#This Row],[Recency]]&gt;=0,Audit_Data[[#This Row],[Recency]]&lt;=100),"Valid","Invalid")</f>
        <v>Valid</v>
      </c>
      <c r="AM662" t="str">
        <f t="shared" si="136"/>
        <v>Valid</v>
      </c>
      <c r="AN662" t="str">
        <f t="shared" si="137"/>
        <v>Valid</v>
      </c>
      <c r="AO662" t="str">
        <f t="shared" si="138"/>
        <v>Valid</v>
      </c>
      <c r="AP662" t="str">
        <f t="shared" si="139"/>
        <v>Valid</v>
      </c>
      <c r="AQ662" t="str">
        <f>IF(Audit_Data[[#This Row],[Z_CostContact]]=3,"Valid","Invalid")</f>
        <v>Valid</v>
      </c>
      <c r="AR662" t="str">
        <f t="shared" si="140"/>
        <v>Valid</v>
      </c>
      <c r="AS662" t="str">
        <f t="shared" si="141"/>
        <v>Valid</v>
      </c>
    </row>
    <row r="663" spans="1:45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 t="str">
        <f t="shared" si="130"/>
        <v>Ok</v>
      </c>
      <c r="AE663" t="str">
        <f>IF(AND(Audit_Data[[#This Row],[Year_Birth]]&gt;=1900,Audit_Data[[#This Row],[Year_Birth]]&lt;=2010),"OK","Invalid")</f>
        <v>OK</v>
      </c>
      <c r="AF663" t="str">
        <f t="shared" si="131"/>
        <v>Valid</v>
      </c>
      <c r="AG663" t="str">
        <f t="shared" si="132"/>
        <v>Valid</v>
      </c>
      <c r="AH663" t="str">
        <f t="shared" si="133"/>
        <v>Valid</v>
      </c>
      <c r="AI663" t="str">
        <f t="shared" si="134"/>
        <v>Valid</v>
      </c>
      <c r="AJ663" t="str">
        <f t="shared" si="135"/>
        <v>Valid</v>
      </c>
      <c r="AK663" t="str">
        <f t="shared" si="142"/>
        <v xml:space="preserve">Valid </v>
      </c>
      <c r="AL663" t="str">
        <f>IF(AND(Audit_Data[[#This Row],[Recency]]&gt;=0,Audit_Data[[#This Row],[Recency]]&lt;=100),"Valid","Invalid")</f>
        <v>Valid</v>
      </c>
      <c r="AM663" t="str">
        <f t="shared" si="136"/>
        <v>Valid</v>
      </c>
      <c r="AN663" t="str">
        <f t="shared" si="137"/>
        <v>Valid</v>
      </c>
      <c r="AO663" t="str">
        <f t="shared" si="138"/>
        <v>Valid</v>
      </c>
      <c r="AP663" t="str">
        <f t="shared" si="139"/>
        <v>Valid</v>
      </c>
      <c r="AQ663" t="str">
        <f>IF(Audit_Data[[#This Row],[Z_CostContact]]=3,"Valid","Invalid")</f>
        <v>Valid</v>
      </c>
      <c r="AR663" t="str">
        <f t="shared" si="140"/>
        <v>Valid</v>
      </c>
      <c r="AS663" t="str">
        <f t="shared" si="141"/>
        <v>Valid</v>
      </c>
    </row>
    <row r="664" spans="1:45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 t="str">
        <f t="shared" si="130"/>
        <v>Ok</v>
      </c>
      <c r="AE664" t="str">
        <f>IF(AND(Audit_Data[[#This Row],[Year_Birth]]&gt;=1900,Audit_Data[[#This Row],[Year_Birth]]&lt;=2010),"OK","Invalid")</f>
        <v>OK</v>
      </c>
      <c r="AF664" t="str">
        <f t="shared" si="131"/>
        <v>Valid</v>
      </c>
      <c r="AG664" t="str">
        <f t="shared" si="132"/>
        <v>Valid</v>
      </c>
      <c r="AH664" t="str">
        <f t="shared" si="133"/>
        <v>Valid</v>
      </c>
      <c r="AI664" t="str">
        <f t="shared" si="134"/>
        <v>Valid</v>
      </c>
      <c r="AJ664" t="str">
        <f t="shared" si="135"/>
        <v>Valid</v>
      </c>
      <c r="AK664" t="str">
        <f t="shared" si="142"/>
        <v xml:space="preserve">Valid </v>
      </c>
      <c r="AL664" t="str">
        <f>IF(AND(Audit_Data[[#This Row],[Recency]]&gt;=0,Audit_Data[[#This Row],[Recency]]&lt;=100),"Valid","Invalid")</f>
        <v>Valid</v>
      </c>
      <c r="AM664" t="str">
        <f t="shared" si="136"/>
        <v>Valid</v>
      </c>
      <c r="AN664" t="str">
        <f t="shared" si="137"/>
        <v>Valid</v>
      </c>
      <c r="AO664" t="str">
        <f t="shared" si="138"/>
        <v>Valid</v>
      </c>
      <c r="AP664" t="str">
        <f t="shared" si="139"/>
        <v>Valid</v>
      </c>
      <c r="AQ664" t="str">
        <f>IF(Audit_Data[[#This Row],[Z_CostContact]]=3,"Valid","Invalid")</f>
        <v>Valid</v>
      </c>
      <c r="AR664" t="str">
        <f t="shared" si="140"/>
        <v>Valid</v>
      </c>
      <c r="AS664" t="str">
        <f t="shared" si="141"/>
        <v>Valid</v>
      </c>
    </row>
    <row r="665" spans="1:45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 t="str">
        <f t="shared" si="130"/>
        <v>Ok</v>
      </c>
      <c r="AE665" t="str">
        <f>IF(AND(Audit_Data[[#This Row],[Year_Birth]]&gt;=1900,Audit_Data[[#This Row],[Year_Birth]]&lt;=2010),"OK","Invalid")</f>
        <v>OK</v>
      </c>
      <c r="AF665" t="str">
        <f t="shared" si="131"/>
        <v>Valid</v>
      </c>
      <c r="AG665" t="str">
        <f t="shared" si="132"/>
        <v>Valid</v>
      </c>
      <c r="AH665" t="str">
        <f t="shared" si="133"/>
        <v>Valid</v>
      </c>
      <c r="AI665" t="str">
        <f t="shared" si="134"/>
        <v>Valid</v>
      </c>
      <c r="AJ665" t="str">
        <f t="shared" si="135"/>
        <v>Valid</v>
      </c>
      <c r="AK665" t="str">
        <f t="shared" si="142"/>
        <v xml:space="preserve">Valid </v>
      </c>
      <c r="AL665" t="str">
        <f>IF(AND(Audit_Data[[#This Row],[Recency]]&gt;=0,Audit_Data[[#This Row],[Recency]]&lt;=100),"Valid","Invalid")</f>
        <v>Valid</v>
      </c>
      <c r="AM665" t="str">
        <f t="shared" si="136"/>
        <v>Valid</v>
      </c>
      <c r="AN665" t="str">
        <f t="shared" si="137"/>
        <v>Valid</v>
      </c>
      <c r="AO665" t="str">
        <f t="shared" si="138"/>
        <v>Valid</v>
      </c>
      <c r="AP665" t="str">
        <f t="shared" si="139"/>
        <v>Valid</v>
      </c>
      <c r="AQ665" t="str">
        <f>IF(Audit_Data[[#This Row],[Z_CostContact]]=3,"Valid","Invalid")</f>
        <v>Valid</v>
      </c>
      <c r="AR665" t="str">
        <f t="shared" si="140"/>
        <v>Valid</v>
      </c>
      <c r="AS665" t="str">
        <f t="shared" si="141"/>
        <v>Valid</v>
      </c>
    </row>
    <row r="666" spans="1:45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 t="str">
        <f t="shared" si="130"/>
        <v>Ok</v>
      </c>
      <c r="AE666" t="str">
        <f>IF(AND(Audit_Data[[#This Row],[Year_Birth]]&gt;=1900,Audit_Data[[#This Row],[Year_Birth]]&lt;=2010),"OK","Invalid")</f>
        <v>OK</v>
      </c>
      <c r="AF666" t="str">
        <f t="shared" si="131"/>
        <v>Valid</v>
      </c>
      <c r="AG666" t="str">
        <f t="shared" si="132"/>
        <v>Valid</v>
      </c>
      <c r="AH666" t="str">
        <f t="shared" si="133"/>
        <v>Valid</v>
      </c>
      <c r="AI666" t="str">
        <f t="shared" si="134"/>
        <v>Valid</v>
      </c>
      <c r="AJ666" t="str">
        <f t="shared" si="135"/>
        <v>Valid</v>
      </c>
      <c r="AK666" t="str">
        <f t="shared" si="142"/>
        <v xml:space="preserve">Valid </v>
      </c>
      <c r="AL666" t="str">
        <f>IF(AND(Audit_Data[[#This Row],[Recency]]&gt;=0,Audit_Data[[#This Row],[Recency]]&lt;=100),"Valid","Invalid")</f>
        <v>Valid</v>
      </c>
      <c r="AM666" t="str">
        <f t="shared" si="136"/>
        <v>Valid</v>
      </c>
      <c r="AN666" t="str">
        <f t="shared" si="137"/>
        <v>Valid</v>
      </c>
      <c r="AO666" t="str">
        <f t="shared" si="138"/>
        <v>Valid</v>
      </c>
      <c r="AP666" t="str">
        <f t="shared" si="139"/>
        <v>Valid</v>
      </c>
      <c r="AQ666" t="str">
        <f>IF(Audit_Data[[#This Row],[Z_CostContact]]=3,"Valid","Invalid")</f>
        <v>Valid</v>
      </c>
      <c r="AR666" t="str">
        <f t="shared" si="140"/>
        <v>Valid</v>
      </c>
      <c r="AS666" t="str">
        <f t="shared" si="141"/>
        <v>Valid</v>
      </c>
    </row>
    <row r="667" spans="1:45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 t="str">
        <f t="shared" si="130"/>
        <v>Ok</v>
      </c>
      <c r="AE667" t="str">
        <f>IF(AND(Audit_Data[[#This Row],[Year_Birth]]&gt;=1900,Audit_Data[[#This Row],[Year_Birth]]&lt;=2010),"OK","Invalid")</f>
        <v>OK</v>
      </c>
      <c r="AF667" t="str">
        <f t="shared" si="131"/>
        <v>Valid</v>
      </c>
      <c r="AG667" t="str">
        <f t="shared" si="132"/>
        <v>Valid</v>
      </c>
      <c r="AH667" t="str">
        <f t="shared" si="133"/>
        <v>Valid</v>
      </c>
      <c r="AI667" t="str">
        <f t="shared" si="134"/>
        <v>Valid</v>
      </c>
      <c r="AJ667" t="str">
        <f t="shared" si="135"/>
        <v>Valid</v>
      </c>
      <c r="AK667" t="str">
        <f t="shared" si="142"/>
        <v xml:space="preserve">Valid </v>
      </c>
      <c r="AL667" t="str">
        <f>IF(AND(Audit_Data[[#This Row],[Recency]]&gt;=0,Audit_Data[[#This Row],[Recency]]&lt;=100),"Valid","Invalid")</f>
        <v>Valid</v>
      </c>
      <c r="AM667" t="str">
        <f t="shared" si="136"/>
        <v>Valid</v>
      </c>
      <c r="AN667" t="str">
        <f t="shared" si="137"/>
        <v>Valid</v>
      </c>
      <c r="AO667" t="str">
        <f t="shared" si="138"/>
        <v>Valid</v>
      </c>
      <c r="AP667" t="str">
        <f t="shared" si="139"/>
        <v>Valid</v>
      </c>
      <c r="AQ667" t="str">
        <f>IF(Audit_Data[[#This Row],[Z_CostContact]]=3,"Valid","Invalid")</f>
        <v>Valid</v>
      </c>
      <c r="AR667" t="str">
        <f t="shared" si="140"/>
        <v>Valid</v>
      </c>
      <c r="AS667" t="str">
        <f t="shared" si="141"/>
        <v>Valid</v>
      </c>
    </row>
    <row r="668" spans="1:45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 t="str">
        <f t="shared" si="130"/>
        <v>Ok</v>
      </c>
      <c r="AE668" t="str">
        <f>IF(AND(Audit_Data[[#This Row],[Year_Birth]]&gt;=1900,Audit_Data[[#This Row],[Year_Birth]]&lt;=2010),"OK","Invalid")</f>
        <v>OK</v>
      </c>
      <c r="AF668" t="str">
        <f t="shared" si="131"/>
        <v>Valid</v>
      </c>
      <c r="AG668" t="str">
        <f t="shared" si="132"/>
        <v>Valid</v>
      </c>
      <c r="AH668" t="str">
        <f t="shared" si="133"/>
        <v>Valid</v>
      </c>
      <c r="AI668" t="str">
        <f t="shared" si="134"/>
        <v>Valid</v>
      </c>
      <c r="AJ668" t="str">
        <f t="shared" si="135"/>
        <v>Valid</v>
      </c>
      <c r="AK668" t="str">
        <f t="shared" si="142"/>
        <v xml:space="preserve">Valid </v>
      </c>
      <c r="AL668" t="str">
        <f>IF(AND(Audit_Data[[#This Row],[Recency]]&gt;=0,Audit_Data[[#This Row],[Recency]]&lt;=100),"Valid","Invalid")</f>
        <v>Valid</v>
      </c>
      <c r="AM668" t="str">
        <f t="shared" si="136"/>
        <v>Valid</v>
      </c>
      <c r="AN668" t="str">
        <f t="shared" si="137"/>
        <v>Valid</v>
      </c>
      <c r="AO668" t="str">
        <f t="shared" si="138"/>
        <v>Valid</v>
      </c>
      <c r="AP668" t="str">
        <f t="shared" si="139"/>
        <v>Valid</v>
      </c>
      <c r="AQ668" t="str">
        <f>IF(Audit_Data[[#This Row],[Z_CostContact]]=3,"Valid","Invalid")</f>
        <v>Valid</v>
      </c>
      <c r="AR668" t="str">
        <f t="shared" si="140"/>
        <v>Valid</v>
      </c>
      <c r="AS668" t="str">
        <f t="shared" si="141"/>
        <v>Valid</v>
      </c>
    </row>
    <row r="669" spans="1:45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 t="str">
        <f t="shared" si="130"/>
        <v>Ok</v>
      </c>
      <c r="AE669" t="str">
        <f>IF(AND(Audit_Data[[#This Row],[Year_Birth]]&gt;=1900,Audit_Data[[#This Row],[Year_Birth]]&lt;=2010),"OK","Invalid")</f>
        <v>OK</v>
      </c>
      <c r="AF669" t="str">
        <f t="shared" si="131"/>
        <v>Valid</v>
      </c>
      <c r="AG669" t="str">
        <f t="shared" si="132"/>
        <v>Valid</v>
      </c>
      <c r="AH669" t="str">
        <f t="shared" si="133"/>
        <v>Valid</v>
      </c>
      <c r="AI669" t="str">
        <f t="shared" si="134"/>
        <v>Valid</v>
      </c>
      <c r="AJ669" t="str">
        <f t="shared" si="135"/>
        <v>Valid</v>
      </c>
      <c r="AK669" t="str">
        <f t="shared" si="142"/>
        <v xml:space="preserve">Valid </v>
      </c>
      <c r="AL669" t="str">
        <f>IF(AND(Audit_Data[[#This Row],[Recency]]&gt;=0,Audit_Data[[#This Row],[Recency]]&lt;=100),"Valid","Invalid")</f>
        <v>Valid</v>
      </c>
      <c r="AM669" t="str">
        <f t="shared" si="136"/>
        <v>Valid</v>
      </c>
      <c r="AN669" t="str">
        <f t="shared" si="137"/>
        <v>Valid</v>
      </c>
      <c r="AO669" t="str">
        <f t="shared" si="138"/>
        <v>Valid</v>
      </c>
      <c r="AP669" t="str">
        <f t="shared" si="139"/>
        <v>Valid</v>
      </c>
      <c r="AQ669" t="str">
        <f>IF(Audit_Data[[#This Row],[Z_CostContact]]=3,"Valid","Invalid")</f>
        <v>Valid</v>
      </c>
      <c r="AR669" t="str">
        <f t="shared" si="140"/>
        <v>Valid</v>
      </c>
      <c r="AS669" t="str">
        <f t="shared" si="141"/>
        <v>Valid</v>
      </c>
    </row>
    <row r="670" spans="1:45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 t="str">
        <f t="shared" si="130"/>
        <v>Ok</v>
      </c>
      <c r="AE670" t="str">
        <f>IF(AND(Audit_Data[[#This Row],[Year_Birth]]&gt;=1900,Audit_Data[[#This Row],[Year_Birth]]&lt;=2010),"OK","Invalid")</f>
        <v>OK</v>
      </c>
      <c r="AF670" t="str">
        <f t="shared" si="131"/>
        <v>Valid</v>
      </c>
      <c r="AG670" t="str">
        <f t="shared" si="132"/>
        <v>Valid</v>
      </c>
      <c r="AH670" t="str">
        <f t="shared" si="133"/>
        <v>Valid</v>
      </c>
      <c r="AI670" t="str">
        <f t="shared" si="134"/>
        <v>Valid</v>
      </c>
      <c r="AJ670" t="str">
        <f t="shared" si="135"/>
        <v>Valid</v>
      </c>
      <c r="AK670" t="str">
        <f t="shared" si="142"/>
        <v xml:space="preserve">Valid </v>
      </c>
      <c r="AL670" t="str">
        <f>IF(AND(Audit_Data[[#This Row],[Recency]]&gt;=0,Audit_Data[[#This Row],[Recency]]&lt;=100),"Valid","Invalid")</f>
        <v>Valid</v>
      </c>
      <c r="AM670" t="str">
        <f t="shared" si="136"/>
        <v>Valid</v>
      </c>
      <c r="AN670" t="str">
        <f t="shared" si="137"/>
        <v>Valid</v>
      </c>
      <c r="AO670" t="str">
        <f t="shared" si="138"/>
        <v>Valid</v>
      </c>
      <c r="AP670" t="str">
        <f t="shared" si="139"/>
        <v>Valid</v>
      </c>
      <c r="AQ670" t="str">
        <f>IF(Audit_Data[[#This Row],[Z_CostContact]]=3,"Valid","Invalid")</f>
        <v>Valid</v>
      </c>
      <c r="AR670" t="str">
        <f t="shared" si="140"/>
        <v>Valid</v>
      </c>
      <c r="AS670" t="str">
        <f t="shared" si="141"/>
        <v>Valid</v>
      </c>
    </row>
    <row r="671" spans="1:45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 t="str">
        <f t="shared" si="130"/>
        <v>Ok</v>
      </c>
      <c r="AE671" t="str">
        <f>IF(AND(Audit_Data[[#This Row],[Year_Birth]]&gt;=1900,Audit_Data[[#This Row],[Year_Birth]]&lt;=2010),"OK","Invalid")</f>
        <v>OK</v>
      </c>
      <c r="AF671" t="str">
        <f t="shared" si="131"/>
        <v>Valid</v>
      </c>
      <c r="AG671" t="str">
        <f t="shared" si="132"/>
        <v>Valid</v>
      </c>
      <c r="AH671" t="str">
        <f t="shared" si="133"/>
        <v>Valid</v>
      </c>
      <c r="AI671" t="str">
        <f t="shared" si="134"/>
        <v>Valid</v>
      </c>
      <c r="AJ671" t="str">
        <f t="shared" si="135"/>
        <v>Valid</v>
      </c>
      <c r="AK671" t="str">
        <f t="shared" si="142"/>
        <v xml:space="preserve">Valid </v>
      </c>
      <c r="AL671" t="str">
        <f>IF(AND(Audit_Data[[#This Row],[Recency]]&gt;=0,Audit_Data[[#This Row],[Recency]]&lt;=100),"Valid","Invalid")</f>
        <v>Valid</v>
      </c>
      <c r="AM671" t="str">
        <f t="shared" si="136"/>
        <v>Valid</v>
      </c>
      <c r="AN671" t="str">
        <f t="shared" si="137"/>
        <v>Valid</v>
      </c>
      <c r="AO671" t="str">
        <f t="shared" si="138"/>
        <v>Valid</v>
      </c>
      <c r="AP671" t="str">
        <f t="shared" si="139"/>
        <v>Valid</v>
      </c>
      <c r="AQ671" t="str">
        <f>IF(Audit_Data[[#This Row],[Z_CostContact]]=3,"Valid","Invalid")</f>
        <v>Valid</v>
      </c>
      <c r="AR671" t="str">
        <f t="shared" si="140"/>
        <v>Valid</v>
      </c>
      <c r="AS671" t="str">
        <f t="shared" si="141"/>
        <v>Valid</v>
      </c>
    </row>
    <row r="672" spans="1:45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 t="str">
        <f t="shared" si="130"/>
        <v>Ok</v>
      </c>
      <c r="AE672" t="str">
        <f>IF(AND(Audit_Data[[#This Row],[Year_Birth]]&gt;=1900,Audit_Data[[#This Row],[Year_Birth]]&lt;=2010),"OK","Invalid")</f>
        <v>OK</v>
      </c>
      <c r="AF672" t="str">
        <f t="shared" si="131"/>
        <v>Valid</v>
      </c>
      <c r="AG672" t="str">
        <f t="shared" si="132"/>
        <v>Valid</v>
      </c>
      <c r="AH672" t="str">
        <f t="shared" si="133"/>
        <v>Valid</v>
      </c>
      <c r="AI672" t="str">
        <f t="shared" si="134"/>
        <v>Valid</v>
      </c>
      <c r="AJ672" t="str">
        <f t="shared" si="135"/>
        <v>Valid</v>
      </c>
      <c r="AK672" t="str">
        <f t="shared" si="142"/>
        <v xml:space="preserve">Valid </v>
      </c>
      <c r="AL672" t="str">
        <f>IF(AND(Audit_Data[[#This Row],[Recency]]&gt;=0,Audit_Data[[#This Row],[Recency]]&lt;=100),"Valid","Invalid")</f>
        <v>Valid</v>
      </c>
      <c r="AM672" t="str">
        <f t="shared" si="136"/>
        <v>Valid</v>
      </c>
      <c r="AN672" t="str">
        <f t="shared" si="137"/>
        <v>Valid</v>
      </c>
      <c r="AO672" t="str">
        <f t="shared" si="138"/>
        <v>Valid</v>
      </c>
      <c r="AP672" t="str">
        <f t="shared" si="139"/>
        <v>Valid</v>
      </c>
      <c r="AQ672" t="str">
        <f>IF(Audit_Data[[#This Row],[Z_CostContact]]=3,"Valid","Invalid")</f>
        <v>Valid</v>
      </c>
      <c r="AR672" t="str">
        <f t="shared" si="140"/>
        <v>Valid</v>
      </c>
      <c r="AS672" t="str">
        <f t="shared" si="141"/>
        <v>Valid</v>
      </c>
    </row>
    <row r="673" spans="1:45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 t="str">
        <f t="shared" si="130"/>
        <v>Ok</v>
      </c>
      <c r="AE673" t="str">
        <f>IF(AND(Audit_Data[[#This Row],[Year_Birth]]&gt;=1900,Audit_Data[[#This Row],[Year_Birth]]&lt;=2010),"OK","Invalid")</f>
        <v>OK</v>
      </c>
      <c r="AF673" t="str">
        <f t="shared" si="131"/>
        <v>Valid</v>
      </c>
      <c r="AG673" t="str">
        <f t="shared" si="132"/>
        <v>Valid</v>
      </c>
      <c r="AH673" t="str">
        <f t="shared" si="133"/>
        <v>Valid</v>
      </c>
      <c r="AI673" t="str">
        <f t="shared" si="134"/>
        <v>Valid</v>
      </c>
      <c r="AJ673" t="str">
        <f t="shared" si="135"/>
        <v>Valid</v>
      </c>
      <c r="AK673" t="str">
        <f t="shared" si="142"/>
        <v xml:space="preserve">Valid </v>
      </c>
      <c r="AL673" t="str">
        <f>IF(AND(Audit_Data[[#This Row],[Recency]]&gt;=0,Audit_Data[[#This Row],[Recency]]&lt;=100),"Valid","Invalid")</f>
        <v>Valid</v>
      </c>
      <c r="AM673" t="str">
        <f t="shared" si="136"/>
        <v>Valid</v>
      </c>
      <c r="AN673" t="str">
        <f t="shared" si="137"/>
        <v>Valid</v>
      </c>
      <c r="AO673" t="str">
        <f t="shared" si="138"/>
        <v>Valid</v>
      </c>
      <c r="AP673" t="str">
        <f t="shared" si="139"/>
        <v>Valid</v>
      </c>
      <c r="AQ673" t="str">
        <f>IF(Audit_Data[[#This Row],[Z_CostContact]]=3,"Valid","Invalid")</f>
        <v>Valid</v>
      </c>
      <c r="AR673" t="str">
        <f t="shared" si="140"/>
        <v>Valid</v>
      </c>
      <c r="AS673" t="str">
        <f t="shared" si="141"/>
        <v>Valid</v>
      </c>
    </row>
    <row r="674" spans="1:45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 t="str">
        <f t="shared" si="130"/>
        <v>Ok</v>
      </c>
      <c r="AE674" t="str">
        <f>IF(AND(Audit_Data[[#This Row],[Year_Birth]]&gt;=1900,Audit_Data[[#This Row],[Year_Birth]]&lt;=2010),"OK","Invalid")</f>
        <v>OK</v>
      </c>
      <c r="AF674" t="str">
        <f t="shared" si="131"/>
        <v>Valid</v>
      </c>
      <c r="AG674" t="str">
        <f t="shared" si="132"/>
        <v>Valid</v>
      </c>
      <c r="AH674" t="str">
        <f t="shared" si="133"/>
        <v>Valid</v>
      </c>
      <c r="AI674" t="str">
        <f t="shared" si="134"/>
        <v>Valid</v>
      </c>
      <c r="AJ674" t="str">
        <f t="shared" si="135"/>
        <v>Valid</v>
      </c>
      <c r="AK674" t="str">
        <f t="shared" si="142"/>
        <v xml:space="preserve">Valid </v>
      </c>
      <c r="AL674" t="str">
        <f>IF(AND(Audit_Data[[#This Row],[Recency]]&gt;=0,Audit_Data[[#This Row],[Recency]]&lt;=100),"Valid","Invalid")</f>
        <v>Valid</v>
      </c>
      <c r="AM674" t="str">
        <f t="shared" si="136"/>
        <v>Valid</v>
      </c>
      <c r="AN674" t="str">
        <f t="shared" si="137"/>
        <v>Valid</v>
      </c>
      <c r="AO674" t="str">
        <f t="shared" si="138"/>
        <v>Valid</v>
      </c>
      <c r="AP674" t="str">
        <f t="shared" si="139"/>
        <v>Valid</v>
      </c>
      <c r="AQ674" t="str">
        <f>IF(Audit_Data[[#This Row],[Z_CostContact]]=3,"Valid","Invalid")</f>
        <v>Valid</v>
      </c>
      <c r="AR674" t="str">
        <f t="shared" si="140"/>
        <v>Valid</v>
      </c>
      <c r="AS674" t="str">
        <f t="shared" si="141"/>
        <v>Valid</v>
      </c>
    </row>
    <row r="675" spans="1:45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 t="str">
        <f t="shared" si="130"/>
        <v>Ok</v>
      </c>
      <c r="AE675" t="str">
        <f>IF(AND(Audit_Data[[#This Row],[Year_Birth]]&gt;=1900,Audit_Data[[#This Row],[Year_Birth]]&lt;=2010),"OK","Invalid")</f>
        <v>OK</v>
      </c>
      <c r="AF675" t="str">
        <f t="shared" si="131"/>
        <v>Valid</v>
      </c>
      <c r="AG675" t="str">
        <f t="shared" si="132"/>
        <v>Valid</v>
      </c>
      <c r="AH675" t="str">
        <f t="shared" si="133"/>
        <v>Valid</v>
      </c>
      <c r="AI675" t="str">
        <f t="shared" si="134"/>
        <v>Valid</v>
      </c>
      <c r="AJ675" t="str">
        <f t="shared" si="135"/>
        <v>Valid</v>
      </c>
      <c r="AK675" t="str">
        <f t="shared" si="142"/>
        <v xml:space="preserve">Valid </v>
      </c>
      <c r="AL675" t="str">
        <f>IF(AND(Audit_Data[[#This Row],[Recency]]&gt;=0,Audit_Data[[#This Row],[Recency]]&lt;=100),"Valid","Invalid")</f>
        <v>Valid</v>
      </c>
      <c r="AM675" t="str">
        <f t="shared" si="136"/>
        <v>Valid</v>
      </c>
      <c r="AN675" t="str">
        <f t="shared" si="137"/>
        <v>Valid</v>
      </c>
      <c r="AO675" t="str">
        <f t="shared" si="138"/>
        <v>Valid</v>
      </c>
      <c r="AP675" t="str">
        <f t="shared" si="139"/>
        <v>Valid</v>
      </c>
      <c r="AQ675" t="str">
        <f>IF(Audit_Data[[#This Row],[Z_CostContact]]=3,"Valid","Invalid")</f>
        <v>Valid</v>
      </c>
      <c r="AR675" t="str">
        <f t="shared" si="140"/>
        <v>Valid</v>
      </c>
      <c r="AS675" t="str">
        <f t="shared" si="141"/>
        <v>Valid</v>
      </c>
    </row>
    <row r="676" spans="1:45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 t="str">
        <f t="shared" si="130"/>
        <v>Ok</v>
      </c>
      <c r="AE676" t="str">
        <f>IF(AND(Audit_Data[[#This Row],[Year_Birth]]&gt;=1900,Audit_Data[[#This Row],[Year_Birth]]&lt;=2010),"OK","Invalid")</f>
        <v>OK</v>
      </c>
      <c r="AF676" t="str">
        <f t="shared" si="131"/>
        <v>Valid</v>
      </c>
      <c r="AG676" t="str">
        <f t="shared" si="132"/>
        <v>Valid</v>
      </c>
      <c r="AH676" t="str">
        <f t="shared" si="133"/>
        <v>Valid</v>
      </c>
      <c r="AI676" t="str">
        <f t="shared" si="134"/>
        <v>Valid</v>
      </c>
      <c r="AJ676" t="str">
        <f t="shared" si="135"/>
        <v>Valid</v>
      </c>
      <c r="AK676" t="str">
        <f t="shared" si="142"/>
        <v xml:space="preserve">Valid </v>
      </c>
      <c r="AL676" t="str">
        <f>IF(AND(Audit_Data[[#This Row],[Recency]]&gt;=0,Audit_Data[[#This Row],[Recency]]&lt;=100),"Valid","Invalid")</f>
        <v>Valid</v>
      </c>
      <c r="AM676" t="str">
        <f t="shared" si="136"/>
        <v>Valid</v>
      </c>
      <c r="AN676" t="str">
        <f t="shared" si="137"/>
        <v>Valid</v>
      </c>
      <c r="AO676" t="str">
        <f t="shared" si="138"/>
        <v>Valid</v>
      </c>
      <c r="AP676" t="str">
        <f t="shared" si="139"/>
        <v>Valid</v>
      </c>
      <c r="AQ676" t="str">
        <f>IF(Audit_Data[[#This Row],[Z_CostContact]]=3,"Valid","Invalid")</f>
        <v>Valid</v>
      </c>
      <c r="AR676" t="str">
        <f t="shared" si="140"/>
        <v>Valid</v>
      </c>
      <c r="AS676" t="str">
        <f t="shared" si="141"/>
        <v>Valid</v>
      </c>
    </row>
    <row r="677" spans="1:45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 t="str">
        <f t="shared" si="130"/>
        <v>Ok</v>
      </c>
      <c r="AE677" t="str">
        <f>IF(AND(Audit_Data[[#This Row],[Year_Birth]]&gt;=1900,Audit_Data[[#This Row],[Year_Birth]]&lt;=2010),"OK","Invalid")</f>
        <v>OK</v>
      </c>
      <c r="AF677" t="str">
        <f t="shared" si="131"/>
        <v>Valid</v>
      </c>
      <c r="AG677" t="str">
        <f t="shared" si="132"/>
        <v>Valid</v>
      </c>
      <c r="AH677" t="str">
        <f t="shared" si="133"/>
        <v>Valid</v>
      </c>
      <c r="AI677" t="str">
        <f t="shared" si="134"/>
        <v>Valid</v>
      </c>
      <c r="AJ677" t="str">
        <f t="shared" si="135"/>
        <v>Valid</v>
      </c>
      <c r="AK677" t="str">
        <f t="shared" si="142"/>
        <v xml:space="preserve">Valid </v>
      </c>
      <c r="AL677" t="str">
        <f>IF(AND(Audit_Data[[#This Row],[Recency]]&gt;=0,Audit_Data[[#This Row],[Recency]]&lt;=100),"Valid","Invalid")</f>
        <v>Valid</v>
      </c>
      <c r="AM677" t="str">
        <f t="shared" si="136"/>
        <v>Valid</v>
      </c>
      <c r="AN677" t="str">
        <f t="shared" si="137"/>
        <v>Valid</v>
      </c>
      <c r="AO677" t="str">
        <f t="shared" si="138"/>
        <v>Valid</v>
      </c>
      <c r="AP677" t="str">
        <f t="shared" si="139"/>
        <v>Valid</v>
      </c>
      <c r="AQ677" t="str">
        <f>IF(Audit_Data[[#This Row],[Z_CostContact]]=3,"Valid","Invalid")</f>
        <v>Valid</v>
      </c>
      <c r="AR677" t="str">
        <f t="shared" si="140"/>
        <v>Valid</v>
      </c>
      <c r="AS677" t="str">
        <f t="shared" si="141"/>
        <v>Valid</v>
      </c>
    </row>
    <row r="678" spans="1:45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 t="str">
        <f t="shared" si="130"/>
        <v>Ok</v>
      </c>
      <c r="AE678" t="str">
        <f>IF(AND(Audit_Data[[#This Row],[Year_Birth]]&gt;=1900,Audit_Data[[#This Row],[Year_Birth]]&lt;=2010),"OK","Invalid")</f>
        <v>OK</v>
      </c>
      <c r="AF678" t="str">
        <f t="shared" si="131"/>
        <v>Valid</v>
      </c>
      <c r="AG678" t="str">
        <f t="shared" si="132"/>
        <v>Valid</v>
      </c>
      <c r="AH678" t="str">
        <f t="shared" si="133"/>
        <v>Valid</v>
      </c>
      <c r="AI678" t="str">
        <f t="shared" si="134"/>
        <v>Valid</v>
      </c>
      <c r="AJ678" t="str">
        <f t="shared" si="135"/>
        <v>Valid</v>
      </c>
      <c r="AK678" t="str">
        <f t="shared" si="142"/>
        <v xml:space="preserve">Valid </v>
      </c>
      <c r="AL678" t="str">
        <f>IF(AND(Audit_Data[[#This Row],[Recency]]&gt;=0,Audit_Data[[#This Row],[Recency]]&lt;=100),"Valid","Invalid")</f>
        <v>Valid</v>
      </c>
      <c r="AM678" t="str">
        <f t="shared" si="136"/>
        <v>Valid</v>
      </c>
      <c r="AN678" t="str">
        <f t="shared" si="137"/>
        <v>Valid</v>
      </c>
      <c r="AO678" t="str">
        <f t="shared" si="138"/>
        <v>Valid</v>
      </c>
      <c r="AP678" t="str">
        <f t="shared" si="139"/>
        <v>Valid</v>
      </c>
      <c r="AQ678" t="str">
        <f>IF(Audit_Data[[#This Row],[Z_CostContact]]=3,"Valid","Invalid")</f>
        <v>Valid</v>
      </c>
      <c r="AR678" t="str">
        <f t="shared" si="140"/>
        <v>Valid</v>
      </c>
      <c r="AS678" t="str">
        <f t="shared" si="141"/>
        <v>Valid</v>
      </c>
    </row>
    <row r="679" spans="1:45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 t="str">
        <f t="shared" si="130"/>
        <v>Ok</v>
      </c>
      <c r="AE679" t="str">
        <f>IF(AND(Audit_Data[[#This Row],[Year_Birth]]&gt;=1900,Audit_Data[[#This Row],[Year_Birth]]&lt;=2010),"OK","Invalid")</f>
        <v>OK</v>
      </c>
      <c r="AF679" t="str">
        <f t="shared" si="131"/>
        <v>Valid</v>
      </c>
      <c r="AG679" t="str">
        <f t="shared" si="132"/>
        <v>Valid</v>
      </c>
      <c r="AH679" t="str">
        <f t="shared" si="133"/>
        <v>Valid</v>
      </c>
      <c r="AI679" t="str">
        <f t="shared" si="134"/>
        <v>Valid</v>
      </c>
      <c r="AJ679" t="str">
        <f t="shared" si="135"/>
        <v>Valid</v>
      </c>
      <c r="AK679" t="str">
        <f t="shared" si="142"/>
        <v xml:space="preserve">Valid </v>
      </c>
      <c r="AL679" t="str">
        <f>IF(AND(Audit_Data[[#This Row],[Recency]]&gt;=0,Audit_Data[[#This Row],[Recency]]&lt;=100),"Valid","Invalid")</f>
        <v>Valid</v>
      </c>
      <c r="AM679" t="str">
        <f t="shared" si="136"/>
        <v>Valid</v>
      </c>
      <c r="AN679" t="str">
        <f t="shared" si="137"/>
        <v>Valid</v>
      </c>
      <c r="AO679" t="str">
        <f t="shared" si="138"/>
        <v>Valid</v>
      </c>
      <c r="AP679" t="str">
        <f t="shared" si="139"/>
        <v>Valid</v>
      </c>
      <c r="AQ679" t="str">
        <f>IF(Audit_Data[[#This Row],[Z_CostContact]]=3,"Valid","Invalid")</f>
        <v>Valid</v>
      </c>
      <c r="AR679" t="str">
        <f t="shared" si="140"/>
        <v>Valid</v>
      </c>
      <c r="AS679" t="str">
        <f t="shared" si="141"/>
        <v>Valid</v>
      </c>
    </row>
    <row r="680" spans="1:45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 t="str">
        <f t="shared" si="130"/>
        <v>Ok</v>
      </c>
      <c r="AE680" t="str">
        <f>IF(AND(Audit_Data[[#This Row],[Year_Birth]]&gt;=1900,Audit_Data[[#This Row],[Year_Birth]]&lt;=2010),"OK","Invalid")</f>
        <v>OK</v>
      </c>
      <c r="AF680" t="str">
        <f t="shared" si="131"/>
        <v>Valid</v>
      </c>
      <c r="AG680" t="str">
        <f t="shared" si="132"/>
        <v>Valid</v>
      </c>
      <c r="AH680" t="str">
        <f t="shared" si="133"/>
        <v>Valid</v>
      </c>
      <c r="AI680" t="str">
        <f t="shared" si="134"/>
        <v>Valid</v>
      </c>
      <c r="AJ680" t="str">
        <f t="shared" si="135"/>
        <v>Valid</v>
      </c>
      <c r="AK680" t="str">
        <f t="shared" si="142"/>
        <v xml:space="preserve">Valid </v>
      </c>
      <c r="AL680" t="str">
        <f>IF(AND(Audit_Data[[#This Row],[Recency]]&gt;=0,Audit_Data[[#This Row],[Recency]]&lt;=100),"Valid","Invalid")</f>
        <v>Valid</v>
      </c>
      <c r="AM680" t="str">
        <f t="shared" si="136"/>
        <v>Valid</v>
      </c>
      <c r="AN680" t="str">
        <f t="shared" si="137"/>
        <v>Valid</v>
      </c>
      <c r="AO680" t="str">
        <f t="shared" si="138"/>
        <v>Valid</v>
      </c>
      <c r="AP680" t="str">
        <f t="shared" si="139"/>
        <v>Valid</v>
      </c>
      <c r="AQ680" t="str">
        <f>IF(Audit_Data[[#This Row],[Z_CostContact]]=3,"Valid","Invalid")</f>
        <v>Valid</v>
      </c>
      <c r="AR680" t="str">
        <f t="shared" si="140"/>
        <v>Valid</v>
      </c>
      <c r="AS680" t="str">
        <f t="shared" si="141"/>
        <v>Valid</v>
      </c>
    </row>
    <row r="681" spans="1:45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 t="str">
        <f t="shared" si="130"/>
        <v>Ok</v>
      </c>
      <c r="AE681" t="str">
        <f>IF(AND(Audit_Data[[#This Row],[Year_Birth]]&gt;=1900,Audit_Data[[#This Row],[Year_Birth]]&lt;=2010),"OK","Invalid")</f>
        <v>OK</v>
      </c>
      <c r="AF681" t="str">
        <f t="shared" si="131"/>
        <v>Valid</v>
      </c>
      <c r="AG681" t="str">
        <f t="shared" si="132"/>
        <v>Valid</v>
      </c>
      <c r="AH681" t="str">
        <f t="shared" si="133"/>
        <v>Valid</v>
      </c>
      <c r="AI681" t="str">
        <f t="shared" si="134"/>
        <v>Valid</v>
      </c>
      <c r="AJ681" t="str">
        <f t="shared" si="135"/>
        <v>Valid</v>
      </c>
      <c r="AK681" t="str">
        <f t="shared" si="142"/>
        <v xml:space="preserve">Valid </v>
      </c>
      <c r="AL681" t="str">
        <f>IF(AND(Audit_Data[[#This Row],[Recency]]&gt;=0,Audit_Data[[#This Row],[Recency]]&lt;=100),"Valid","Invalid")</f>
        <v>Valid</v>
      </c>
      <c r="AM681" t="str">
        <f t="shared" si="136"/>
        <v>Valid</v>
      </c>
      <c r="AN681" t="str">
        <f t="shared" si="137"/>
        <v>Valid</v>
      </c>
      <c r="AO681" t="str">
        <f t="shared" si="138"/>
        <v>Valid</v>
      </c>
      <c r="AP681" t="str">
        <f t="shared" si="139"/>
        <v>Valid</v>
      </c>
      <c r="AQ681" t="str">
        <f>IF(Audit_Data[[#This Row],[Z_CostContact]]=3,"Valid","Invalid")</f>
        <v>Valid</v>
      </c>
      <c r="AR681" t="str">
        <f t="shared" si="140"/>
        <v>Valid</v>
      </c>
      <c r="AS681" t="str">
        <f t="shared" si="141"/>
        <v>Valid</v>
      </c>
    </row>
    <row r="682" spans="1:45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 t="str">
        <f t="shared" si="130"/>
        <v>Ok</v>
      </c>
      <c r="AE682" t="str">
        <f>IF(AND(Audit_Data[[#This Row],[Year_Birth]]&gt;=1900,Audit_Data[[#This Row],[Year_Birth]]&lt;=2010),"OK","Invalid")</f>
        <v>OK</v>
      </c>
      <c r="AF682" t="str">
        <f t="shared" si="131"/>
        <v>Valid</v>
      </c>
      <c r="AG682" t="str">
        <f t="shared" si="132"/>
        <v>Valid</v>
      </c>
      <c r="AH682" t="str">
        <f t="shared" si="133"/>
        <v>Valid</v>
      </c>
      <c r="AI682" t="str">
        <f t="shared" si="134"/>
        <v>Valid</v>
      </c>
      <c r="AJ682" t="str">
        <f t="shared" si="135"/>
        <v>Valid</v>
      </c>
      <c r="AK682" t="str">
        <f t="shared" si="142"/>
        <v xml:space="preserve">Valid </v>
      </c>
      <c r="AL682" t="str">
        <f>IF(AND(Audit_Data[[#This Row],[Recency]]&gt;=0,Audit_Data[[#This Row],[Recency]]&lt;=100),"Valid","Invalid")</f>
        <v>Valid</v>
      </c>
      <c r="AM682" t="str">
        <f t="shared" si="136"/>
        <v>Valid</v>
      </c>
      <c r="AN682" t="str">
        <f t="shared" si="137"/>
        <v>Valid</v>
      </c>
      <c r="AO682" t="str">
        <f t="shared" si="138"/>
        <v>Valid</v>
      </c>
      <c r="AP682" t="str">
        <f t="shared" si="139"/>
        <v>Valid</v>
      </c>
      <c r="AQ682" t="str">
        <f>IF(Audit_Data[[#This Row],[Z_CostContact]]=3,"Valid","Invalid")</f>
        <v>Valid</v>
      </c>
      <c r="AR682" t="str">
        <f t="shared" si="140"/>
        <v>Valid</v>
      </c>
      <c r="AS682" t="str">
        <f t="shared" si="141"/>
        <v>Valid</v>
      </c>
    </row>
    <row r="683" spans="1:45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 t="str">
        <f t="shared" si="130"/>
        <v>Ok</v>
      </c>
      <c r="AE683" t="str">
        <f>IF(AND(Audit_Data[[#This Row],[Year_Birth]]&gt;=1900,Audit_Data[[#This Row],[Year_Birth]]&lt;=2010),"OK","Invalid")</f>
        <v>OK</v>
      </c>
      <c r="AF683" t="str">
        <f t="shared" si="131"/>
        <v>Valid</v>
      </c>
      <c r="AG683" t="str">
        <f t="shared" si="132"/>
        <v>Valid</v>
      </c>
      <c r="AH683" t="str">
        <f t="shared" si="133"/>
        <v>Valid</v>
      </c>
      <c r="AI683" t="str">
        <f t="shared" si="134"/>
        <v>Valid</v>
      </c>
      <c r="AJ683" t="str">
        <f t="shared" si="135"/>
        <v>Valid</v>
      </c>
      <c r="AK683" t="str">
        <f t="shared" si="142"/>
        <v xml:space="preserve">Valid </v>
      </c>
      <c r="AL683" t="str">
        <f>IF(AND(Audit_Data[[#This Row],[Recency]]&gt;=0,Audit_Data[[#This Row],[Recency]]&lt;=100),"Valid","Invalid")</f>
        <v>Valid</v>
      </c>
      <c r="AM683" t="str">
        <f t="shared" si="136"/>
        <v>Valid</v>
      </c>
      <c r="AN683" t="str">
        <f t="shared" si="137"/>
        <v>Valid</v>
      </c>
      <c r="AO683" t="str">
        <f t="shared" si="138"/>
        <v>Valid</v>
      </c>
      <c r="AP683" t="str">
        <f t="shared" si="139"/>
        <v>Valid</v>
      </c>
      <c r="AQ683" t="str">
        <f>IF(Audit_Data[[#This Row],[Z_CostContact]]=3,"Valid","Invalid")</f>
        <v>Valid</v>
      </c>
      <c r="AR683" t="str">
        <f t="shared" si="140"/>
        <v>Valid</v>
      </c>
      <c r="AS683" t="str">
        <f t="shared" si="141"/>
        <v>Valid</v>
      </c>
    </row>
    <row r="684" spans="1:45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 t="str">
        <f t="shared" si="130"/>
        <v>Ok</v>
      </c>
      <c r="AE684" t="str">
        <f>IF(AND(Audit_Data[[#This Row],[Year_Birth]]&gt;=1900,Audit_Data[[#This Row],[Year_Birth]]&lt;=2010),"OK","Invalid")</f>
        <v>OK</v>
      </c>
      <c r="AF684" t="str">
        <f t="shared" si="131"/>
        <v>Valid</v>
      </c>
      <c r="AG684" t="str">
        <f t="shared" si="132"/>
        <v>Valid</v>
      </c>
      <c r="AH684" t="str">
        <f t="shared" si="133"/>
        <v>Valid</v>
      </c>
      <c r="AI684" t="str">
        <f t="shared" si="134"/>
        <v>Valid</v>
      </c>
      <c r="AJ684" t="str">
        <f t="shared" si="135"/>
        <v>Valid</v>
      </c>
      <c r="AK684" t="str">
        <f t="shared" si="142"/>
        <v xml:space="preserve">Valid </v>
      </c>
      <c r="AL684" t="str">
        <f>IF(AND(Audit_Data[[#This Row],[Recency]]&gt;=0,Audit_Data[[#This Row],[Recency]]&lt;=100),"Valid","Invalid")</f>
        <v>Valid</v>
      </c>
      <c r="AM684" t="str">
        <f t="shared" si="136"/>
        <v>Valid</v>
      </c>
      <c r="AN684" t="str">
        <f t="shared" si="137"/>
        <v>Valid</v>
      </c>
      <c r="AO684" t="str">
        <f t="shared" si="138"/>
        <v>Valid</v>
      </c>
      <c r="AP684" t="str">
        <f t="shared" si="139"/>
        <v>Valid</v>
      </c>
      <c r="AQ684" t="str">
        <f>IF(Audit_Data[[#This Row],[Z_CostContact]]=3,"Valid","Invalid")</f>
        <v>Valid</v>
      </c>
      <c r="AR684" t="str">
        <f t="shared" si="140"/>
        <v>Valid</v>
      </c>
      <c r="AS684" t="str">
        <f t="shared" si="141"/>
        <v>Valid</v>
      </c>
    </row>
    <row r="685" spans="1:45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 t="str">
        <f t="shared" si="130"/>
        <v>Ok</v>
      </c>
      <c r="AE685" t="str">
        <f>IF(AND(Audit_Data[[#This Row],[Year_Birth]]&gt;=1900,Audit_Data[[#This Row],[Year_Birth]]&lt;=2010),"OK","Invalid")</f>
        <v>OK</v>
      </c>
      <c r="AF685" t="str">
        <f t="shared" si="131"/>
        <v>Valid</v>
      </c>
      <c r="AG685" t="str">
        <f t="shared" si="132"/>
        <v>Valid</v>
      </c>
      <c r="AH685" t="str">
        <f t="shared" si="133"/>
        <v>Valid</v>
      </c>
      <c r="AI685" t="str">
        <f t="shared" si="134"/>
        <v>Valid</v>
      </c>
      <c r="AJ685" t="str">
        <f t="shared" si="135"/>
        <v>Valid</v>
      </c>
      <c r="AK685" t="str">
        <f t="shared" si="142"/>
        <v xml:space="preserve">Valid </v>
      </c>
      <c r="AL685" t="str">
        <f>IF(AND(Audit_Data[[#This Row],[Recency]]&gt;=0,Audit_Data[[#This Row],[Recency]]&lt;=100),"Valid","Invalid")</f>
        <v>Valid</v>
      </c>
      <c r="AM685" t="str">
        <f t="shared" si="136"/>
        <v>Valid</v>
      </c>
      <c r="AN685" t="str">
        <f t="shared" si="137"/>
        <v>Valid</v>
      </c>
      <c r="AO685" t="str">
        <f t="shared" si="138"/>
        <v>Valid</v>
      </c>
      <c r="AP685" t="str">
        <f t="shared" si="139"/>
        <v>Valid</v>
      </c>
      <c r="AQ685" t="str">
        <f>IF(Audit_Data[[#This Row],[Z_CostContact]]=3,"Valid","Invalid")</f>
        <v>Valid</v>
      </c>
      <c r="AR685" t="str">
        <f t="shared" si="140"/>
        <v>Valid</v>
      </c>
      <c r="AS685" t="str">
        <f t="shared" si="141"/>
        <v>Valid</v>
      </c>
    </row>
    <row r="686" spans="1:45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 t="str">
        <f t="shared" si="130"/>
        <v>Ok</v>
      </c>
      <c r="AE686" t="str">
        <f>IF(AND(Audit_Data[[#This Row],[Year_Birth]]&gt;=1900,Audit_Data[[#This Row],[Year_Birth]]&lt;=2010),"OK","Invalid")</f>
        <v>OK</v>
      </c>
      <c r="AF686" t="str">
        <f t="shared" si="131"/>
        <v>Valid</v>
      </c>
      <c r="AG686" t="str">
        <f t="shared" si="132"/>
        <v>Valid</v>
      </c>
      <c r="AH686" t="str">
        <f t="shared" si="133"/>
        <v>Valid</v>
      </c>
      <c r="AI686" t="str">
        <f t="shared" si="134"/>
        <v>Valid</v>
      </c>
      <c r="AJ686" t="str">
        <f t="shared" si="135"/>
        <v>Valid</v>
      </c>
      <c r="AK686" t="str">
        <f t="shared" si="142"/>
        <v xml:space="preserve">Valid </v>
      </c>
      <c r="AL686" t="str">
        <f>IF(AND(Audit_Data[[#This Row],[Recency]]&gt;=0,Audit_Data[[#This Row],[Recency]]&lt;=100),"Valid","Invalid")</f>
        <v>Valid</v>
      </c>
      <c r="AM686" t="str">
        <f t="shared" si="136"/>
        <v>Valid</v>
      </c>
      <c r="AN686" t="str">
        <f t="shared" si="137"/>
        <v>Valid</v>
      </c>
      <c r="AO686" t="str">
        <f t="shared" si="138"/>
        <v>Valid</v>
      </c>
      <c r="AP686" t="str">
        <f t="shared" si="139"/>
        <v>Valid</v>
      </c>
      <c r="AQ686" t="str">
        <f>IF(Audit_Data[[#This Row],[Z_CostContact]]=3,"Valid","Invalid")</f>
        <v>Valid</v>
      </c>
      <c r="AR686" t="str">
        <f t="shared" si="140"/>
        <v>Valid</v>
      </c>
      <c r="AS686" t="str">
        <f t="shared" si="141"/>
        <v>Valid</v>
      </c>
    </row>
    <row r="687" spans="1:45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 t="str">
        <f t="shared" si="130"/>
        <v>Ok</v>
      </c>
      <c r="AE687" t="str">
        <f>IF(AND(Audit_Data[[#This Row],[Year_Birth]]&gt;=1900,Audit_Data[[#This Row],[Year_Birth]]&lt;=2010),"OK","Invalid")</f>
        <v>OK</v>
      </c>
      <c r="AF687" t="str">
        <f t="shared" si="131"/>
        <v>Valid</v>
      </c>
      <c r="AG687" t="str">
        <f t="shared" si="132"/>
        <v>Valid</v>
      </c>
      <c r="AH687" t="str">
        <f t="shared" si="133"/>
        <v>Valid</v>
      </c>
      <c r="AI687" t="str">
        <f t="shared" si="134"/>
        <v>Valid</v>
      </c>
      <c r="AJ687" t="str">
        <f t="shared" si="135"/>
        <v>Valid</v>
      </c>
      <c r="AK687" t="str">
        <f t="shared" si="142"/>
        <v xml:space="preserve">Valid </v>
      </c>
      <c r="AL687" t="str">
        <f>IF(AND(Audit_Data[[#This Row],[Recency]]&gt;=0,Audit_Data[[#This Row],[Recency]]&lt;=100),"Valid","Invalid")</f>
        <v>Valid</v>
      </c>
      <c r="AM687" t="str">
        <f t="shared" si="136"/>
        <v>Valid</v>
      </c>
      <c r="AN687" t="str">
        <f t="shared" si="137"/>
        <v>Valid</v>
      </c>
      <c r="AO687" t="str">
        <f t="shared" si="138"/>
        <v>Valid</v>
      </c>
      <c r="AP687" t="str">
        <f t="shared" si="139"/>
        <v>Valid</v>
      </c>
      <c r="AQ687" t="str">
        <f>IF(Audit_Data[[#This Row],[Z_CostContact]]=3,"Valid","Invalid")</f>
        <v>Valid</v>
      </c>
      <c r="AR687" t="str">
        <f t="shared" si="140"/>
        <v>Valid</v>
      </c>
      <c r="AS687" t="str">
        <f t="shared" si="141"/>
        <v>Valid</v>
      </c>
    </row>
    <row r="688" spans="1:45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 t="str">
        <f t="shared" si="130"/>
        <v>Ok</v>
      </c>
      <c r="AE688" t="str">
        <f>IF(AND(Audit_Data[[#This Row],[Year_Birth]]&gt;=1900,Audit_Data[[#This Row],[Year_Birth]]&lt;=2010),"OK","Invalid")</f>
        <v>OK</v>
      </c>
      <c r="AF688" t="str">
        <f t="shared" si="131"/>
        <v>Valid</v>
      </c>
      <c r="AG688" t="str">
        <f t="shared" si="132"/>
        <v>Valid</v>
      </c>
      <c r="AH688" t="str">
        <f t="shared" si="133"/>
        <v>Valid</v>
      </c>
      <c r="AI688" t="str">
        <f t="shared" si="134"/>
        <v>Valid</v>
      </c>
      <c r="AJ688" t="str">
        <f t="shared" si="135"/>
        <v>Valid</v>
      </c>
      <c r="AK688" t="str">
        <f t="shared" si="142"/>
        <v xml:space="preserve">Valid </v>
      </c>
      <c r="AL688" t="str">
        <f>IF(AND(Audit_Data[[#This Row],[Recency]]&gt;=0,Audit_Data[[#This Row],[Recency]]&lt;=100),"Valid","Invalid")</f>
        <v>Valid</v>
      </c>
      <c r="AM688" t="str">
        <f t="shared" si="136"/>
        <v>Valid</v>
      </c>
      <c r="AN688" t="str">
        <f t="shared" si="137"/>
        <v>Valid</v>
      </c>
      <c r="AO688" t="str">
        <f t="shared" si="138"/>
        <v>Valid</v>
      </c>
      <c r="AP688" t="str">
        <f t="shared" si="139"/>
        <v>Valid</v>
      </c>
      <c r="AQ688" t="str">
        <f>IF(Audit_Data[[#This Row],[Z_CostContact]]=3,"Valid","Invalid")</f>
        <v>Valid</v>
      </c>
      <c r="AR688" t="str">
        <f t="shared" si="140"/>
        <v>Valid</v>
      </c>
      <c r="AS688" t="str">
        <f t="shared" si="141"/>
        <v>Valid</v>
      </c>
    </row>
    <row r="689" spans="1:45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 t="str">
        <f t="shared" si="130"/>
        <v>Ok</v>
      </c>
      <c r="AE689" t="str">
        <f>IF(AND(Audit_Data[[#This Row],[Year_Birth]]&gt;=1900,Audit_Data[[#This Row],[Year_Birth]]&lt;=2010),"OK","Invalid")</f>
        <v>OK</v>
      </c>
      <c r="AF689" t="str">
        <f t="shared" si="131"/>
        <v>Valid</v>
      </c>
      <c r="AG689" t="str">
        <f t="shared" si="132"/>
        <v>Valid</v>
      </c>
      <c r="AH689" t="str">
        <f t="shared" si="133"/>
        <v>Valid</v>
      </c>
      <c r="AI689" t="str">
        <f t="shared" si="134"/>
        <v>Valid</v>
      </c>
      <c r="AJ689" t="str">
        <f t="shared" si="135"/>
        <v>Valid</v>
      </c>
      <c r="AK689" t="str">
        <f t="shared" si="142"/>
        <v xml:space="preserve">Valid </v>
      </c>
      <c r="AL689" t="str">
        <f>IF(AND(Audit_Data[[#This Row],[Recency]]&gt;=0,Audit_Data[[#This Row],[Recency]]&lt;=100),"Valid","Invalid")</f>
        <v>Valid</v>
      </c>
      <c r="AM689" t="str">
        <f t="shared" si="136"/>
        <v>Valid</v>
      </c>
      <c r="AN689" t="str">
        <f t="shared" si="137"/>
        <v>Valid</v>
      </c>
      <c r="AO689" t="str">
        <f t="shared" si="138"/>
        <v>Valid</v>
      </c>
      <c r="AP689" t="str">
        <f t="shared" si="139"/>
        <v>Valid</v>
      </c>
      <c r="AQ689" t="str">
        <f>IF(Audit_Data[[#This Row],[Z_CostContact]]=3,"Valid","Invalid")</f>
        <v>Valid</v>
      </c>
      <c r="AR689" t="str">
        <f t="shared" si="140"/>
        <v>Valid</v>
      </c>
      <c r="AS689" t="str">
        <f t="shared" si="141"/>
        <v>Valid</v>
      </c>
    </row>
    <row r="690" spans="1:45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 t="str">
        <f t="shared" si="130"/>
        <v>Ok</v>
      </c>
      <c r="AE690" t="str">
        <f>IF(AND(Audit_Data[[#This Row],[Year_Birth]]&gt;=1900,Audit_Data[[#This Row],[Year_Birth]]&lt;=2010),"OK","Invalid")</f>
        <v>OK</v>
      </c>
      <c r="AF690" t="str">
        <f t="shared" si="131"/>
        <v>Valid</v>
      </c>
      <c r="AG690" t="str">
        <f t="shared" si="132"/>
        <v>Valid</v>
      </c>
      <c r="AH690" t="str">
        <f t="shared" si="133"/>
        <v>Valid</v>
      </c>
      <c r="AI690" t="str">
        <f t="shared" si="134"/>
        <v>Valid</v>
      </c>
      <c r="AJ690" t="str">
        <f t="shared" si="135"/>
        <v>Valid</v>
      </c>
      <c r="AK690" t="str">
        <f t="shared" si="142"/>
        <v xml:space="preserve">Valid </v>
      </c>
      <c r="AL690" t="str">
        <f>IF(AND(Audit_Data[[#This Row],[Recency]]&gt;=0,Audit_Data[[#This Row],[Recency]]&lt;=100),"Valid","Invalid")</f>
        <v>Valid</v>
      </c>
      <c r="AM690" t="str">
        <f t="shared" si="136"/>
        <v>Valid</v>
      </c>
      <c r="AN690" t="str">
        <f t="shared" si="137"/>
        <v>Valid</v>
      </c>
      <c r="AO690" t="str">
        <f t="shared" si="138"/>
        <v>Valid</v>
      </c>
      <c r="AP690" t="str">
        <f t="shared" si="139"/>
        <v>Valid</v>
      </c>
      <c r="AQ690" t="str">
        <f>IF(Audit_Data[[#This Row],[Z_CostContact]]=3,"Valid","Invalid")</f>
        <v>Valid</v>
      </c>
      <c r="AR690" t="str">
        <f t="shared" si="140"/>
        <v>Valid</v>
      </c>
      <c r="AS690" t="str">
        <f t="shared" si="141"/>
        <v>Valid</v>
      </c>
    </row>
    <row r="691" spans="1:45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 t="str">
        <f t="shared" si="130"/>
        <v>Ok</v>
      </c>
      <c r="AE691" t="str">
        <f>IF(AND(Audit_Data[[#This Row],[Year_Birth]]&gt;=1900,Audit_Data[[#This Row],[Year_Birth]]&lt;=2010),"OK","Invalid")</f>
        <v>OK</v>
      </c>
      <c r="AF691" t="str">
        <f t="shared" si="131"/>
        <v>Valid</v>
      </c>
      <c r="AG691" t="str">
        <f t="shared" si="132"/>
        <v>Valid</v>
      </c>
      <c r="AH691" t="str">
        <f t="shared" si="133"/>
        <v>Valid</v>
      </c>
      <c r="AI691" t="str">
        <f t="shared" si="134"/>
        <v>Valid</v>
      </c>
      <c r="AJ691" t="str">
        <f t="shared" si="135"/>
        <v>Valid</v>
      </c>
      <c r="AK691" t="str">
        <f t="shared" si="142"/>
        <v xml:space="preserve">Valid </v>
      </c>
      <c r="AL691" t="str">
        <f>IF(AND(Audit_Data[[#This Row],[Recency]]&gt;=0,Audit_Data[[#This Row],[Recency]]&lt;=100),"Valid","Invalid")</f>
        <v>Valid</v>
      </c>
      <c r="AM691" t="str">
        <f t="shared" si="136"/>
        <v>Valid</v>
      </c>
      <c r="AN691" t="str">
        <f t="shared" si="137"/>
        <v>Valid</v>
      </c>
      <c r="AO691" t="str">
        <f t="shared" si="138"/>
        <v>Valid</v>
      </c>
      <c r="AP691" t="str">
        <f t="shared" si="139"/>
        <v>Valid</v>
      </c>
      <c r="AQ691" t="str">
        <f>IF(Audit_Data[[#This Row],[Z_CostContact]]=3,"Valid","Invalid")</f>
        <v>Valid</v>
      </c>
      <c r="AR691" t="str">
        <f t="shared" si="140"/>
        <v>Valid</v>
      </c>
      <c r="AS691" t="str">
        <f t="shared" si="141"/>
        <v>Valid</v>
      </c>
    </row>
    <row r="692" spans="1:45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 t="str">
        <f t="shared" si="130"/>
        <v>Ok</v>
      </c>
      <c r="AE692" t="str">
        <f>IF(AND(Audit_Data[[#This Row],[Year_Birth]]&gt;=1900,Audit_Data[[#This Row],[Year_Birth]]&lt;=2010),"OK","Invalid")</f>
        <v>OK</v>
      </c>
      <c r="AF692" t="str">
        <f t="shared" si="131"/>
        <v>Valid</v>
      </c>
      <c r="AG692" t="str">
        <f t="shared" si="132"/>
        <v>Valid</v>
      </c>
      <c r="AH692" t="str">
        <f t="shared" si="133"/>
        <v>Valid</v>
      </c>
      <c r="AI692" t="str">
        <f t="shared" si="134"/>
        <v>Valid</v>
      </c>
      <c r="AJ692" t="str">
        <f t="shared" si="135"/>
        <v>Valid</v>
      </c>
      <c r="AK692" t="str">
        <f t="shared" si="142"/>
        <v xml:space="preserve">Valid </v>
      </c>
      <c r="AL692" t="str">
        <f>IF(AND(Audit_Data[[#This Row],[Recency]]&gt;=0,Audit_Data[[#This Row],[Recency]]&lt;=100),"Valid","Invalid")</f>
        <v>Valid</v>
      </c>
      <c r="AM692" t="str">
        <f t="shared" si="136"/>
        <v>Valid</v>
      </c>
      <c r="AN692" t="str">
        <f t="shared" si="137"/>
        <v>Valid</v>
      </c>
      <c r="AO692" t="str">
        <f t="shared" si="138"/>
        <v>Valid</v>
      </c>
      <c r="AP692" t="str">
        <f t="shared" si="139"/>
        <v>Valid</v>
      </c>
      <c r="AQ692" t="str">
        <f>IF(Audit_Data[[#This Row],[Z_CostContact]]=3,"Valid","Invalid")</f>
        <v>Valid</v>
      </c>
      <c r="AR692" t="str">
        <f t="shared" si="140"/>
        <v>Valid</v>
      </c>
      <c r="AS692" t="str">
        <f t="shared" si="141"/>
        <v>Valid</v>
      </c>
    </row>
    <row r="693" spans="1:45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 t="str">
        <f t="shared" si="130"/>
        <v>Ok</v>
      </c>
      <c r="AE693" t="str">
        <f>IF(AND(Audit_Data[[#This Row],[Year_Birth]]&gt;=1900,Audit_Data[[#This Row],[Year_Birth]]&lt;=2010),"OK","Invalid")</f>
        <v>OK</v>
      </c>
      <c r="AF693" t="str">
        <f t="shared" si="131"/>
        <v>Valid</v>
      </c>
      <c r="AG693" t="str">
        <f t="shared" si="132"/>
        <v>Valid</v>
      </c>
      <c r="AH693" t="str">
        <f t="shared" si="133"/>
        <v>Valid</v>
      </c>
      <c r="AI693" t="str">
        <f t="shared" si="134"/>
        <v>Valid</v>
      </c>
      <c r="AJ693" t="str">
        <f t="shared" si="135"/>
        <v>Valid</v>
      </c>
      <c r="AK693" t="str">
        <f t="shared" si="142"/>
        <v xml:space="preserve">Valid </v>
      </c>
      <c r="AL693" t="str">
        <f>IF(AND(Audit_Data[[#This Row],[Recency]]&gt;=0,Audit_Data[[#This Row],[Recency]]&lt;=100),"Valid","Invalid")</f>
        <v>Valid</v>
      </c>
      <c r="AM693" t="str">
        <f t="shared" si="136"/>
        <v>Valid</v>
      </c>
      <c r="AN693" t="str">
        <f t="shared" si="137"/>
        <v>Valid</v>
      </c>
      <c r="AO693" t="str">
        <f t="shared" si="138"/>
        <v>Valid</v>
      </c>
      <c r="AP693" t="str">
        <f t="shared" si="139"/>
        <v>Valid</v>
      </c>
      <c r="AQ693" t="str">
        <f>IF(Audit_Data[[#This Row],[Z_CostContact]]=3,"Valid","Invalid")</f>
        <v>Valid</v>
      </c>
      <c r="AR693" t="str">
        <f t="shared" si="140"/>
        <v>Valid</v>
      </c>
      <c r="AS693" t="str">
        <f t="shared" si="141"/>
        <v>Valid</v>
      </c>
    </row>
    <row r="694" spans="1:45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 t="str">
        <f t="shared" si="130"/>
        <v>Ok</v>
      </c>
      <c r="AE694" t="str">
        <f>IF(AND(Audit_Data[[#This Row],[Year_Birth]]&gt;=1900,Audit_Data[[#This Row],[Year_Birth]]&lt;=2010),"OK","Invalid")</f>
        <v>OK</v>
      </c>
      <c r="AF694" t="str">
        <f t="shared" si="131"/>
        <v>Valid</v>
      </c>
      <c r="AG694" t="str">
        <f t="shared" si="132"/>
        <v>Valid</v>
      </c>
      <c r="AH694" t="str">
        <f t="shared" si="133"/>
        <v>Valid</v>
      </c>
      <c r="AI694" t="str">
        <f t="shared" si="134"/>
        <v>Valid</v>
      </c>
      <c r="AJ694" t="str">
        <f t="shared" si="135"/>
        <v>Valid</v>
      </c>
      <c r="AK694" t="str">
        <f t="shared" si="142"/>
        <v xml:space="preserve">Valid </v>
      </c>
      <c r="AL694" t="str">
        <f>IF(AND(Audit_Data[[#This Row],[Recency]]&gt;=0,Audit_Data[[#This Row],[Recency]]&lt;=100),"Valid","Invalid")</f>
        <v>Valid</v>
      </c>
      <c r="AM694" t="str">
        <f t="shared" si="136"/>
        <v>Valid</v>
      </c>
      <c r="AN694" t="str">
        <f t="shared" si="137"/>
        <v>Valid</v>
      </c>
      <c r="AO694" t="str">
        <f t="shared" si="138"/>
        <v>Valid</v>
      </c>
      <c r="AP694" t="str">
        <f t="shared" si="139"/>
        <v>Valid</v>
      </c>
      <c r="AQ694" t="str">
        <f>IF(Audit_Data[[#This Row],[Z_CostContact]]=3,"Valid","Invalid")</f>
        <v>Valid</v>
      </c>
      <c r="AR694" t="str">
        <f t="shared" si="140"/>
        <v>Valid</v>
      </c>
      <c r="AS694" t="str">
        <f t="shared" si="141"/>
        <v>Valid</v>
      </c>
    </row>
    <row r="695" spans="1:45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 t="str">
        <f t="shared" si="130"/>
        <v>Ok</v>
      </c>
      <c r="AE695" t="str">
        <f>IF(AND(Audit_Data[[#This Row],[Year_Birth]]&gt;=1900,Audit_Data[[#This Row],[Year_Birth]]&lt;=2010),"OK","Invalid")</f>
        <v>OK</v>
      </c>
      <c r="AF695" t="str">
        <f t="shared" si="131"/>
        <v>Valid</v>
      </c>
      <c r="AG695" t="str">
        <f t="shared" si="132"/>
        <v>Valid</v>
      </c>
      <c r="AH695" t="str">
        <f t="shared" si="133"/>
        <v>Valid</v>
      </c>
      <c r="AI695" t="str">
        <f t="shared" si="134"/>
        <v>Valid</v>
      </c>
      <c r="AJ695" t="str">
        <f t="shared" si="135"/>
        <v>Valid</v>
      </c>
      <c r="AK695" t="str">
        <f t="shared" si="142"/>
        <v xml:space="preserve">Valid </v>
      </c>
      <c r="AL695" t="str">
        <f>IF(AND(Audit_Data[[#This Row],[Recency]]&gt;=0,Audit_Data[[#This Row],[Recency]]&lt;=100),"Valid","Invalid")</f>
        <v>Valid</v>
      </c>
      <c r="AM695" t="str">
        <f t="shared" si="136"/>
        <v>Valid</v>
      </c>
      <c r="AN695" t="str">
        <f t="shared" si="137"/>
        <v>Valid</v>
      </c>
      <c r="AO695" t="str">
        <f t="shared" si="138"/>
        <v>Valid</v>
      </c>
      <c r="AP695" t="str">
        <f t="shared" si="139"/>
        <v>Valid</v>
      </c>
      <c r="AQ695" t="str">
        <f>IF(Audit_Data[[#This Row],[Z_CostContact]]=3,"Valid","Invalid")</f>
        <v>Valid</v>
      </c>
      <c r="AR695" t="str">
        <f t="shared" si="140"/>
        <v>Valid</v>
      </c>
      <c r="AS695" t="str">
        <f t="shared" si="141"/>
        <v>Valid</v>
      </c>
    </row>
    <row r="696" spans="1:45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 t="str">
        <f t="shared" si="130"/>
        <v>Ok</v>
      </c>
      <c r="AE696" t="str">
        <f>IF(AND(Audit_Data[[#This Row],[Year_Birth]]&gt;=1900,Audit_Data[[#This Row],[Year_Birth]]&lt;=2010),"OK","Invalid")</f>
        <v>OK</v>
      </c>
      <c r="AF696" t="str">
        <f t="shared" si="131"/>
        <v>Valid</v>
      </c>
      <c r="AG696" t="str">
        <f t="shared" si="132"/>
        <v>Valid</v>
      </c>
      <c r="AH696" t="str">
        <f t="shared" si="133"/>
        <v>Valid</v>
      </c>
      <c r="AI696" t="str">
        <f t="shared" si="134"/>
        <v>Valid</v>
      </c>
      <c r="AJ696" t="str">
        <f t="shared" si="135"/>
        <v>Valid</v>
      </c>
      <c r="AK696" t="str">
        <f t="shared" si="142"/>
        <v xml:space="preserve">Valid </v>
      </c>
      <c r="AL696" t="str">
        <f>IF(AND(Audit_Data[[#This Row],[Recency]]&gt;=0,Audit_Data[[#This Row],[Recency]]&lt;=100),"Valid","Invalid")</f>
        <v>Valid</v>
      </c>
      <c r="AM696" t="str">
        <f t="shared" si="136"/>
        <v>Valid</v>
      </c>
      <c r="AN696" t="str">
        <f t="shared" si="137"/>
        <v>Valid</v>
      </c>
      <c r="AO696" t="str">
        <f t="shared" si="138"/>
        <v>Valid</v>
      </c>
      <c r="AP696" t="str">
        <f t="shared" si="139"/>
        <v>Valid</v>
      </c>
      <c r="AQ696" t="str">
        <f>IF(Audit_Data[[#This Row],[Z_CostContact]]=3,"Valid","Invalid")</f>
        <v>Valid</v>
      </c>
      <c r="AR696" t="str">
        <f t="shared" si="140"/>
        <v>Valid</v>
      </c>
      <c r="AS696" t="str">
        <f t="shared" si="141"/>
        <v>Valid</v>
      </c>
    </row>
    <row r="697" spans="1:45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 t="str">
        <f t="shared" si="130"/>
        <v>Ok</v>
      </c>
      <c r="AE697" t="str">
        <f>IF(AND(Audit_Data[[#This Row],[Year_Birth]]&gt;=1900,Audit_Data[[#This Row],[Year_Birth]]&lt;=2010),"OK","Invalid")</f>
        <v>OK</v>
      </c>
      <c r="AF697" t="str">
        <f t="shared" si="131"/>
        <v>Valid</v>
      </c>
      <c r="AG697" t="str">
        <f t="shared" si="132"/>
        <v>Valid</v>
      </c>
      <c r="AH697" t="str">
        <f t="shared" si="133"/>
        <v>Valid</v>
      </c>
      <c r="AI697" t="str">
        <f t="shared" si="134"/>
        <v>Valid</v>
      </c>
      <c r="AJ697" t="str">
        <f t="shared" si="135"/>
        <v>Valid</v>
      </c>
      <c r="AK697" t="str">
        <f t="shared" si="142"/>
        <v xml:space="preserve">Valid </v>
      </c>
      <c r="AL697" t="str">
        <f>IF(AND(Audit_Data[[#This Row],[Recency]]&gt;=0,Audit_Data[[#This Row],[Recency]]&lt;=100),"Valid","Invalid")</f>
        <v>Valid</v>
      </c>
      <c r="AM697" t="str">
        <f t="shared" si="136"/>
        <v>Valid</v>
      </c>
      <c r="AN697" t="str">
        <f t="shared" si="137"/>
        <v>Valid</v>
      </c>
      <c r="AO697" t="str">
        <f t="shared" si="138"/>
        <v>Valid</v>
      </c>
      <c r="AP697" t="str">
        <f t="shared" si="139"/>
        <v>Valid</v>
      </c>
      <c r="AQ697" t="str">
        <f>IF(Audit_Data[[#This Row],[Z_CostContact]]=3,"Valid","Invalid")</f>
        <v>Valid</v>
      </c>
      <c r="AR697" t="str">
        <f t="shared" si="140"/>
        <v>Valid</v>
      </c>
      <c r="AS697" t="str">
        <f t="shared" si="141"/>
        <v>Valid</v>
      </c>
    </row>
    <row r="698" spans="1:45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 t="str">
        <f t="shared" si="130"/>
        <v>Ok</v>
      </c>
      <c r="AE698" t="str">
        <f>IF(AND(Audit_Data[[#This Row],[Year_Birth]]&gt;=1900,Audit_Data[[#This Row],[Year_Birth]]&lt;=2010),"OK","Invalid")</f>
        <v>OK</v>
      </c>
      <c r="AF698" t="str">
        <f t="shared" si="131"/>
        <v>Valid</v>
      </c>
      <c r="AG698" t="str">
        <f t="shared" si="132"/>
        <v>Valid</v>
      </c>
      <c r="AH698" t="str">
        <f t="shared" si="133"/>
        <v>Valid</v>
      </c>
      <c r="AI698" t="str">
        <f t="shared" si="134"/>
        <v>Valid</v>
      </c>
      <c r="AJ698" t="str">
        <f t="shared" si="135"/>
        <v>Valid</v>
      </c>
      <c r="AK698" t="str">
        <f t="shared" si="142"/>
        <v xml:space="preserve">Valid </v>
      </c>
      <c r="AL698" t="str">
        <f>IF(AND(Audit_Data[[#This Row],[Recency]]&gt;=0,Audit_Data[[#This Row],[Recency]]&lt;=100),"Valid","Invalid")</f>
        <v>Valid</v>
      </c>
      <c r="AM698" t="str">
        <f t="shared" si="136"/>
        <v>Valid</v>
      </c>
      <c r="AN698" t="str">
        <f t="shared" si="137"/>
        <v>Valid</v>
      </c>
      <c r="AO698" t="str">
        <f t="shared" si="138"/>
        <v>Valid</v>
      </c>
      <c r="AP698" t="str">
        <f t="shared" si="139"/>
        <v>Valid</v>
      </c>
      <c r="AQ698" t="str">
        <f>IF(Audit_Data[[#This Row],[Z_CostContact]]=3,"Valid","Invalid")</f>
        <v>Valid</v>
      </c>
      <c r="AR698" t="str">
        <f t="shared" si="140"/>
        <v>Valid</v>
      </c>
      <c r="AS698" t="str">
        <f t="shared" si="141"/>
        <v>Valid</v>
      </c>
    </row>
    <row r="699" spans="1:45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 t="str">
        <f t="shared" si="130"/>
        <v>Ok</v>
      </c>
      <c r="AE699" t="str">
        <f>IF(AND(Audit_Data[[#This Row],[Year_Birth]]&gt;=1900,Audit_Data[[#This Row],[Year_Birth]]&lt;=2010),"OK","Invalid")</f>
        <v>OK</v>
      </c>
      <c r="AF699" t="str">
        <f t="shared" si="131"/>
        <v>Valid</v>
      </c>
      <c r="AG699" t="str">
        <f t="shared" si="132"/>
        <v>Valid</v>
      </c>
      <c r="AH699" t="str">
        <f t="shared" si="133"/>
        <v>Valid</v>
      </c>
      <c r="AI699" t="str">
        <f t="shared" si="134"/>
        <v>Valid</v>
      </c>
      <c r="AJ699" t="str">
        <f t="shared" si="135"/>
        <v>Valid</v>
      </c>
      <c r="AK699" t="str">
        <f t="shared" si="142"/>
        <v xml:space="preserve">Valid </v>
      </c>
      <c r="AL699" t="str">
        <f>IF(AND(Audit_Data[[#This Row],[Recency]]&gt;=0,Audit_Data[[#This Row],[Recency]]&lt;=100),"Valid","Invalid")</f>
        <v>Valid</v>
      </c>
      <c r="AM699" t="str">
        <f t="shared" si="136"/>
        <v>Valid</v>
      </c>
      <c r="AN699" t="str">
        <f t="shared" si="137"/>
        <v>Valid</v>
      </c>
      <c r="AO699" t="str">
        <f t="shared" si="138"/>
        <v>Valid</v>
      </c>
      <c r="AP699" t="str">
        <f t="shared" si="139"/>
        <v>Valid</v>
      </c>
      <c r="AQ699" t="str">
        <f>IF(Audit_Data[[#This Row],[Z_CostContact]]=3,"Valid","Invalid")</f>
        <v>Valid</v>
      </c>
      <c r="AR699" t="str">
        <f t="shared" si="140"/>
        <v>Valid</v>
      </c>
      <c r="AS699" t="str">
        <f t="shared" si="141"/>
        <v>Valid</v>
      </c>
    </row>
    <row r="700" spans="1:45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 t="str">
        <f t="shared" si="130"/>
        <v>Ok</v>
      </c>
      <c r="AE700" t="str">
        <f>IF(AND(Audit_Data[[#This Row],[Year_Birth]]&gt;=1900,Audit_Data[[#This Row],[Year_Birth]]&lt;=2010),"OK","Invalid")</f>
        <v>OK</v>
      </c>
      <c r="AF700" t="str">
        <f t="shared" si="131"/>
        <v>Valid</v>
      </c>
      <c r="AG700" t="str">
        <f t="shared" si="132"/>
        <v>Valid</v>
      </c>
      <c r="AH700" t="str">
        <f t="shared" si="133"/>
        <v>Valid</v>
      </c>
      <c r="AI700" t="str">
        <f t="shared" si="134"/>
        <v>Valid</v>
      </c>
      <c r="AJ700" t="str">
        <f t="shared" si="135"/>
        <v>Valid</v>
      </c>
      <c r="AK700" t="str">
        <f t="shared" si="142"/>
        <v xml:space="preserve">Valid </v>
      </c>
      <c r="AL700" t="str">
        <f>IF(AND(Audit_Data[[#This Row],[Recency]]&gt;=0,Audit_Data[[#This Row],[Recency]]&lt;=100),"Valid","Invalid")</f>
        <v>Valid</v>
      </c>
      <c r="AM700" t="str">
        <f t="shared" si="136"/>
        <v>Valid</v>
      </c>
      <c r="AN700" t="str">
        <f t="shared" si="137"/>
        <v>Valid</v>
      </c>
      <c r="AO700" t="str">
        <f t="shared" si="138"/>
        <v>Valid</v>
      </c>
      <c r="AP700" t="str">
        <f t="shared" si="139"/>
        <v>Valid</v>
      </c>
      <c r="AQ700" t="str">
        <f>IF(Audit_Data[[#This Row],[Z_CostContact]]=3,"Valid","Invalid")</f>
        <v>Valid</v>
      </c>
      <c r="AR700" t="str">
        <f t="shared" si="140"/>
        <v>Valid</v>
      </c>
      <c r="AS700" t="str">
        <f t="shared" si="141"/>
        <v>Valid</v>
      </c>
    </row>
    <row r="701" spans="1:45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 t="str">
        <f t="shared" si="130"/>
        <v>Ok</v>
      </c>
      <c r="AE701" t="str">
        <f>IF(AND(Audit_Data[[#This Row],[Year_Birth]]&gt;=1900,Audit_Data[[#This Row],[Year_Birth]]&lt;=2010),"OK","Invalid")</f>
        <v>OK</v>
      </c>
      <c r="AF701" t="str">
        <f t="shared" si="131"/>
        <v>Valid</v>
      </c>
      <c r="AG701" t="str">
        <f t="shared" si="132"/>
        <v>Valid</v>
      </c>
      <c r="AH701" t="str">
        <f t="shared" si="133"/>
        <v>Valid</v>
      </c>
      <c r="AI701" t="str">
        <f t="shared" si="134"/>
        <v>Valid</v>
      </c>
      <c r="AJ701" t="str">
        <f t="shared" si="135"/>
        <v>Valid</v>
      </c>
      <c r="AK701" t="str">
        <f t="shared" si="142"/>
        <v xml:space="preserve">Valid </v>
      </c>
      <c r="AL701" t="str">
        <f>IF(AND(Audit_Data[[#This Row],[Recency]]&gt;=0,Audit_Data[[#This Row],[Recency]]&lt;=100),"Valid","Invalid")</f>
        <v>Valid</v>
      </c>
      <c r="AM701" t="str">
        <f t="shared" si="136"/>
        <v>Valid</v>
      </c>
      <c r="AN701" t="str">
        <f t="shared" si="137"/>
        <v>Valid</v>
      </c>
      <c r="AO701" t="str">
        <f t="shared" si="138"/>
        <v>Valid</v>
      </c>
      <c r="AP701" t="str">
        <f t="shared" si="139"/>
        <v>Valid</v>
      </c>
      <c r="AQ701" t="str">
        <f>IF(Audit_Data[[#This Row],[Z_CostContact]]=3,"Valid","Invalid")</f>
        <v>Valid</v>
      </c>
      <c r="AR701" t="str">
        <f t="shared" si="140"/>
        <v>Valid</v>
      </c>
      <c r="AS701" t="str">
        <f t="shared" si="141"/>
        <v>Valid</v>
      </c>
    </row>
    <row r="702" spans="1:45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 t="str">
        <f t="shared" si="130"/>
        <v>Ok</v>
      </c>
      <c r="AE702" t="str">
        <f>IF(AND(Audit_Data[[#This Row],[Year_Birth]]&gt;=1900,Audit_Data[[#This Row],[Year_Birth]]&lt;=2010),"OK","Invalid")</f>
        <v>OK</v>
      </c>
      <c r="AF702" t="str">
        <f t="shared" si="131"/>
        <v>Valid</v>
      </c>
      <c r="AG702" t="str">
        <f t="shared" si="132"/>
        <v>Valid</v>
      </c>
      <c r="AH702" t="str">
        <f t="shared" si="133"/>
        <v>Valid</v>
      </c>
      <c r="AI702" t="str">
        <f t="shared" si="134"/>
        <v>Valid</v>
      </c>
      <c r="AJ702" t="str">
        <f t="shared" si="135"/>
        <v>Valid</v>
      </c>
      <c r="AK702" t="str">
        <f t="shared" si="142"/>
        <v xml:space="preserve">Valid </v>
      </c>
      <c r="AL702" t="str">
        <f>IF(AND(Audit_Data[[#This Row],[Recency]]&gt;=0,Audit_Data[[#This Row],[Recency]]&lt;=100),"Valid","Invalid")</f>
        <v>Valid</v>
      </c>
      <c r="AM702" t="str">
        <f t="shared" si="136"/>
        <v>Valid</v>
      </c>
      <c r="AN702" t="str">
        <f t="shared" si="137"/>
        <v>Valid</v>
      </c>
      <c r="AO702" t="str">
        <f t="shared" si="138"/>
        <v>Valid</v>
      </c>
      <c r="AP702" t="str">
        <f t="shared" si="139"/>
        <v>Valid</v>
      </c>
      <c r="AQ702" t="str">
        <f>IF(Audit_Data[[#This Row],[Z_CostContact]]=3,"Valid","Invalid")</f>
        <v>Valid</v>
      </c>
      <c r="AR702" t="str">
        <f t="shared" si="140"/>
        <v>Valid</v>
      </c>
      <c r="AS702" t="str">
        <f t="shared" si="141"/>
        <v>Valid</v>
      </c>
    </row>
    <row r="703" spans="1:45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 t="str">
        <f t="shared" si="130"/>
        <v>Ok</v>
      </c>
      <c r="AE703" t="str">
        <f>IF(AND(Audit_Data[[#This Row],[Year_Birth]]&gt;=1900,Audit_Data[[#This Row],[Year_Birth]]&lt;=2010),"OK","Invalid")</f>
        <v>OK</v>
      </c>
      <c r="AF703" t="str">
        <f t="shared" si="131"/>
        <v>Valid</v>
      </c>
      <c r="AG703" t="str">
        <f t="shared" si="132"/>
        <v>Valid</v>
      </c>
      <c r="AH703" t="str">
        <f t="shared" si="133"/>
        <v>Valid</v>
      </c>
      <c r="AI703" t="str">
        <f t="shared" si="134"/>
        <v>Valid</v>
      </c>
      <c r="AJ703" t="str">
        <f t="shared" si="135"/>
        <v>Valid</v>
      </c>
      <c r="AK703" t="str">
        <f t="shared" si="142"/>
        <v xml:space="preserve">Valid </v>
      </c>
      <c r="AL703" t="str">
        <f>IF(AND(Audit_Data[[#This Row],[Recency]]&gt;=0,Audit_Data[[#This Row],[Recency]]&lt;=100),"Valid","Invalid")</f>
        <v>Valid</v>
      </c>
      <c r="AM703" t="str">
        <f t="shared" si="136"/>
        <v>Valid</v>
      </c>
      <c r="AN703" t="str">
        <f t="shared" si="137"/>
        <v>Valid</v>
      </c>
      <c r="AO703" t="str">
        <f t="shared" si="138"/>
        <v>Valid</v>
      </c>
      <c r="AP703" t="str">
        <f t="shared" si="139"/>
        <v>Valid</v>
      </c>
      <c r="AQ703" t="str">
        <f>IF(Audit_Data[[#This Row],[Z_CostContact]]=3,"Valid","Invalid")</f>
        <v>Valid</v>
      </c>
      <c r="AR703" t="str">
        <f t="shared" si="140"/>
        <v>Valid</v>
      </c>
      <c r="AS703" t="str">
        <f t="shared" si="141"/>
        <v>Valid</v>
      </c>
    </row>
    <row r="704" spans="1:45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 t="str">
        <f t="shared" si="130"/>
        <v>Ok</v>
      </c>
      <c r="AE704" t="str">
        <f>IF(AND(Audit_Data[[#This Row],[Year_Birth]]&gt;=1900,Audit_Data[[#This Row],[Year_Birth]]&lt;=2010),"OK","Invalid")</f>
        <v>OK</v>
      </c>
      <c r="AF704" t="str">
        <f t="shared" si="131"/>
        <v>Valid</v>
      </c>
      <c r="AG704" t="str">
        <f t="shared" si="132"/>
        <v>Valid</v>
      </c>
      <c r="AH704" t="str">
        <f t="shared" si="133"/>
        <v>Valid</v>
      </c>
      <c r="AI704" t="str">
        <f t="shared" si="134"/>
        <v>Valid</v>
      </c>
      <c r="AJ704" t="str">
        <f t="shared" si="135"/>
        <v>Valid</v>
      </c>
      <c r="AK704" t="str">
        <f t="shared" si="142"/>
        <v xml:space="preserve">Valid </v>
      </c>
      <c r="AL704" t="str">
        <f>IF(AND(Audit_Data[[#This Row],[Recency]]&gt;=0,Audit_Data[[#This Row],[Recency]]&lt;=100),"Valid","Invalid")</f>
        <v>Valid</v>
      </c>
      <c r="AM704" t="str">
        <f t="shared" si="136"/>
        <v>Valid</v>
      </c>
      <c r="AN704" t="str">
        <f t="shared" si="137"/>
        <v>Valid</v>
      </c>
      <c r="AO704" t="str">
        <f t="shared" si="138"/>
        <v>Valid</v>
      </c>
      <c r="AP704" t="str">
        <f t="shared" si="139"/>
        <v>Valid</v>
      </c>
      <c r="AQ704" t="str">
        <f>IF(Audit_Data[[#This Row],[Z_CostContact]]=3,"Valid","Invalid")</f>
        <v>Valid</v>
      </c>
      <c r="AR704" t="str">
        <f t="shared" si="140"/>
        <v>Valid</v>
      </c>
      <c r="AS704" t="str">
        <f t="shared" si="141"/>
        <v>Valid</v>
      </c>
    </row>
    <row r="705" spans="1:45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 t="str">
        <f t="shared" si="130"/>
        <v>Ok</v>
      </c>
      <c r="AE705" t="str">
        <f>IF(AND(Audit_Data[[#This Row],[Year_Birth]]&gt;=1900,Audit_Data[[#This Row],[Year_Birth]]&lt;=2010),"OK","Invalid")</f>
        <v>OK</v>
      </c>
      <c r="AF705" t="str">
        <f t="shared" si="131"/>
        <v>Valid</v>
      </c>
      <c r="AG705" t="str">
        <f t="shared" si="132"/>
        <v>Valid</v>
      </c>
      <c r="AH705" t="str">
        <f t="shared" si="133"/>
        <v>Valid</v>
      </c>
      <c r="AI705" t="str">
        <f t="shared" si="134"/>
        <v>Valid</v>
      </c>
      <c r="AJ705" t="str">
        <f t="shared" si="135"/>
        <v>Valid</v>
      </c>
      <c r="AK705" t="str">
        <f t="shared" si="142"/>
        <v xml:space="preserve">Valid </v>
      </c>
      <c r="AL705" t="str">
        <f>IF(AND(Audit_Data[[#This Row],[Recency]]&gt;=0,Audit_Data[[#This Row],[Recency]]&lt;=100),"Valid","Invalid")</f>
        <v>Valid</v>
      </c>
      <c r="AM705" t="str">
        <f t="shared" si="136"/>
        <v>Valid</v>
      </c>
      <c r="AN705" t="str">
        <f t="shared" si="137"/>
        <v>Valid</v>
      </c>
      <c r="AO705" t="str">
        <f t="shared" si="138"/>
        <v>Valid</v>
      </c>
      <c r="AP705" t="str">
        <f t="shared" si="139"/>
        <v>Valid</v>
      </c>
      <c r="AQ705" t="str">
        <f>IF(Audit_Data[[#This Row],[Z_CostContact]]=3,"Valid","Invalid")</f>
        <v>Valid</v>
      </c>
      <c r="AR705" t="str">
        <f t="shared" si="140"/>
        <v>Valid</v>
      </c>
      <c r="AS705" t="str">
        <f t="shared" si="141"/>
        <v>Valid</v>
      </c>
    </row>
    <row r="706" spans="1:45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 t="str">
        <f t="shared" ref="AD706:AD769" si="143">IF(COUNTIF(A:A,A706)&gt;1,"Duplicate","Ok")</f>
        <v>Ok</v>
      </c>
      <c r="AE706" t="str">
        <f>IF(AND(Audit_Data[[#This Row],[Year_Birth]]&gt;=1900,Audit_Data[[#This Row],[Year_Birth]]&lt;=2010),"OK","Invalid")</f>
        <v>OK</v>
      </c>
      <c r="AF706" t="str">
        <f t="shared" ref="AF706:AF769" si="144">IF(OR(C706="Graduation",C706="phD",C706="Master",C706="Basic",C706="2n Cycle"),"Valid","Invalid")</f>
        <v>Valid</v>
      </c>
      <c r="AG706" t="str">
        <f t="shared" ref="AG706:AG769" si="145">IF(OR(D706="Single",D706="Married",D706="Divorced",D706="Together",D706="Widow",D706="Alone"),"Valid","Invalid")</f>
        <v>Valid</v>
      </c>
      <c r="AH706" t="str">
        <f t="shared" ref="AH706:AH769" si="146">IF(AND(ISNUMBER(E706),E706&lt;&gt;""),"Valid","Invalid")</f>
        <v>Valid</v>
      </c>
      <c r="AI706" t="str">
        <f t="shared" ref="AI706:AI769" si="147">IF(AND(F706&gt;=0,F706&lt;=2),"Valid","Invalid")</f>
        <v>Valid</v>
      </c>
      <c r="AJ706" t="str">
        <f t="shared" ref="AJ706:AJ769" si="148">IF(AND(G706&gt;=0,G706&lt;=2),"Valid","Invalid")</f>
        <v>Valid</v>
      </c>
      <c r="AK706" t="str">
        <f t="shared" si="142"/>
        <v xml:space="preserve">Valid </v>
      </c>
      <c r="AL706" t="str">
        <f>IF(AND(Audit_Data[[#This Row],[Recency]]&gt;=0,Audit_Data[[#This Row],[Recency]]&lt;=100),"Valid","Invalid")</f>
        <v>Valid</v>
      </c>
      <c r="AM706" t="str">
        <f t="shared" ref="AM706:AM769" si="149">IF(AND(ISNUMBER(J706),J706&gt;=0,ISNUMBER(K706),K706&gt;=0,ISNUMBER(L706),L706&gt;=0,ISNUMBER(M706),M706&gt;=0,ISNUMBER(N706),N706&gt;=0,ISNUMBER(O706),O706&gt;=0),"Valid","Invalid")</f>
        <v>Valid</v>
      </c>
      <c r="AN706" t="str">
        <f t="shared" ref="AN706:AN769" si="150">IF(AND(ISNUMBER(P706),P706&gt;=0,ISNUMBER(Q706),Q706&gt;=0,ISNUMBER(R706),R706&gt;=0,ISNUMBER(S706),S706&gt;=0,ISNUMBER(T706),T706&gt;=0),"Valid","Invalid")</f>
        <v>Valid</v>
      </c>
      <c r="AO706" t="str">
        <f t="shared" ref="AO706:AO769" si="151">IF(AND(U706&lt;=1,V706&lt;=1,W706&lt;=1,X706&lt;=1,Y706&lt;=1),"Valid","Invalid")</f>
        <v>Valid</v>
      </c>
      <c r="AP706" t="str">
        <f t="shared" ref="AP706:AP769" si="152">IF(OR(Z706=0,Z706=1),"Valid","Invalid")</f>
        <v>Valid</v>
      </c>
      <c r="AQ706" t="str">
        <f>IF(Audit_Data[[#This Row],[Z_CostContact]]=3,"Valid","Invalid")</f>
        <v>Valid</v>
      </c>
      <c r="AR706" t="str">
        <f t="shared" ref="AR706:AR769" si="153">IF(AB706=11,"Valid","Invalid")</f>
        <v>Valid</v>
      </c>
      <c r="AS706" t="str">
        <f t="shared" ref="AS706:AS769" si="154">IF(OR(AC706=0,AC706=1),"Valid","Invalid")</f>
        <v>Valid</v>
      </c>
    </row>
    <row r="707" spans="1:45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 t="str">
        <f t="shared" si="143"/>
        <v>Ok</v>
      </c>
      <c r="AE707" t="str">
        <f>IF(AND(Audit_Data[[#This Row],[Year_Birth]]&gt;=1900,Audit_Data[[#This Row],[Year_Birth]]&lt;=2010),"OK","Invalid")</f>
        <v>OK</v>
      </c>
      <c r="AF707" t="str">
        <f t="shared" si="144"/>
        <v>Valid</v>
      </c>
      <c r="AG707" t="str">
        <f t="shared" si="145"/>
        <v>Valid</v>
      </c>
      <c r="AH707" t="str">
        <f t="shared" si="146"/>
        <v>Valid</v>
      </c>
      <c r="AI707" t="str">
        <f t="shared" si="147"/>
        <v>Valid</v>
      </c>
      <c r="AJ707" t="str">
        <f t="shared" si="148"/>
        <v>Valid</v>
      </c>
      <c r="AK707" t="str">
        <f t="shared" ref="AK707:AK770" si="155">IF(AND(ISNUMBER(H707),H707&gt;=DATE(2012,1,1),H707&lt;=DATE(2014,12,31)),"Valid ","Invalid")</f>
        <v xml:space="preserve">Valid </v>
      </c>
      <c r="AL707" t="str">
        <f>IF(AND(Audit_Data[[#This Row],[Recency]]&gt;=0,Audit_Data[[#This Row],[Recency]]&lt;=100),"Valid","Invalid")</f>
        <v>Valid</v>
      </c>
      <c r="AM707" t="str">
        <f t="shared" si="149"/>
        <v>Valid</v>
      </c>
      <c r="AN707" t="str">
        <f t="shared" si="150"/>
        <v>Valid</v>
      </c>
      <c r="AO707" t="str">
        <f t="shared" si="151"/>
        <v>Valid</v>
      </c>
      <c r="AP707" t="str">
        <f t="shared" si="152"/>
        <v>Valid</v>
      </c>
      <c r="AQ707" t="str">
        <f>IF(Audit_Data[[#This Row],[Z_CostContact]]=3,"Valid","Invalid")</f>
        <v>Valid</v>
      </c>
      <c r="AR707" t="str">
        <f t="shared" si="153"/>
        <v>Valid</v>
      </c>
      <c r="AS707" t="str">
        <f t="shared" si="154"/>
        <v>Valid</v>
      </c>
    </row>
    <row r="708" spans="1:45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 t="str">
        <f t="shared" si="143"/>
        <v>Ok</v>
      </c>
      <c r="AE708" t="str">
        <f>IF(AND(Audit_Data[[#This Row],[Year_Birth]]&gt;=1900,Audit_Data[[#This Row],[Year_Birth]]&lt;=2010),"OK","Invalid")</f>
        <v>OK</v>
      </c>
      <c r="AF708" t="str">
        <f t="shared" si="144"/>
        <v>Valid</v>
      </c>
      <c r="AG708" t="str">
        <f t="shared" si="145"/>
        <v>Valid</v>
      </c>
      <c r="AH708" t="str">
        <f t="shared" si="146"/>
        <v>Valid</v>
      </c>
      <c r="AI708" t="str">
        <f t="shared" si="147"/>
        <v>Valid</v>
      </c>
      <c r="AJ708" t="str">
        <f t="shared" si="148"/>
        <v>Valid</v>
      </c>
      <c r="AK708" t="str">
        <f t="shared" si="155"/>
        <v xml:space="preserve">Valid </v>
      </c>
      <c r="AL708" t="str">
        <f>IF(AND(Audit_Data[[#This Row],[Recency]]&gt;=0,Audit_Data[[#This Row],[Recency]]&lt;=100),"Valid","Invalid")</f>
        <v>Valid</v>
      </c>
      <c r="AM708" t="str">
        <f t="shared" si="149"/>
        <v>Valid</v>
      </c>
      <c r="AN708" t="str">
        <f t="shared" si="150"/>
        <v>Valid</v>
      </c>
      <c r="AO708" t="str">
        <f t="shared" si="151"/>
        <v>Valid</v>
      </c>
      <c r="AP708" t="str">
        <f t="shared" si="152"/>
        <v>Valid</v>
      </c>
      <c r="AQ708" t="str">
        <f>IF(Audit_Data[[#This Row],[Z_CostContact]]=3,"Valid","Invalid")</f>
        <v>Valid</v>
      </c>
      <c r="AR708" t="str">
        <f t="shared" si="153"/>
        <v>Valid</v>
      </c>
      <c r="AS708" t="str">
        <f t="shared" si="154"/>
        <v>Valid</v>
      </c>
    </row>
    <row r="709" spans="1:45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 t="str">
        <f t="shared" si="143"/>
        <v>Ok</v>
      </c>
      <c r="AE709" t="str">
        <f>IF(AND(Audit_Data[[#This Row],[Year_Birth]]&gt;=1900,Audit_Data[[#This Row],[Year_Birth]]&lt;=2010),"OK","Invalid")</f>
        <v>OK</v>
      </c>
      <c r="AF709" t="str">
        <f t="shared" si="144"/>
        <v>Valid</v>
      </c>
      <c r="AG709" t="str">
        <f t="shared" si="145"/>
        <v>Valid</v>
      </c>
      <c r="AH709" t="str">
        <f t="shared" si="146"/>
        <v>Valid</v>
      </c>
      <c r="AI709" t="str">
        <f t="shared" si="147"/>
        <v>Valid</v>
      </c>
      <c r="AJ709" t="str">
        <f t="shared" si="148"/>
        <v>Valid</v>
      </c>
      <c r="AK709" t="str">
        <f t="shared" si="155"/>
        <v xml:space="preserve">Valid </v>
      </c>
      <c r="AL709" t="str">
        <f>IF(AND(Audit_Data[[#This Row],[Recency]]&gt;=0,Audit_Data[[#This Row],[Recency]]&lt;=100),"Valid","Invalid")</f>
        <v>Valid</v>
      </c>
      <c r="AM709" t="str">
        <f t="shared" si="149"/>
        <v>Valid</v>
      </c>
      <c r="AN709" t="str">
        <f t="shared" si="150"/>
        <v>Valid</v>
      </c>
      <c r="AO709" t="str">
        <f t="shared" si="151"/>
        <v>Valid</v>
      </c>
      <c r="AP709" t="str">
        <f t="shared" si="152"/>
        <v>Valid</v>
      </c>
      <c r="AQ709" t="str">
        <f>IF(Audit_Data[[#This Row],[Z_CostContact]]=3,"Valid","Invalid")</f>
        <v>Valid</v>
      </c>
      <c r="AR709" t="str">
        <f t="shared" si="153"/>
        <v>Valid</v>
      </c>
      <c r="AS709" t="str">
        <f t="shared" si="154"/>
        <v>Valid</v>
      </c>
    </row>
    <row r="710" spans="1:45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 t="str">
        <f t="shared" si="143"/>
        <v>Ok</v>
      </c>
      <c r="AE710" t="str">
        <f>IF(AND(Audit_Data[[#This Row],[Year_Birth]]&gt;=1900,Audit_Data[[#This Row],[Year_Birth]]&lt;=2010),"OK","Invalid")</f>
        <v>OK</v>
      </c>
      <c r="AF710" t="str">
        <f t="shared" si="144"/>
        <v>Valid</v>
      </c>
      <c r="AG710" t="str">
        <f t="shared" si="145"/>
        <v>Valid</v>
      </c>
      <c r="AH710" t="str">
        <f t="shared" si="146"/>
        <v>Valid</v>
      </c>
      <c r="AI710" t="str">
        <f t="shared" si="147"/>
        <v>Valid</v>
      </c>
      <c r="AJ710" t="str">
        <f t="shared" si="148"/>
        <v>Valid</v>
      </c>
      <c r="AK710" t="str">
        <f t="shared" si="155"/>
        <v xml:space="preserve">Valid </v>
      </c>
      <c r="AL710" t="str">
        <f>IF(AND(Audit_Data[[#This Row],[Recency]]&gt;=0,Audit_Data[[#This Row],[Recency]]&lt;=100),"Valid","Invalid")</f>
        <v>Valid</v>
      </c>
      <c r="AM710" t="str">
        <f t="shared" si="149"/>
        <v>Valid</v>
      </c>
      <c r="AN710" t="str">
        <f t="shared" si="150"/>
        <v>Valid</v>
      </c>
      <c r="AO710" t="str">
        <f t="shared" si="151"/>
        <v>Valid</v>
      </c>
      <c r="AP710" t="str">
        <f t="shared" si="152"/>
        <v>Valid</v>
      </c>
      <c r="AQ710" t="str">
        <f>IF(Audit_Data[[#This Row],[Z_CostContact]]=3,"Valid","Invalid")</f>
        <v>Valid</v>
      </c>
      <c r="AR710" t="str">
        <f t="shared" si="153"/>
        <v>Valid</v>
      </c>
      <c r="AS710" t="str">
        <f t="shared" si="154"/>
        <v>Valid</v>
      </c>
    </row>
    <row r="711" spans="1:45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 t="str">
        <f t="shared" si="143"/>
        <v>Ok</v>
      </c>
      <c r="AE711" t="str">
        <f>IF(AND(Audit_Data[[#This Row],[Year_Birth]]&gt;=1900,Audit_Data[[#This Row],[Year_Birth]]&lt;=2010),"OK","Invalid")</f>
        <v>OK</v>
      </c>
      <c r="AF711" t="str">
        <f t="shared" si="144"/>
        <v>Valid</v>
      </c>
      <c r="AG711" t="str">
        <f t="shared" si="145"/>
        <v>Valid</v>
      </c>
      <c r="AH711" t="str">
        <f t="shared" si="146"/>
        <v>Valid</v>
      </c>
      <c r="AI711" t="str">
        <f t="shared" si="147"/>
        <v>Valid</v>
      </c>
      <c r="AJ711" t="str">
        <f t="shared" si="148"/>
        <v>Valid</v>
      </c>
      <c r="AK711" t="str">
        <f t="shared" si="155"/>
        <v xml:space="preserve">Valid </v>
      </c>
      <c r="AL711" t="str">
        <f>IF(AND(Audit_Data[[#This Row],[Recency]]&gt;=0,Audit_Data[[#This Row],[Recency]]&lt;=100),"Valid","Invalid")</f>
        <v>Valid</v>
      </c>
      <c r="AM711" t="str">
        <f t="shared" si="149"/>
        <v>Valid</v>
      </c>
      <c r="AN711" t="str">
        <f t="shared" si="150"/>
        <v>Valid</v>
      </c>
      <c r="AO711" t="str">
        <f t="shared" si="151"/>
        <v>Valid</v>
      </c>
      <c r="AP711" t="str">
        <f t="shared" si="152"/>
        <v>Valid</v>
      </c>
      <c r="AQ711" t="str">
        <f>IF(Audit_Data[[#This Row],[Z_CostContact]]=3,"Valid","Invalid")</f>
        <v>Valid</v>
      </c>
      <c r="AR711" t="str">
        <f t="shared" si="153"/>
        <v>Valid</v>
      </c>
      <c r="AS711" t="str">
        <f t="shared" si="154"/>
        <v>Valid</v>
      </c>
    </row>
    <row r="712" spans="1:45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 t="str">
        <f t="shared" si="143"/>
        <v>Ok</v>
      </c>
      <c r="AE712" t="str">
        <f>IF(AND(Audit_Data[[#This Row],[Year_Birth]]&gt;=1900,Audit_Data[[#This Row],[Year_Birth]]&lt;=2010),"OK","Invalid")</f>
        <v>OK</v>
      </c>
      <c r="AF712" t="str">
        <f t="shared" si="144"/>
        <v>Valid</v>
      </c>
      <c r="AG712" t="str">
        <f t="shared" si="145"/>
        <v>Valid</v>
      </c>
      <c r="AH712" t="str">
        <f t="shared" si="146"/>
        <v>Valid</v>
      </c>
      <c r="AI712" t="str">
        <f t="shared" si="147"/>
        <v>Valid</v>
      </c>
      <c r="AJ712" t="str">
        <f t="shared" si="148"/>
        <v>Valid</v>
      </c>
      <c r="AK712" t="str">
        <f t="shared" si="155"/>
        <v xml:space="preserve">Valid </v>
      </c>
      <c r="AL712" t="str">
        <f>IF(AND(Audit_Data[[#This Row],[Recency]]&gt;=0,Audit_Data[[#This Row],[Recency]]&lt;=100),"Valid","Invalid")</f>
        <v>Valid</v>
      </c>
      <c r="AM712" t="str">
        <f t="shared" si="149"/>
        <v>Valid</v>
      </c>
      <c r="AN712" t="str">
        <f t="shared" si="150"/>
        <v>Valid</v>
      </c>
      <c r="AO712" t="str">
        <f t="shared" si="151"/>
        <v>Valid</v>
      </c>
      <c r="AP712" t="str">
        <f t="shared" si="152"/>
        <v>Valid</v>
      </c>
      <c r="AQ712" t="str">
        <f>IF(Audit_Data[[#This Row],[Z_CostContact]]=3,"Valid","Invalid")</f>
        <v>Valid</v>
      </c>
      <c r="AR712" t="str">
        <f t="shared" si="153"/>
        <v>Valid</v>
      </c>
      <c r="AS712" t="str">
        <f t="shared" si="154"/>
        <v>Valid</v>
      </c>
    </row>
    <row r="713" spans="1:45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 t="str">
        <f t="shared" si="143"/>
        <v>Ok</v>
      </c>
      <c r="AE713" t="str">
        <f>IF(AND(Audit_Data[[#This Row],[Year_Birth]]&gt;=1900,Audit_Data[[#This Row],[Year_Birth]]&lt;=2010),"OK","Invalid")</f>
        <v>OK</v>
      </c>
      <c r="AF713" t="str">
        <f t="shared" si="144"/>
        <v>Valid</v>
      </c>
      <c r="AG713" t="str">
        <f t="shared" si="145"/>
        <v>Valid</v>
      </c>
      <c r="AH713" t="str">
        <f t="shared" si="146"/>
        <v>Valid</v>
      </c>
      <c r="AI713" t="str">
        <f t="shared" si="147"/>
        <v>Valid</v>
      </c>
      <c r="AJ713" t="str">
        <f t="shared" si="148"/>
        <v>Valid</v>
      </c>
      <c r="AK713" t="str">
        <f t="shared" si="155"/>
        <v xml:space="preserve">Valid </v>
      </c>
      <c r="AL713" t="str">
        <f>IF(AND(Audit_Data[[#This Row],[Recency]]&gt;=0,Audit_Data[[#This Row],[Recency]]&lt;=100),"Valid","Invalid")</f>
        <v>Valid</v>
      </c>
      <c r="AM713" t="str">
        <f t="shared" si="149"/>
        <v>Valid</v>
      </c>
      <c r="AN713" t="str">
        <f t="shared" si="150"/>
        <v>Valid</v>
      </c>
      <c r="AO713" t="str">
        <f t="shared" si="151"/>
        <v>Valid</v>
      </c>
      <c r="AP713" t="str">
        <f t="shared" si="152"/>
        <v>Valid</v>
      </c>
      <c r="AQ713" t="str">
        <f>IF(Audit_Data[[#This Row],[Z_CostContact]]=3,"Valid","Invalid")</f>
        <v>Valid</v>
      </c>
      <c r="AR713" t="str">
        <f t="shared" si="153"/>
        <v>Valid</v>
      </c>
      <c r="AS713" t="str">
        <f t="shared" si="154"/>
        <v>Valid</v>
      </c>
    </row>
    <row r="714" spans="1:45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 t="str">
        <f t="shared" si="143"/>
        <v>Ok</v>
      </c>
      <c r="AE714" t="str">
        <f>IF(AND(Audit_Data[[#This Row],[Year_Birth]]&gt;=1900,Audit_Data[[#This Row],[Year_Birth]]&lt;=2010),"OK","Invalid")</f>
        <v>OK</v>
      </c>
      <c r="AF714" t="str">
        <f t="shared" si="144"/>
        <v>Valid</v>
      </c>
      <c r="AG714" t="str">
        <f t="shared" si="145"/>
        <v>Valid</v>
      </c>
      <c r="AH714" t="str">
        <f t="shared" si="146"/>
        <v>Valid</v>
      </c>
      <c r="AI714" t="str">
        <f t="shared" si="147"/>
        <v>Valid</v>
      </c>
      <c r="AJ714" t="str">
        <f t="shared" si="148"/>
        <v>Valid</v>
      </c>
      <c r="AK714" t="str">
        <f t="shared" si="155"/>
        <v xml:space="preserve">Valid </v>
      </c>
      <c r="AL714" t="str">
        <f>IF(AND(Audit_Data[[#This Row],[Recency]]&gt;=0,Audit_Data[[#This Row],[Recency]]&lt;=100),"Valid","Invalid")</f>
        <v>Valid</v>
      </c>
      <c r="AM714" t="str">
        <f t="shared" si="149"/>
        <v>Valid</v>
      </c>
      <c r="AN714" t="str">
        <f t="shared" si="150"/>
        <v>Valid</v>
      </c>
      <c r="AO714" t="str">
        <f t="shared" si="151"/>
        <v>Valid</v>
      </c>
      <c r="AP714" t="str">
        <f t="shared" si="152"/>
        <v>Valid</v>
      </c>
      <c r="AQ714" t="str">
        <f>IF(Audit_Data[[#This Row],[Z_CostContact]]=3,"Valid","Invalid")</f>
        <v>Valid</v>
      </c>
      <c r="AR714" t="str">
        <f t="shared" si="153"/>
        <v>Valid</v>
      </c>
      <c r="AS714" t="str">
        <f t="shared" si="154"/>
        <v>Valid</v>
      </c>
    </row>
    <row r="715" spans="1:45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 t="str">
        <f t="shared" si="143"/>
        <v>Ok</v>
      </c>
      <c r="AE715" t="str">
        <f>IF(AND(Audit_Data[[#This Row],[Year_Birth]]&gt;=1900,Audit_Data[[#This Row],[Year_Birth]]&lt;=2010),"OK","Invalid")</f>
        <v>OK</v>
      </c>
      <c r="AF715" t="str">
        <f t="shared" si="144"/>
        <v>Valid</v>
      </c>
      <c r="AG715" t="str">
        <f t="shared" si="145"/>
        <v>Valid</v>
      </c>
      <c r="AH715" t="str">
        <f t="shared" si="146"/>
        <v>Valid</v>
      </c>
      <c r="AI715" t="str">
        <f t="shared" si="147"/>
        <v>Valid</v>
      </c>
      <c r="AJ715" t="str">
        <f t="shared" si="148"/>
        <v>Valid</v>
      </c>
      <c r="AK715" t="str">
        <f t="shared" si="155"/>
        <v xml:space="preserve">Valid </v>
      </c>
      <c r="AL715" t="str">
        <f>IF(AND(Audit_Data[[#This Row],[Recency]]&gt;=0,Audit_Data[[#This Row],[Recency]]&lt;=100),"Valid","Invalid")</f>
        <v>Valid</v>
      </c>
      <c r="AM715" t="str">
        <f t="shared" si="149"/>
        <v>Valid</v>
      </c>
      <c r="AN715" t="str">
        <f t="shared" si="150"/>
        <v>Valid</v>
      </c>
      <c r="AO715" t="str">
        <f t="shared" si="151"/>
        <v>Valid</v>
      </c>
      <c r="AP715" t="str">
        <f t="shared" si="152"/>
        <v>Valid</v>
      </c>
      <c r="AQ715" t="str">
        <f>IF(Audit_Data[[#This Row],[Z_CostContact]]=3,"Valid","Invalid")</f>
        <v>Valid</v>
      </c>
      <c r="AR715" t="str">
        <f t="shared" si="153"/>
        <v>Valid</v>
      </c>
      <c r="AS715" t="str">
        <f t="shared" si="154"/>
        <v>Valid</v>
      </c>
    </row>
    <row r="716" spans="1:45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 t="str">
        <f t="shared" si="143"/>
        <v>Ok</v>
      </c>
      <c r="AE716" t="str">
        <f>IF(AND(Audit_Data[[#This Row],[Year_Birth]]&gt;=1900,Audit_Data[[#This Row],[Year_Birth]]&lt;=2010),"OK","Invalid")</f>
        <v>OK</v>
      </c>
      <c r="AF716" t="str">
        <f t="shared" si="144"/>
        <v>Valid</v>
      </c>
      <c r="AG716" t="str">
        <f t="shared" si="145"/>
        <v>Valid</v>
      </c>
      <c r="AH716" t="str">
        <f t="shared" si="146"/>
        <v>Valid</v>
      </c>
      <c r="AI716" t="str">
        <f t="shared" si="147"/>
        <v>Valid</v>
      </c>
      <c r="AJ716" t="str">
        <f t="shared" si="148"/>
        <v>Valid</v>
      </c>
      <c r="AK716" t="str">
        <f t="shared" si="155"/>
        <v xml:space="preserve">Valid </v>
      </c>
      <c r="AL716" t="str">
        <f>IF(AND(Audit_Data[[#This Row],[Recency]]&gt;=0,Audit_Data[[#This Row],[Recency]]&lt;=100),"Valid","Invalid")</f>
        <v>Valid</v>
      </c>
      <c r="AM716" t="str">
        <f t="shared" si="149"/>
        <v>Valid</v>
      </c>
      <c r="AN716" t="str">
        <f t="shared" si="150"/>
        <v>Valid</v>
      </c>
      <c r="AO716" t="str">
        <f t="shared" si="151"/>
        <v>Valid</v>
      </c>
      <c r="AP716" t="str">
        <f t="shared" si="152"/>
        <v>Valid</v>
      </c>
      <c r="AQ716" t="str">
        <f>IF(Audit_Data[[#This Row],[Z_CostContact]]=3,"Valid","Invalid")</f>
        <v>Valid</v>
      </c>
      <c r="AR716" t="str">
        <f t="shared" si="153"/>
        <v>Valid</v>
      </c>
      <c r="AS716" t="str">
        <f t="shared" si="154"/>
        <v>Valid</v>
      </c>
    </row>
    <row r="717" spans="1:45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 t="str">
        <f t="shared" si="143"/>
        <v>Ok</v>
      </c>
      <c r="AE717" t="str">
        <f>IF(AND(Audit_Data[[#This Row],[Year_Birth]]&gt;=1900,Audit_Data[[#This Row],[Year_Birth]]&lt;=2010),"OK","Invalid")</f>
        <v>OK</v>
      </c>
      <c r="AF717" t="str">
        <f t="shared" si="144"/>
        <v>Valid</v>
      </c>
      <c r="AG717" t="str">
        <f t="shared" si="145"/>
        <v>Valid</v>
      </c>
      <c r="AH717" t="str">
        <f t="shared" si="146"/>
        <v>Valid</v>
      </c>
      <c r="AI717" t="str">
        <f t="shared" si="147"/>
        <v>Valid</v>
      </c>
      <c r="AJ717" t="str">
        <f t="shared" si="148"/>
        <v>Valid</v>
      </c>
      <c r="AK717" t="str">
        <f t="shared" si="155"/>
        <v xml:space="preserve">Valid </v>
      </c>
      <c r="AL717" t="str">
        <f>IF(AND(Audit_Data[[#This Row],[Recency]]&gt;=0,Audit_Data[[#This Row],[Recency]]&lt;=100),"Valid","Invalid")</f>
        <v>Valid</v>
      </c>
      <c r="AM717" t="str">
        <f t="shared" si="149"/>
        <v>Valid</v>
      </c>
      <c r="AN717" t="str">
        <f t="shared" si="150"/>
        <v>Valid</v>
      </c>
      <c r="AO717" t="str">
        <f t="shared" si="151"/>
        <v>Valid</v>
      </c>
      <c r="AP717" t="str">
        <f t="shared" si="152"/>
        <v>Valid</v>
      </c>
      <c r="AQ717" t="str">
        <f>IF(Audit_Data[[#This Row],[Z_CostContact]]=3,"Valid","Invalid")</f>
        <v>Valid</v>
      </c>
      <c r="AR717" t="str">
        <f t="shared" si="153"/>
        <v>Valid</v>
      </c>
      <c r="AS717" t="str">
        <f t="shared" si="154"/>
        <v>Valid</v>
      </c>
    </row>
    <row r="718" spans="1:45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 t="str">
        <f t="shared" si="143"/>
        <v>Ok</v>
      </c>
      <c r="AE718" t="str">
        <f>IF(AND(Audit_Data[[#This Row],[Year_Birth]]&gt;=1900,Audit_Data[[#This Row],[Year_Birth]]&lt;=2010),"OK","Invalid")</f>
        <v>OK</v>
      </c>
      <c r="AF718" t="str">
        <f t="shared" si="144"/>
        <v>Valid</v>
      </c>
      <c r="AG718" t="str">
        <f t="shared" si="145"/>
        <v>Valid</v>
      </c>
      <c r="AH718" t="str">
        <f t="shared" si="146"/>
        <v>Valid</v>
      </c>
      <c r="AI718" t="str">
        <f t="shared" si="147"/>
        <v>Valid</v>
      </c>
      <c r="AJ718" t="str">
        <f t="shared" si="148"/>
        <v>Valid</v>
      </c>
      <c r="AK718" t="str">
        <f t="shared" si="155"/>
        <v xml:space="preserve">Valid </v>
      </c>
      <c r="AL718" t="str">
        <f>IF(AND(Audit_Data[[#This Row],[Recency]]&gt;=0,Audit_Data[[#This Row],[Recency]]&lt;=100),"Valid","Invalid")</f>
        <v>Valid</v>
      </c>
      <c r="AM718" t="str">
        <f t="shared" si="149"/>
        <v>Valid</v>
      </c>
      <c r="AN718" t="str">
        <f t="shared" si="150"/>
        <v>Valid</v>
      </c>
      <c r="AO718" t="str">
        <f t="shared" si="151"/>
        <v>Valid</v>
      </c>
      <c r="AP718" t="str">
        <f t="shared" si="152"/>
        <v>Valid</v>
      </c>
      <c r="AQ718" t="str">
        <f>IF(Audit_Data[[#This Row],[Z_CostContact]]=3,"Valid","Invalid")</f>
        <v>Valid</v>
      </c>
      <c r="AR718" t="str">
        <f t="shared" si="153"/>
        <v>Valid</v>
      </c>
      <c r="AS718" t="str">
        <f t="shared" si="154"/>
        <v>Valid</v>
      </c>
    </row>
    <row r="719" spans="1:45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 t="str">
        <f t="shared" si="143"/>
        <v>Ok</v>
      </c>
      <c r="AE719" t="str">
        <f>IF(AND(Audit_Data[[#This Row],[Year_Birth]]&gt;=1900,Audit_Data[[#This Row],[Year_Birth]]&lt;=2010),"OK","Invalid")</f>
        <v>OK</v>
      </c>
      <c r="AF719" t="str">
        <f t="shared" si="144"/>
        <v>Valid</v>
      </c>
      <c r="AG719" t="str">
        <f t="shared" si="145"/>
        <v>Valid</v>
      </c>
      <c r="AH719" t="str">
        <f t="shared" si="146"/>
        <v>Valid</v>
      </c>
      <c r="AI719" t="str">
        <f t="shared" si="147"/>
        <v>Valid</v>
      </c>
      <c r="AJ719" t="str">
        <f t="shared" si="148"/>
        <v>Valid</v>
      </c>
      <c r="AK719" t="str">
        <f t="shared" si="155"/>
        <v xml:space="preserve">Valid </v>
      </c>
      <c r="AL719" t="str">
        <f>IF(AND(Audit_Data[[#This Row],[Recency]]&gt;=0,Audit_Data[[#This Row],[Recency]]&lt;=100),"Valid","Invalid")</f>
        <v>Valid</v>
      </c>
      <c r="AM719" t="str">
        <f t="shared" si="149"/>
        <v>Valid</v>
      </c>
      <c r="AN719" t="str">
        <f t="shared" si="150"/>
        <v>Valid</v>
      </c>
      <c r="AO719" t="str">
        <f t="shared" si="151"/>
        <v>Valid</v>
      </c>
      <c r="AP719" t="str">
        <f t="shared" si="152"/>
        <v>Valid</v>
      </c>
      <c r="AQ719" t="str">
        <f>IF(Audit_Data[[#This Row],[Z_CostContact]]=3,"Valid","Invalid")</f>
        <v>Valid</v>
      </c>
      <c r="AR719" t="str">
        <f t="shared" si="153"/>
        <v>Valid</v>
      </c>
      <c r="AS719" t="str">
        <f t="shared" si="154"/>
        <v>Valid</v>
      </c>
    </row>
    <row r="720" spans="1:45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 t="str">
        <f t="shared" si="143"/>
        <v>Ok</v>
      </c>
      <c r="AE720" t="str">
        <f>IF(AND(Audit_Data[[#This Row],[Year_Birth]]&gt;=1900,Audit_Data[[#This Row],[Year_Birth]]&lt;=2010),"OK","Invalid")</f>
        <v>OK</v>
      </c>
      <c r="AF720" t="str">
        <f t="shared" si="144"/>
        <v>Valid</v>
      </c>
      <c r="AG720" t="str">
        <f t="shared" si="145"/>
        <v>Valid</v>
      </c>
      <c r="AH720" t="str">
        <f t="shared" si="146"/>
        <v>Valid</v>
      </c>
      <c r="AI720" t="str">
        <f t="shared" si="147"/>
        <v>Valid</v>
      </c>
      <c r="AJ720" t="str">
        <f t="shared" si="148"/>
        <v>Valid</v>
      </c>
      <c r="AK720" t="str">
        <f t="shared" si="155"/>
        <v xml:space="preserve">Valid </v>
      </c>
      <c r="AL720" t="str">
        <f>IF(AND(Audit_Data[[#This Row],[Recency]]&gt;=0,Audit_Data[[#This Row],[Recency]]&lt;=100),"Valid","Invalid")</f>
        <v>Valid</v>
      </c>
      <c r="AM720" t="str">
        <f t="shared" si="149"/>
        <v>Valid</v>
      </c>
      <c r="AN720" t="str">
        <f t="shared" si="150"/>
        <v>Valid</v>
      </c>
      <c r="AO720" t="str">
        <f t="shared" si="151"/>
        <v>Valid</v>
      </c>
      <c r="AP720" t="str">
        <f t="shared" si="152"/>
        <v>Valid</v>
      </c>
      <c r="AQ720" t="str">
        <f>IF(Audit_Data[[#This Row],[Z_CostContact]]=3,"Valid","Invalid")</f>
        <v>Valid</v>
      </c>
      <c r="AR720" t="str">
        <f t="shared" si="153"/>
        <v>Valid</v>
      </c>
      <c r="AS720" t="str">
        <f t="shared" si="154"/>
        <v>Valid</v>
      </c>
    </row>
    <row r="721" spans="1:45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 t="str">
        <f t="shared" si="143"/>
        <v>Ok</v>
      </c>
      <c r="AE721" t="str">
        <f>IF(AND(Audit_Data[[#This Row],[Year_Birth]]&gt;=1900,Audit_Data[[#This Row],[Year_Birth]]&lt;=2010),"OK","Invalid")</f>
        <v>OK</v>
      </c>
      <c r="AF721" t="str">
        <f t="shared" si="144"/>
        <v>Valid</v>
      </c>
      <c r="AG721" t="str">
        <f t="shared" si="145"/>
        <v>Valid</v>
      </c>
      <c r="AH721" t="str">
        <f t="shared" si="146"/>
        <v>Valid</v>
      </c>
      <c r="AI721" t="str">
        <f t="shared" si="147"/>
        <v>Valid</v>
      </c>
      <c r="AJ721" t="str">
        <f t="shared" si="148"/>
        <v>Valid</v>
      </c>
      <c r="AK721" t="str">
        <f t="shared" si="155"/>
        <v xml:space="preserve">Valid </v>
      </c>
      <c r="AL721" t="str">
        <f>IF(AND(Audit_Data[[#This Row],[Recency]]&gt;=0,Audit_Data[[#This Row],[Recency]]&lt;=100),"Valid","Invalid")</f>
        <v>Valid</v>
      </c>
      <c r="AM721" t="str">
        <f t="shared" si="149"/>
        <v>Valid</v>
      </c>
      <c r="AN721" t="str">
        <f t="shared" si="150"/>
        <v>Valid</v>
      </c>
      <c r="AO721" t="str">
        <f t="shared" si="151"/>
        <v>Valid</v>
      </c>
      <c r="AP721" t="str">
        <f t="shared" si="152"/>
        <v>Valid</v>
      </c>
      <c r="AQ721" t="str">
        <f>IF(Audit_Data[[#This Row],[Z_CostContact]]=3,"Valid","Invalid")</f>
        <v>Valid</v>
      </c>
      <c r="AR721" t="str">
        <f t="shared" si="153"/>
        <v>Valid</v>
      </c>
      <c r="AS721" t="str">
        <f t="shared" si="154"/>
        <v>Valid</v>
      </c>
    </row>
    <row r="722" spans="1:45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 t="str">
        <f t="shared" si="143"/>
        <v>Ok</v>
      </c>
      <c r="AE722" t="str">
        <f>IF(AND(Audit_Data[[#This Row],[Year_Birth]]&gt;=1900,Audit_Data[[#This Row],[Year_Birth]]&lt;=2010),"OK","Invalid")</f>
        <v>OK</v>
      </c>
      <c r="AF722" t="str">
        <f t="shared" si="144"/>
        <v>Valid</v>
      </c>
      <c r="AG722" t="str">
        <f t="shared" si="145"/>
        <v>Valid</v>
      </c>
      <c r="AH722" t="str">
        <f t="shared" si="146"/>
        <v>Valid</v>
      </c>
      <c r="AI722" t="str">
        <f t="shared" si="147"/>
        <v>Valid</v>
      </c>
      <c r="AJ722" t="str">
        <f t="shared" si="148"/>
        <v>Valid</v>
      </c>
      <c r="AK722" t="str">
        <f t="shared" si="155"/>
        <v xml:space="preserve">Valid </v>
      </c>
      <c r="AL722" t="str">
        <f>IF(AND(Audit_Data[[#This Row],[Recency]]&gt;=0,Audit_Data[[#This Row],[Recency]]&lt;=100),"Valid","Invalid")</f>
        <v>Valid</v>
      </c>
      <c r="AM722" t="str">
        <f t="shared" si="149"/>
        <v>Valid</v>
      </c>
      <c r="AN722" t="str">
        <f t="shared" si="150"/>
        <v>Valid</v>
      </c>
      <c r="AO722" t="str">
        <f t="shared" si="151"/>
        <v>Valid</v>
      </c>
      <c r="AP722" t="str">
        <f t="shared" si="152"/>
        <v>Valid</v>
      </c>
      <c r="AQ722" t="str">
        <f>IF(Audit_Data[[#This Row],[Z_CostContact]]=3,"Valid","Invalid")</f>
        <v>Valid</v>
      </c>
      <c r="AR722" t="str">
        <f t="shared" si="153"/>
        <v>Valid</v>
      </c>
      <c r="AS722" t="str">
        <f t="shared" si="154"/>
        <v>Valid</v>
      </c>
    </row>
    <row r="723" spans="1:45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 t="str">
        <f t="shared" si="143"/>
        <v>Ok</v>
      </c>
      <c r="AE723" t="str">
        <f>IF(AND(Audit_Data[[#This Row],[Year_Birth]]&gt;=1900,Audit_Data[[#This Row],[Year_Birth]]&lt;=2010),"OK","Invalid")</f>
        <v>OK</v>
      </c>
      <c r="AF723" t="str">
        <f t="shared" si="144"/>
        <v>Valid</v>
      </c>
      <c r="AG723" t="str">
        <f t="shared" si="145"/>
        <v>Valid</v>
      </c>
      <c r="AH723" t="str">
        <f t="shared" si="146"/>
        <v>Valid</v>
      </c>
      <c r="AI723" t="str">
        <f t="shared" si="147"/>
        <v>Valid</v>
      </c>
      <c r="AJ723" t="str">
        <f t="shared" si="148"/>
        <v>Valid</v>
      </c>
      <c r="AK723" t="str">
        <f t="shared" si="155"/>
        <v xml:space="preserve">Valid </v>
      </c>
      <c r="AL723" t="str">
        <f>IF(AND(Audit_Data[[#This Row],[Recency]]&gt;=0,Audit_Data[[#This Row],[Recency]]&lt;=100),"Valid","Invalid")</f>
        <v>Valid</v>
      </c>
      <c r="AM723" t="str">
        <f t="shared" si="149"/>
        <v>Valid</v>
      </c>
      <c r="AN723" t="str">
        <f t="shared" si="150"/>
        <v>Valid</v>
      </c>
      <c r="AO723" t="str">
        <f t="shared" si="151"/>
        <v>Valid</v>
      </c>
      <c r="AP723" t="str">
        <f t="shared" si="152"/>
        <v>Valid</v>
      </c>
      <c r="AQ723" t="str">
        <f>IF(Audit_Data[[#This Row],[Z_CostContact]]=3,"Valid","Invalid")</f>
        <v>Valid</v>
      </c>
      <c r="AR723" t="str">
        <f t="shared" si="153"/>
        <v>Valid</v>
      </c>
      <c r="AS723" t="str">
        <f t="shared" si="154"/>
        <v>Valid</v>
      </c>
    </row>
    <row r="724" spans="1:45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 t="str">
        <f t="shared" si="143"/>
        <v>Ok</v>
      </c>
      <c r="AE724" t="str">
        <f>IF(AND(Audit_Data[[#This Row],[Year_Birth]]&gt;=1900,Audit_Data[[#This Row],[Year_Birth]]&lt;=2010),"OK","Invalid")</f>
        <v>OK</v>
      </c>
      <c r="AF724" t="str">
        <f t="shared" si="144"/>
        <v>Valid</v>
      </c>
      <c r="AG724" t="str">
        <f t="shared" si="145"/>
        <v>Valid</v>
      </c>
      <c r="AH724" t="str">
        <f t="shared" si="146"/>
        <v>Valid</v>
      </c>
      <c r="AI724" t="str">
        <f t="shared" si="147"/>
        <v>Valid</v>
      </c>
      <c r="AJ724" t="str">
        <f t="shared" si="148"/>
        <v>Valid</v>
      </c>
      <c r="AK724" t="str">
        <f t="shared" si="155"/>
        <v xml:space="preserve">Valid </v>
      </c>
      <c r="AL724" t="str">
        <f>IF(AND(Audit_Data[[#This Row],[Recency]]&gt;=0,Audit_Data[[#This Row],[Recency]]&lt;=100),"Valid","Invalid")</f>
        <v>Valid</v>
      </c>
      <c r="AM724" t="str">
        <f t="shared" si="149"/>
        <v>Valid</v>
      </c>
      <c r="AN724" t="str">
        <f t="shared" si="150"/>
        <v>Valid</v>
      </c>
      <c r="AO724" t="str">
        <f t="shared" si="151"/>
        <v>Valid</v>
      </c>
      <c r="AP724" t="str">
        <f t="shared" si="152"/>
        <v>Valid</v>
      </c>
      <c r="AQ724" t="str">
        <f>IF(Audit_Data[[#This Row],[Z_CostContact]]=3,"Valid","Invalid")</f>
        <v>Valid</v>
      </c>
      <c r="AR724" t="str">
        <f t="shared" si="153"/>
        <v>Valid</v>
      </c>
      <c r="AS724" t="str">
        <f t="shared" si="154"/>
        <v>Valid</v>
      </c>
    </row>
    <row r="725" spans="1:45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 t="str">
        <f t="shared" si="143"/>
        <v>Ok</v>
      </c>
      <c r="AE725" t="str">
        <f>IF(AND(Audit_Data[[#This Row],[Year_Birth]]&gt;=1900,Audit_Data[[#This Row],[Year_Birth]]&lt;=2010),"OK","Invalid")</f>
        <v>OK</v>
      </c>
      <c r="AF725" t="str">
        <f t="shared" si="144"/>
        <v>Valid</v>
      </c>
      <c r="AG725" t="str">
        <f t="shared" si="145"/>
        <v>Valid</v>
      </c>
      <c r="AH725" t="str">
        <f t="shared" si="146"/>
        <v>Valid</v>
      </c>
      <c r="AI725" t="str">
        <f t="shared" si="147"/>
        <v>Valid</v>
      </c>
      <c r="AJ725" t="str">
        <f t="shared" si="148"/>
        <v>Valid</v>
      </c>
      <c r="AK725" t="str">
        <f t="shared" si="155"/>
        <v xml:space="preserve">Valid </v>
      </c>
      <c r="AL725" t="str">
        <f>IF(AND(Audit_Data[[#This Row],[Recency]]&gt;=0,Audit_Data[[#This Row],[Recency]]&lt;=100),"Valid","Invalid")</f>
        <v>Valid</v>
      </c>
      <c r="AM725" t="str">
        <f t="shared" si="149"/>
        <v>Valid</v>
      </c>
      <c r="AN725" t="str">
        <f t="shared" si="150"/>
        <v>Valid</v>
      </c>
      <c r="AO725" t="str">
        <f t="shared" si="151"/>
        <v>Valid</v>
      </c>
      <c r="AP725" t="str">
        <f t="shared" si="152"/>
        <v>Valid</v>
      </c>
      <c r="AQ725" t="str">
        <f>IF(Audit_Data[[#This Row],[Z_CostContact]]=3,"Valid","Invalid")</f>
        <v>Valid</v>
      </c>
      <c r="AR725" t="str">
        <f t="shared" si="153"/>
        <v>Valid</v>
      </c>
      <c r="AS725" t="str">
        <f t="shared" si="154"/>
        <v>Valid</v>
      </c>
    </row>
    <row r="726" spans="1:45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 t="str">
        <f t="shared" si="143"/>
        <v>Ok</v>
      </c>
      <c r="AE726" t="str">
        <f>IF(AND(Audit_Data[[#This Row],[Year_Birth]]&gt;=1900,Audit_Data[[#This Row],[Year_Birth]]&lt;=2010),"OK","Invalid")</f>
        <v>OK</v>
      </c>
      <c r="AF726" t="str">
        <f t="shared" si="144"/>
        <v>Valid</v>
      </c>
      <c r="AG726" t="str">
        <f t="shared" si="145"/>
        <v>Valid</v>
      </c>
      <c r="AH726" t="str">
        <f t="shared" si="146"/>
        <v>Valid</v>
      </c>
      <c r="AI726" t="str">
        <f t="shared" si="147"/>
        <v>Valid</v>
      </c>
      <c r="AJ726" t="str">
        <f t="shared" si="148"/>
        <v>Valid</v>
      </c>
      <c r="AK726" t="str">
        <f t="shared" si="155"/>
        <v xml:space="preserve">Valid </v>
      </c>
      <c r="AL726" t="str">
        <f>IF(AND(Audit_Data[[#This Row],[Recency]]&gt;=0,Audit_Data[[#This Row],[Recency]]&lt;=100),"Valid","Invalid")</f>
        <v>Valid</v>
      </c>
      <c r="AM726" t="str">
        <f t="shared" si="149"/>
        <v>Valid</v>
      </c>
      <c r="AN726" t="str">
        <f t="shared" si="150"/>
        <v>Valid</v>
      </c>
      <c r="AO726" t="str">
        <f t="shared" si="151"/>
        <v>Valid</v>
      </c>
      <c r="AP726" t="str">
        <f t="shared" si="152"/>
        <v>Valid</v>
      </c>
      <c r="AQ726" t="str">
        <f>IF(Audit_Data[[#This Row],[Z_CostContact]]=3,"Valid","Invalid")</f>
        <v>Valid</v>
      </c>
      <c r="AR726" t="str">
        <f t="shared" si="153"/>
        <v>Valid</v>
      </c>
      <c r="AS726" t="str">
        <f t="shared" si="154"/>
        <v>Valid</v>
      </c>
    </row>
    <row r="727" spans="1:45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 t="str">
        <f t="shared" si="143"/>
        <v>Ok</v>
      </c>
      <c r="AE727" t="str">
        <f>IF(AND(Audit_Data[[#This Row],[Year_Birth]]&gt;=1900,Audit_Data[[#This Row],[Year_Birth]]&lt;=2010),"OK","Invalid")</f>
        <v>OK</v>
      </c>
      <c r="AF727" t="str">
        <f t="shared" si="144"/>
        <v>Valid</v>
      </c>
      <c r="AG727" t="str">
        <f t="shared" si="145"/>
        <v>Valid</v>
      </c>
      <c r="AH727" t="str">
        <f t="shared" si="146"/>
        <v>Valid</v>
      </c>
      <c r="AI727" t="str">
        <f t="shared" si="147"/>
        <v>Valid</v>
      </c>
      <c r="AJ727" t="str">
        <f t="shared" si="148"/>
        <v>Valid</v>
      </c>
      <c r="AK727" t="str">
        <f t="shared" si="155"/>
        <v xml:space="preserve">Valid </v>
      </c>
      <c r="AL727" t="str">
        <f>IF(AND(Audit_Data[[#This Row],[Recency]]&gt;=0,Audit_Data[[#This Row],[Recency]]&lt;=100),"Valid","Invalid")</f>
        <v>Valid</v>
      </c>
      <c r="AM727" t="str">
        <f t="shared" si="149"/>
        <v>Valid</v>
      </c>
      <c r="AN727" t="str">
        <f t="shared" si="150"/>
        <v>Valid</v>
      </c>
      <c r="AO727" t="str">
        <f t="shared" si="151"/>
        <v>Valid</v>
      </c>
      <c r="AP727" t="str">
        <f t="shared" si="152"/>
        <v>Valid</v>
      </c>
      <c r="AQ727" t="str">
        <f>IF(Audit_Data[[#This Row],[Z_CostContact]]=3,"Valid","Invalid")</f>
        <v>Valid</v>
      </c>
      <c r="AR727" t="str">
        <f t="shared" si="153"/>
        <v>Valid</v>
      </c>
      <c r="AS727" t="str">
        <f t="shared" si="154"/>
        <v>Valid</v>
      </c>
    </row>
    <row r="728" spans="1:45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 t="str">
        <f t="shared" si="143"/>
        <v>Ok</v>
      </c>
      <c r="AE728" t="str">
        <f>IF(AND(Audit_Data[[#This Row],[Year_Birth]]&gt;=1900,Audit_Data[[#This Row],[Year_Birth]]&lt;=2010),"OK","Invalid")</f>
        <v>OK</v>
      </c>
      <c r="AF728" t="str">
        <f t="shared" si="144"/>
        <v>Valid</v>
      </c>
      <c r="AG728" t="str">
        <f t="shared" si="145"/>
        <v>Valid</v>
      </c>
      <c r="AH728" t="str">
        <f t="shared" si="146"/>
        <v>Valid</v>
      </c>
      <c r="AI728" t="str">
        <f t="shared" si="147"/>
        <v>Valid</v>
      </c>
      <c r="AJ728" t="str">
        <f t="shared" si="148"/>
        <v>Valid</v>
      </c>
      <c r="AK728" t="str">
        <f t="shared" si="155"/>
        <v xml:space="preserve">Valid </v>
      </c>
      <c r="AL728" t="str">
        <f>IF(AND(Audit_Data[[#This Row],[Recency]]&gt;=0,Audit_Data[[#This Row],[Recency]]&lt;=100),"Valid","Invalid")</f>
        <v>Valid</v>
      </c>
      <c r="AM728" t="str">
        <f t="shared" si="149"/>
        <v>Valid</v>
      </c>
      <c r="AN728" t="str">
        <f t="shared" si="150"/>
        <v>Valid</v>
      </c>
      <c r="AO728" t="str">
        <f t="shared" si="151"/>
        <v>Valid</v>
      </c>
      <c r="AP728" t="str">
        <f t="shared" si="152"/>
        <v>Valid</v>
      </c>
      <c r="AQ728" t="str">
        <f>IF(Audit_Data[[#This Row],[Z_CostContact]]=3,"Valid","Invalid")</f>
        <v>Valid</v>
      </c>
      <c r="AR728" t="str">
        <f t="shared" si="153"/>
        <v>Valid</v>
      </c>
      <c r="AS728" t="str">
        <f t="shared" si="154"/>
        <v>Valid</v>
      </c>
    </row>
    <row r="729" spans="1:45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 t="str">
        <f t="shared" si="143"/>
        <v>Ok</v>
      </c>
      <c r="AE729" t="str">
        <f>IF(AND(Audit_Data[[#This Row],[Year_Birth]]&gt;=1900,Audit_Data[[#This Row],[Year_Birth]]&lt;=2010),"OK","Invalid")</f>
        <v>OK</v>
      </c>
      <c r="AF729" t="str">
        <f t="shared" si="144"/>
        <v>Valid</v>
      </c>
      <c r="AG729" t="str">
        <f t="shared" si="145"/>
        <v>Valid</v>
      </c>
      <c r="AH729" t="str">
        <f t="shared" si="146"/>
        <v>Valid</v>
      </c>
      <c r="AI729" t="str">
        <f t="shared" si="147"/>
        <v>Valid</v>
      </c>
      <c r="AJ729" t="str">
        <f t="shared" si="148"/>
        <v>Valid</v>
      </c>
      <c r="AK729" t="str">
        <f t="shared" si="155"/>
        <v xml:space="preserve">Valid </v>
      </c>
      <c r="AL729" t="str">
        <f>IF(AND(Audit_Data[[#This Row],[Recency]]&gt;=0,Audit_Data[[#This Row],[Recency]]&lt;=100),"Valid","Invalid")</f>
        <v>Valid</v>
      </c>
      <c r="AM729" t="str">
        <f t="shared" si="149"/>
        <v>Valid</v>
      </c>
      <c r="AN729" t="str">
        <f t="shared" si="150"/>
        <v>Valid</v>
      </c>
      <c r="AO729" t="str">
        <f t="shared" si="151"/>
        <v>Valid</v>
      </c>
      <c r="AP729" t="str">
        <f t="shared" si="152"/>
        <v>Valid</v>
      </c>
      <c r="AQ729" t="str">
        <f>IF(Audit_Data[[#This Row],[Z_CostContact]]=3,"Valid","Invalid")</f>
        <v>Valid</v>
      </c>
      <c r="AR729" t="str">
        <f t="shared" si="153"/>
        <v>Valid</v>
      </c>
      <c r="AS729" t="str">
        <f t="shared" si="154"/>
        <v>Valid</v>
      </c>
    </row>
    <row r="730" spans="1:45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 t="str">
        <f t="shared" si="143"/>
        <v>Ok</v>
      </c>
      <c r="AE730" t="str">
        <f>IF(AND(Audit_Data[[#This Row],[Year_Birth]]&gt;=1900,Audit_Data[[#This Row],[Year_Birth]]&lt;=2010),"OK","Invalid")</f>
        <v>OK</v>
      </c>
      <c r="AF730" t="str">
        <f t="shared" si="144"/>
        <v>Valid</v>
      </c>
      <c r="AG730" t="str">
        <f t="shared" si="145"/>
        <v>Valid</v>
      </c>
      <c r="AH730" t="str">
        <f t="shared" si="146"/>
        <v>Valid</v>
      </c>
      <c r="AI730" t="str">
        <f t="shared" si="147"/>
        <v>Valid</v>
      </c>
      <c r="AJ730" t="str">
        <f t="shared" si="148"/>
        <v>Valid</v>
      </c>
      <c r="AK730" t="str">
        <f t="shared" si="155"/>
        <v xml:space="preserve">Valid </v>
      </c>
      <c r="AL730" t="str">
        <f>IF(AND(Audit_Data[[#This Row],[Recency]]&gt;=0,Audit_Data[[#This Row],[Recency]]&lt;=100),"Valid","Invalid")</f>
        <v>Valid</v>
      </c>
      <c r="AM730" t="str">
        <f t="shared" si="149"/>
        <v>Valid</v>
      </c>
      <c r="AN730" t="str">
        <f t="shared" si="150"/>
        <v>Valid</v>
      </c>
      <c r="AO730" t="str">
        <f t="shared" si="151"/>
        <v>Valid</v>
      </c>
      <c r="AP730" t="str">
        <f t="shared" si="152"/>
        <v>Valid</v>
      </c>
      <c r="AQ730" t="str">
        <f>IF(Audit_Data[[#This Row],[Z_CostContact]]=3,"Valid","Invalid")</f>
        <v>Valid</v>
      </c>
      <c r="AR730" t="str">
        <f t="shared" si="153"/>
        <v>Valid</v>
      </c>
      <c r="AS730" t="str">
        <f t="shared" si="154"/>
        <v>Valid</v>
      </c>
    </row>
    <row r="731" spans="1:45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 t="str">
        <f t="shared" si="143"/>
        <v>Ok</v>
      </c>
      <c r="AE731" t="str">
        <f>IF(AND(Audit_Data[[#This Row],[Year_Birth]]&gt;=1900,Audit_Data[[#This Row],[Year_Birth]]&lt;=2010),"OK","Invalid")</f>
        <v>OK</v>
      </c>
      <c r="AF731" t="str">
        <f t="shared" si="144"/>
        <v>Valid</v>
      </c>
      <c r="AG731" t="str">
        <f t="shared" si="145"/>
        <v>Valid</v>
      </c>
      <c r="AH731" t="str">
        <f t="shared" si="146"/>
        <v>Valid</v>
      </c>
      <c r="AI731" t="str">
        <f t="shared" si="147"/>
        <v>Valid</v>
      </c>
      <c r="AJ731" t="str">
        <f t="shared" si="148"/>
        <v>Valid</v>
      </c>
      <c r="AK731" t="str">
        <f t="shared" si="155"/>
        <v xml:space="preserve">Valid </v>
      </c>
      <c r="AL731" t="str">
        <f>IF(AND(Audit_Data[[#This Row],[Recency]]&gt;=0,Audit_Data[[#This Row],[Recency]]&lt;=100),"Valid","Invalid")</f>
        <v>Valid</v>
      </c>
      <c r="AM731" t="str">
        <f t="shared" si="149"/>
        <v>Valid</v>
      </c>
      <c r="AN731" t="str">
        <f t="shared" si="150"/>
        <v>Valid</v>
      </c>
      <c r="AO731" t="str">
        <f t="shared" si="151"/>
        <v>Valid</v>
      </c>
      <c r="AP731" t="str">
        <f t="shared" si="152"/>
        <v>Valid</v>
      </c>
      <c r="AQ731" t="str">
        <f>IF(Audit_Data[[#This Row],[Z_CostContact]]=3,"Valid","Invalid")</f>
        <v>Valid</v>
      </c>
      <c r="AR731" t="str">
        <f t="shared" si="153"/>
        <v>Valid</v>
      </c>
      <c r="AS731" t="str">
        <f t="shared" si="154"/>
        <v>Valid</v>
      </c>
    </row>
    <row r="732" spans="1:45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 t="str">
        <f t="shared" si="143"/>
        <v>Ok</v>
      </c>
      <c r="AE732" t="str">
        <f>IF(AND(Audit_Data[[#This Row],[Year_Birth]]&gt;=1900,Audit_Data[[#This Row],[Year_Birth]]&lt;=2010),"OK","Invalid")</f>
        <v>OK</v>
      </c>
      <c r="AF732" t="str">
        <f t="shared" si="144"/>
        <v>Valid</v>
      </c>
      <c r="AG732" t="str">
        <f t="shared" si="145"/>
        <v>Valid</v>
      </c>
      <c r="AH732" t="str">
        <f t="shared" si="146"/>
        <v>Valid</v>
      </c>
      <c r="AI732" t="str">
        <f t="shared" si="147"/>
        <v>Valid</v>
      </c>
      <c r="AJ732" t="str">
        <f t="shared" si="148"/>
        <v>Valid</v>
      </c>
      <c r="AK732" t="str">
        <f t="shared" si="155"/>
        <v xml:space="preserve">Valid </v>
      </c>
      <c r="AL732" t="str">
        <f>IF(AND(Audit_Data[[#This Row],[Recency]]&gt;=0,Audit_Data[[#This Row],[Recency]]&lt;=100),"Valid","Invalid")</f>
        <v>Valid</v>
      </c>
      <c r="AM732" t="str">
        <f t="shared" si="149"/>
        <v>Valid</v>
      </c>
      <c r="AN732" t="str">
        <f t="shared" si="150"/>
        <v>Valid</v>
      </c>
      <c r="AO732" t="str">
        <f t="shared" si="151"/>
        <v>Valid</v>
      </c>
      <c r="AP732" t="str">
        <f t="shared" si="152"/>
        <v>Valid</v>
      </c>
      <c r="AQ732" t="str">
        <f>IF(Audit_Data[[#This Row],[Z_CostContact]]=3,"Valid","Invalid")</f>
        <v>Valid</v>
      </c>
      <c r="AR732" t="str">
        <f t="shared" si="153"/>
        <v>Valid</v>
      </c>
      <c r="AS732" t="str">
        <f t="shared" si="154"/>
        <v>Valid</v>
      </c>
    </row>
    <row r="733" spans="1:45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 t="str">
        <f t="shared" si="143"/>
        <v>Ok</v>
      </c>
      <c r="AE733" t="str">
        <f>IF(AND(Audit_Data[[#This Row],[Year_Birth]]&gt;=1900,Audit_Data[[#This Row],[Year_Birth]]&lt;=2010),"OK","Invalid")</f>
        <v>OK</v>
      </c>
      <c r="AF733" t="str">
        <f t="shared" si="144"/>
        <v>Valid</v>
      </c>
      <c r="AG733" t="str">
        <f t="shared" si="145"/>
        <v>Valid</v>
      </c>
      <c r="AH733" t="str">
        <f t="shared" si="146"/>
        <v>Valid</v>
      </c>
      <c r="AI733" t="str">
        <f t="shared" si="147"/>
        <v>Valid</v>
      </c>
      <c r="AJ733" t="str">
        <f t="shared" si="148"/>
        <v>Valid</v>
      </c>
      <c r="AK733" t="str">
        <f t="shared" si="155"/>
        <v xml:space="preserve">Valid </v>
      </c>
      <c r="AL733" t="str">
        <f>IF(AND(Audit_Data[[#This Row],[Recency]]&gt;=0,Audit_Data[[#This Row],[Recency]]&lt;=100),"Valid","Invalid")</f>
        <v>Valid</v>
      </c>
      <c r="AM733" t="str">
        <f t="shared" si="149"/>
        <v>Valid</v>
      </c>
      <c r="AN733" t="str">
        <f t="shared" si="150"/>
        <v>Valid</v>
      </c>
      <c r="AO733" t="str">
        <f t="shared" si="151"/>
        <v>Valid</v>
      </c>
      <c r="AP733" t="str">
        <f t="shared" si="152"/>
        <v>Valid</v>
      </c>
      <c r="AQ733" t="str">
        <f>IF(Audit_Data[[#This Row],[Z_CostContact]]=3,"Valid","Invalid")</f>
        <v>Valid</v>
      </c>
      <c r="AR733" t="str">
        <f t="shared" si="153"/>
        <v>Valid</v>
      </c>
      <c r="AS733" t="str">
        <f t="shared" si="154"/>
        <v>Valid</v>
      </c>
    </row>
    <row r="734" spans="1:45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 t="str">
        <f t="shared" si="143"/>
        <v>Ok</v>
      </c>
      <c r="AE734" t="str">
        <f>IF(AND(Audit_Data[[#This Row],[Year_Birth]]&gt;=1900,Audit_Data[[#This Row],[Year_Birth]]&lt;=2010),"OK","Invalid")</f>
        <v>OK</v>
      </c>
      <c r="AF734" t="str">
        <f t="shared" si="144"/>
        <v>Valid</v>
      </c>
      <c r="AG734" t="str">
        <f t="shared" si="145"/>
        <v>Valid</v>
      </c>
      <c r="AH734" t="str">
        <f t="shared" si="146"/>
        <v>Valid</v>
      </c>
      <c r="AI734" t="str">
        <f t="shared" si="147"/>
        <v>Valid</v>
      </c>
      <c r="AJ734" t="str">
        <f t="shared" si="148"/>
        <v>Valid</v>
      </c>
      <c r="AK734" t="str">
        <f t="shared" si="155"/>
        <v xml:space="preserve">Valid </v>
      </c>
      <c r="AL734" t="str">
        <f>IF(AND(Audit_Data[[#This Row],[Recency]]&gt;=0,Audit_Data[[#This Row],[Recency]]&lt;=100),"Valid","Invalid")</f>
        <v>Valid</v>
      </c>
      <c r="AM734" t="str">
        <f t="shared" si="149"/>
        <v>Valid</v>
      </c>
      <c r="AN734" t="str">
        <f t="shared" si="150"/>
        <v>Valid</v>
      </c>
      <c r="AO734" t="str">
        <f t="shared" si="151"/>
        <v>Valid</v>
      </c>
      <c r="AP734" t="str">
        <f t="shared" si="152"/>
        <v>Valid</v>
      </c>
      <c r="AQ734" t="str">
        <f>IF(Audit_Data[[#This Row],[Z_CostContact]]=3,"Valid","Invalid")</f>
        <v>Valid</v>
      </c>
      <c r="AR734" t="str">
        <f t="shared" si="153"/>
        <v>Valid</v>
      </c>
      <c r="AS734" t="str">
        <f t="shared" si="154"/>
        <v>Valid</v>
      </c>
    </row>
    <row r="735" spans="1:45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 t="str">
        <f t="shared" si="143"/>
        <v>Ok</v>
      </c>
      <c r="AE735" t="str">
        <f>IF(AND(Audit_Data[[#This Row],[Year_Birth]]&gt;=1900,Audit_Data[[#This Row],[Year_Birth]]&lt;=2010),"OK","Invalid")</f>
        <v>OK</v>
      </c>
      <c r="AF735" t="str">
        <f t="shared" si="144"/>
        <v>Valid</v>
      </c>
      <c r="AG735" t="str">
        <f t="shared" si="145"/>
        <v>Valid</v>
      </c>
      <c r="AH735" t="str">
        <f t="shared" si="146"/>
        <v>Valid</v>
      </c>
      <c r="AI735" t="str">
        <f t="shared" si="147"/>
        <v>Valid</v>
      </c>
      <c r="AJ735" t="str">
        <f t="shared" si="148"/>
        <v>Valid</v>
      </c>
      <c r="AK735" t="str">
        <f t="shared" si="155"/>
        <v xml:space="preserve">Valid </v>
      </c>
      <c r="AL735" t="str">
        <f>IF(AND(Audit_Data[[#This Row],[Recency]]&gt;=0,Audit_Data[[#This Row],[Recency]]&lt;=100),"Valid","Invalid")</f>
        <v>Valid</v>
      </c>
      <c r="AM735" t="str">
        <f t="shared" si="149"/>
        <v>Valid</v>
      </c>
      <c r="AN735" t="str">
        <f t="shared" si="150"/>
        <v>Valid</v>
      </c>
      <c r="AO735" t="str">
        <f t="shared" si="151"/>
        <v>Valid</v>
      </c>
      <c r="AP735" t="str">
        <f t="shared" si="152"/>
        <v>Valid</v>
      </c>
      <c r="AQ735" t="str">
        <f>IF(Audit_Data[[#This Row],[Z_CostContact]]=3,"Valid","Invalid")</f>
        <v>Valid</v>
      </c>
      <c r="AR735" t="str">
        <f t="shared" si="153"/>
        <v>Valid</v>
      </c>
      <c r="AS735" t="str">
        <f t="shared" si="154"/>
        <v>Valid</v>
      </c>
    </row>
    <row r="736" spans="1:45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 t="str">
        <f t="shared" si="143"/>
        <v>Ok</v>
      </c>
      <c r="AE736" t="str">
        <f>IF(AND(Audit_Data[[#This Row],[Year_Birth]]&gt;=1900,Audit_Data[[#This Row],[Year_Birth]]&lt;=2010),"OK","Invalid")</f>
        <v>OK</v>
      </c>
      <c r="AF736" t="str">
        <f t="shared" si="144"/>
        <v>Valid</v>
      </c>
      <c r="AG736" t="str">
        <f t="shared" si="145"/>
        <v>Valid</v>
      </c>
      <c r="AH736" t="str">
        <f t="shared" si="146"/>
        <v>Valid</v>
      </c>
      <c r="AI736" t="str">
        <f t="shared" si="147"/>
        <v>Valid</v>
      </c>
      <c r="AJ736" t="str">
        <f t="shared" si="148"/>
        <v>Valid</v>
      </c>
      <c r="AK736" t="str">
        <f t="shared" si="155"/>
        <v xml:space="preserve">Valid </v>
      </c>
      <c r="AL736" t="str">
        <f>IF(AND(Audit_Data[[#This Row],[Recency]]&gt;=0,Audit_Data[[#This Row],[Recency]]&lt;=100),"Valid","Invalid")</f>
        <v>Valid</v>
      </c>
      <c r="AM736" t="str">
        <f t="shared" si="149"/>
        <v>Valid</v>
      </c>
      <c r="AN736" t="str">
        <f t="shared" si="150"/>
        <v>Valid</v>
      </c>
      <c r="AO736" t="str">
        <f t="shared" si="151"/>
        <v>Valid</v>
      </c>
      <c r="AP736" t="str">
        <f t="shared" si="152"/>
        <v>Valid</v>
      </c>
      <c r="AQ736" t="str">
        <f>IF(Audit_Data[[#This Row],[Z_CostContact]]=3,"Valid","Invalid")</f>
        <v>Valid</v>
      </c>
      <c r="AR736" t="str">
        <f t="shared" si="153"/>
        <v>Valid</v>
      </c>
      <c r="AS736" t="str">
        <f t="shared" si="154"/>
        <v>Valid</v>
      </c>
    </row>
    <row r="737" spans="1:45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 t="str">
        <f t="shared" si="143"/>
        <v>Ok</v>
      </c>
      <c r="AE737" t="str">
        <f>IF(AND(Audit_Data[[#This Row],[Year_Birth]]&gt;=1900,Audit_Data[[#This Row],[Year_Birth]]&lt;=2010),"OK","Invalid")</f>
        <v>OK</v>
      </c>
      <c r="AF737" t="str">
        <f t="shared" si="144"/>
        <v>Valid</v>
      </c>
      <c r="AG737" t="str">
        <f t="shared" si="145"/>
        <v>Valid</v>
      </c>
      <c r="AH737" t="str">
        <f t="shared" si="146"/>
        <v>Valid</v>
      </c>
      <c r="AI737" t="str">
        <f t="shared" si="147"/>
        <v>Valid</v>
      </c>
      <c r="AJ737" t="str">
        <f t="shared" si="148"/>
        <v>Valid</v>
      </c>
      <c r="AK737" t="str">
        <f t="shared" si="155"/>
        <v xml:space="preserve">Valid </v>
      </c>
      <c r="AL737" t="str">
        <f>IF(AND(Audit_Data[[#This Row],[Recency]]&gt;=0,Audit_Data[[#This Row],[Recency]]&lt;=100),"Valid","Invalid")</f>
        <v>Valid</v>
      </c>
      <c r="AM737" t="str">
        <f t="shared" si="149"/>
        <v>Valid</v>
      </c>
      <c r="AN737" t="str">
        <f t="shared" si="150"/>
        <v>Valid</v>
      </c>
      <c r="AO737" t="str">
        <f t="shared" si="151"/>
        <v>Valid</v>
      </c>
      <c r="AP737" t="str">
        <f t="shared" si="152"/>
        <v>Valid</v>
      </c>
      <c r="AQ737" t="str">
        <f>IF(Audit_Data[[#This Row],[Z_CostContact]]=3,"Valid","Invalid")</f>
        <v>Valid</v>
      </c>
      <c r="AR737" t="str">
        <f t="shared" si="153"/>
        <v>Valid</v>
      </c>
      <c r="AS737" t="str">
        <f t="shared" si="154"/>
        <v>Valid</v>
      </c>
    </row>
    <row r="738" spans="1:45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 t="str">
        <f t="shared" si="143"/>
        <v>Ok</v>
      </c>
      <c r="AE738" t="str">
        <f>IF(AND(Audit_Data[[#This Row],[Year_Birth]]&gt;=1900,Audit_Data[[#This Row],[Year_Birth]]&lt;=2010),"OK","Invalid")</f>
        <v>OK</v>
      </c>
      <c r="AF738" t="str">
        <f t="shared" si="144"/>
        <v>Valid</v>
      </c>
      <c r="AG738" t="str">
        <f t="shared" si="145"/>
        <v>Valid</v>
      </c>
      <c r="AH738" t="str">
        <f t="shared" si="146"/>
        <v>Valid</v>
      </c>
      <c r="AI738" t="str">
        <f t="shared" si="147"/>
        <v>Valid</v>
      </c>
      <c r="AJ738" t="str">
        <f t="shared" si="148"/>
        <v>Valid</v>
      </c>
      <c r="AK738" t="str">
        <f t="shared" si="155"/>
        <v xml:space="preserve">Valid </v>
      </c>
      <c r="AL738" t="str">
        <f>IF(AND(Audit_Data[[#This Row],[Recency]]&gt;=0,Audit_Data[[#This Row],[Recency]]&lt;=100),"Valid","Invalid")</f>
        <v>Valid</v>
      </c>
      <c r="AM738" t="str">
        <f t="shared" si="149"/>
        <v>Valid</v>
      </c>
      <c r="AN738" t="str">
        <f t="shared" si="150"/>
        <v>Valid</v>
      </c>
      <c r="AO738" t="str">
        <f t="shared" si="151"/>
        <v>Valid</v>
      </c>
      <c r="AP738" t="str">
        <f t="shared" si="152"/>
        <v>Valid</v>
      </c>
      <c r="AQ738" t="str">
        <f>IF(Audit_Data[[#This Row],[Z_CostContact]]=3,"Valid","Invalid")</f>
        <v>Valid</v>
      </c>
      <c r="AR738" t="str">
        <f t="shared" si="153"/>
        <v>Valid</v>
      </c>
      <c r="AS738" t="str">
        <f t="shared" si="154"/>
        <v>Valid</v>
      </c>
    </row>
    <row r="739" spans="1:45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 t="str">
        <f t="shared" si="143"/>
        <v>Ok</v>
      </c>
      <c r="AE739" t="str">
        <f>IF(AND(Audit_Data[[#This Row],[Year_Birth]]&gt;=1900,Audit_Data[[#This Row],[Year_Birth]]&lt;=2010),"OK","Invalid")</f>
        <v>OK</v>
      </c>
      <c r="AF739" t="str">
        <f t="shared" si="144"/>
        <v>Valid</v>
      </c>
      <c r="AG739" t="str">
        <f t="shared" si="145"/>
        <v>Valid</v>
      </c>
      <c r="AH739" t="str">
        <f t="shared" si="146"/>
        <v>Valid</v>
      </c>
      <c r="AI739" t="str">
        <f t="shared" si="147"/>
        <v>Valid</v>
      </c>
      <c r="AJ739" t="str">
        <f t="shared" si="148"/>
        <v>Valid</v>
      </c>
      <c r="AK739" t="str">
        <f t="shared" si="155"/>
        <v xml:space="preserve">Valid </v>
      </c>
      <c r="AL739" t="str">
        <f>IF(AND(Audit_Data[[#This Row],[Recency]]&gt;=0,Audit_Data[[#This Row],[Recency]]&lt;=100),"Valid","Invalid")</f>
        <v>Valid</v>
      </c>
      <c r="AM739" t="str">
        <f t="shared" si="149"/>
        <v>Valid</v>
      </c>
      <c r="AN739" t="str">
        <f t="shared" si="150"/>
        <v>Valid</v>
      </c>
      <c r="AO739" t="str">
        <f t="shared" si="151"/>
        <v>Valid</v>
      </c>
      <c r="AP739" t="str">
        <f t="shared" si="152"/>
        <v>Valid</v>
      </c>
      <c r="AQ739" t="str">
        <f>IF(Audit_Data[[#This Row],[Z_CostContact]]=3,"Valid","Invalid")</f>
        <v>Valid</v>
      </c>
      <c r="AR739" t="str">
        <f t="shared" si="153"/>
        <v>Valid</v>
      </c>
      <c r="AS739" t="str">
        <f t="shared" si="154"/>
        <v>Valid</v>
      </c>
    </row>
    <row r="740" spans="1:45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 t="str">
        <f t="shared" si="143"/>
        <v>Ok</v>
      </c>
      <c r="AE740" t="str">
        <f>IF(AND(Audit_Data[[#This Row],[Year_Birth]]&gt;=1900,Audit_Data[[#This Row],[Year_Birth]]&lt;=2010),"OK","Invalid")</f>
        <v>OK</v>
      </c>
      <c r="AF740" t="str">
        <f t="shared" si="144"/>
        <v>Valid</v>
      </c>
      <c r="AG740" t="str">
        <f t="shared" si="145"/>
        <v>Valid</v>
      </c>
      <c r="AH740" t="str">
        <f t="shared" si="146"/>
        <v>Valid</v>
      </c>
      <c r="AI740" t="str">
        <f t="shared" si="147"/>
        <v>Valid</v>
      </c>
      <c r="AJ740" t="str">
        <f t="shared" si="148"/>
        <v>Valid</v>
      </c>
      <c r="AK740" t="str">
        <f t="shared" si="155"/>
        <v xml:space="preserve">Valid </v>
      </c>
      <c r="AL740" t="str">
        <f>IF(AND(Audit_Data[[#This Row],[Recency]]&gt;=0,Audit_Data[[#This Row],[Recency]]&lt;=100),"Valid","Invalid")</f>
        <v>Valid</v>
      </c>
      <c r="AM740" t="str">
        <f t="shared" si="149"/>
        <v>Valid</v>
      </c>
      <c r="AN740" t="str">
        <f t="shared" si="150"/>
        <v>Valid</v>
      </c>
      <c r="AO740" t="str">
        <f t="shared" si="151"/>
        <v>Valid</v>
      </c>
      <c r="AP740" t="str">
        <f t="shared" si="152"/>
        <v>Valid</v>
      </c>
      <c r="AQ740" t="str">
        <f>IF(Audit_Data[[#This Row],[Z_CostContact]]=3,"Valid","Invalid")</f>
        <v>Valid</v>
      </c>
      <c r="AR740" t="str">
        <f t="shared" si="153"/>
        <v>Valid</v>
      </c>
      <c r="AS740" t="str">
        <f t="shared" si="154"/>
        <v>Valid</v>
      </c>
    </row>
    <row r="741" spans="1:45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 t="str">
        <f t="shared" si="143"/>
        <v>Ok</v>
      </c>
      <c r="AE741" t="str">
        <f>IF(AND(Audit_Data[[#This Row],[Year_Birth]]&gt;=1900,Audit_Data[[#This Row],[Year_Birth]]&lt;=2010),"OK","Invalid")</f>
        <v>OK</v>
      </c>
      <c r="AF741" t="str">
        <f t="shared" si="144"/>
        <v>Valid</v>
      </c>
      <c r="AG741" t="str">
        <f t="shared" si="145"/>
        <v>Valid</v>
      </c>
      <c r="AH741" t="str">
        <f t="shared" si="146"/>
        <v>Valid</v>
      </c>
      <c r="AI741" t="str">
        <f t="shared" si="147"/>
        <v>Valid</v>
      </c>
      <c r="AJ741" t="str">
        <f t="shared" si="148"/>
        <v>Valid</v>
      </c>
      <c r="AK741" t="str">
        <f t="shared" si="155"/>
        <v xml:space="preserve">Valid </v>
      </c>
      <c r="AL741" t="str">
        <f>IF(AND(Audit_Data[[#This Row],[Recency]]&gt;=0,Audit_Data[[#This Row],[Recency]]&lt;=100),"Valid","Invalid")</f>
        <v>Valid</v>
      </c>
      <c r="AM741" t="str">
        <f t="shared" si="149"/>
        <v>Valid</v>
      </c>
      <c r="AN741" t="str">
        <f t="shared" si="150"/>
        <v>Valid</v>
      </c>
      <c r="AO741" t="str">
        <f t="shared" si="151"/>
        <v>Valid</v>
      </c>
      <c r="AP741" t="str">
        <f t="shared" si="152"/>
        <v>Valid</v>
      </c>
      <c r="AQ741" t="str">
        <f>IF(Audit_Data[[#This Row],[Z_CostContact]]=3,"Valid","Invalid")</f>
        <v>Valid</v>
      </c>
      <c r="AR741" t="str">
        <f t="shared" si="153"/>
        <v>Valid</v>
      </c>
      <c r="AS741" t="str">
        <f t="shared" si="154"/>
        <v>Valid</v>
      </c>
    </row>
    <row r="742" spans="1:45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 t="str">
        <f t="shared" si="143"/>
        <v>Ok</v>
      </c>
      <c r="AE742" t="str">
        <f>IF(AND(Audit_Data[[#This Row],[Year_Birth]]&gt;=1900,Audit_Data[[#This Row],[Year_Birth]]&lt;=2010),"OK","Invalid")</f>
        <v>OK</v>
      </c>
      <c r="AF742" t="str">
        <f t="shared" si="144"/>
        <v>Valid</v>
      </c>
      <c r="AG742" t="str">
        <f t="shared" si="145"/>
        <v>Valid</v>
      </c>
      <c r="AH742" t="str">
        <f t="shared" si="146"/>
        <v>Valid</v>
      </c>
      <c r="AI742" t="str">
        <f t="shared" si="147"/>
        <v>Valid</v>
      </c>
      <c r="AJ742" t="str">
        <f t="shared" si="148"/>
        <v>Valid</v>
      </c>
      <c r="AK742" t="str">
        <f t="shared" si="155"/>
        <v xml:space="preserve">Valid </v>
      </c>
      <c r="AL742" t="str">
        <f>IF(AND(Audit_Data[[#This Row],[Recency]]&gt;=0,Audit_Data[[#This Row],[Recency]]&lt;=100),"Valid","Invalid")</f>
        <v>Valid</v>
      </c>
      <c r="AM742" t="str">
        <f t="shared" si="149"/>
        <v>Valid</v>
      </c>
      <c r="AN742" t="str">
        <f t="shared" si="150"/>
        <v>Valid</v>
      </c>
      <c r="AO742" t="str">
        <f t="shared" si="151"/>
        <v>Valid</v>
      </c>
      <c r="AP742" t="str">
        <f t="shared" si="152"/>
        <v>Valid</v>
      </c>
      <c r="AQ742" t="str">
        <f>IF(Audit_Data[[#This Row],[Z_CostContact]]=3,"Valid","Invalid")</f>
        <v>Valid</v>
      </c>
      <c r="AR742" t="str">
        <f t="shared" si="153"/>
        <v>Valid</v>
      </c>
      <c r="AS742" t="str">
        <f t="shared" si="154"/>
        <v>Valid</v>
      </c>
    </row>
    <row r="743" spans="1:45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 t="str">
        <f t="shared" si="143"/>
        <v>Ok</v>
      </c>
      <c r="AE743" t="str">
        <f>IF(AND(Audit_Data[[#This Row],[Year_Birth]]&gt;=1900,Audit_Data[[#This Row],[Year_Birth]]&lt;=2010),"OK","Invalid")</f>
        <v>OK</v>
      </c>
      <c r="AF743" t="str">
        <f t="shared" si="144"/>
        <v>Valid</v>
      </c>
      <c r="AG743" t="str">
        <f t="shared" si="145"/>
        <v>Valid</v>
      </c>
      <c r="AH743" t="str">
        <f t="shared" si="146"/>
        <v>Valid</v>
      </c>
      <c r="AI743" t="str">
        <f t="shared" si="147"/>
        <v>Valid</v>
      </c>
      <c r="AJ743" t="str">
        <f t="shared" si="148"/>
        <v>Valid</v>
      </c>
      <c r="AK743" t="str">
        <f t="shared" si="155"/>
        <v xml:space="preserve">Valid </v>
      </c>
      <c r="AL743" t="str">
        <f>IF(AND(Audit_Data[[#This Row],[Recency]]&gt;=0,Audit_Data[[#This Row],[Recency]]&lt;=100),"Valid","Invalid")</f>
        <v>Valid</v>
      </c>
      <c r="AM743" t="str">
        <f t="shared" si="149"/>
        <v>Valid</v>
      </c>
      <c r="AN743" t="str">
        <f t="shared" si="150"/>
        <v>Valid</v>
      </c>
      <c r="AO743" t="str">
        <f t="shared" si="151"/>
        <v>Valid</v>
      </c>
      <c r="AP743" t="str">
        <f t="shared" si="152"/>
        <v>Valid</v>
      </c>
      <c r="AQ743" t="str">
        <f>IF(Audit_Data[[#This Row],[Z_CostContact]]=3,"Valid","Invalid")</f>
        <v>Valid</v>
      </c>
      <c r="AR743" t="str">
        <f t="shared" si="153"/>
        <v>Valid</v>
      </c>
      <c r="AS743" t="str">
        <f t="shared" si="154"/>
        <v>Valid</v>
      </c>
    </row>
    <row r="744" spans="1:45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 t="str">
        <f t="shared" si="143"/>
        <v>Ok</v>
      </c>
      <c r="AE744" t="str">
        <f>IF(AND(Audit_Data[[#This Row],[Year_Birth]]&gt;=1900,Audit_Data[[#This Row],[Year_Birth]]&lt;=2010),"OK","Invalid")</f>
        <v>OK</v>
      </c>
      <c r="AF744" t="str">
        <f t="shared" si="144"/>
        <v>Valid</v>
      </c>
      <c r="AG744" t="str">
        <f t="shared" si="145"/>
        <v>Valid</v>
      </c>
      <c r="AH744" t="str">
        <f t="shared" si="146"/>
        <v>Valid</v>
      </c>
      <c r="AI744" t="str">
        <f t="shared" si="147"/>
        <v>Valid</v>
      </c>
      <c r="AJ744" t="str">
        <f t="shared" si="148"/>
        <v>Valid</v>
      </c>
      <c r="AK744" t="str">
        <f t="shared" si="155"/>
        <v xml:space="preserve">Valid </v>
      </c>
      <c r="AL744" t="str">
        <f>IF(AND(Audit_Data[[#This Row],[Recency]]&gt;=0,Audit_Data[[#This Row],[Recency]]&lt;=100),"Valid","Invalid")</f>
        <v>Valid</v>
      </c>
      <c r="AM744" t="str">
        <f t="shared" si="149"/>
        <v>Valid</v>
      </c>
      <c r="AN744" t="str">
        <f t="shared" si="150"/>
        <v>Valid</v>
      </c>
      <c r="AO744" t="str">
        <f t="shared" si="151"/>
        <v>Valid</v>
      </c>
      <c r="AP744" t="str">
        <f t="shared" si="152"/>
        <v>Valid</v>
      </c>
      <c r="AQ744" t="str">
        <f>IF(Audit_Data[[#This Row],[Z_CostContact]]=3,"Valid","Invalid")</f>
        <v>Valid</v>
      </c>
      <c r="AR744" t="str">
        <f t="shared" si="153"/>
        <v>Valid</v>
      </c>
      <c r="AS744" t="str">
        <f t="shared" si="154"/>
        <v>Valid</v>
      </c>
    </row>
    <row r="745" spans="1:45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 t="str">
        <f t="shared" si="143"/>
        <v>Ok</v>
      </c>
      <c r="AE745" t="str">
        <f>IF(AND(Audit_Data[[#This Row],[Year_Birth]]&gt;=1900,Audit_Data[[#This Row],[Year_Birth]]&lt;=2010),"OK","Invalid")</f>
        <v>OK</v>
      </c>
      <c r="AF745" t="str">
        <f t="shared" si="144"/>
        <v>Valid</v>
      </c>
      <c r="AG745" t="str">
        <f t="shared" si="145"/>
        <v>Valid</v>
      </c>
      <c r="AH745" t="str">
        <f t="shared" si="146"/>
        <v>Valid</v>
      </c>
      <c r="AI745" t="str">
        <f t="shared" si="147"/>
        <v>Valid</v>
      </c>
      <c r="AJ745" t="str">
        <f t="shared" si="148"/>
        <v>Valid</v>
      </c>
      <c r="AK745" t="str">
        <f t="shared" si="155"/>
        <v xml:space="preserve">Valid </v>
      </c>
      <c r="AL745" t="str">
        <f>IF(AND(Audit_Data[[#This Row],[Recency]]&gt;=0,Audit_Data[[#This Row],[Recency]]&lt;=100),"Valid","Invalid")</f>
        <v>Valid</v>
      </c>
      <c r="AM745" t="str">
        <f t="shared" si="149"/>
        <v>Valid</v>
      </c>
      <c r="AN745" t="str">
        <f t="shared" si="150"/>
        <v>Valid</v>
      </c>
      <c r="AO745" t="str">
        <f t="shared" si="151"/>
        <v>Valid</v>
      </c>
      <c r="AP745" t="str">
        <f t="shared" si="152"/>
        <v>Valid</v>
      </c>
      <c r="AQ745" t="str">
        <f>IF(Audit_Data[[#This Row],[Z_CostContact]]=3,"Valid","Invalid")</f>
        <v>Valid</v>
      </c>
      <c r="AR745" t="str">
        <f t="shared" si="153"/>
        <v>Valid</v>
      </c>
      <c r="AS745" t="str">
        <f t="shared" si="154"/>
        <v>Valid</v>
      </c>
    </row>
    <row r="746" spans="1:45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 t="str">
        <f t="shared" si="143"/>
        <v>Ok</v>
      </c>
      <c r="AE746" t="str">
        <f>IF(AND(Audit_Data[[#This Row],[Year_Birth]]&gt;=1900,Audit_Data[[#This Row],[Year_Birth]]&lt;=2010),"OK","Invalid")</f>
        <v>OK</v>
      </c>
      <c r="AF746" t="str">
        <f t="shared" si="144"/>
        <v>Valid</v>
      </c>
      <c r="AG746" t="str">
        <f t="shared" si="145"/>
        <v>Valid</v>
      </c>
      <c r="AH746" t="str">
        <f t="shared" si="146"/>
        <v>Valid</v>
      </c>
      <c r="AI746" t="str">
        <f t="shared" si="147"/>
        <v>Valid</v>
      </c>
      <c r="AJ746" t="str">
        <f t="shared" si="148"/>
        <v>Valid</v>
      </c>
      <c r="AK746" t="str">
        <f t="shared" si="155"/>
        <v xml:space="preserve">Valid </v>
      </c>
      <c r="AL746" t="str">
        <f>IF(AND(Audit_Data[[#This Row],[Recency]]&gt;=0,Audit_Data[[#This Row],[Recency]]&lt;=100),"Valid","Invalid")</f>
        <v>Valid</v>
      </c>
      <c r="AM746" t="str">
        <f t="shared" si="149"/>
        <v>Valid</v>
      </c>
      <c r="AN746" t="str">
        <f t="shared" si="150"/>
        <v>Valid</v>
      </c>
      <c r="AO746" t="str">
        <f t="shared" si="151"/>
        <v>Valid</v>
      </c>
      <c r="AP746" t="str">
        <f t="shared" si="152"/>
        <v>Valid</v>
      </c>
      <c r="AQ746" t="str">
        <f>IF(Audit_Data[[#This Row],[Z_CostContact]]=3,"Valid","Invalid")</f>
        <v>Valid</v>
      </c>
      <c r="AR746" t="str">
        <f t="shared" si="153"/>
        <v>Valid</v>
      </c>
      <c r="AS746" t="str">
        <f t="shared" si="154"/>
        <v>Valid</v>
      </c>
    </row>
    <row r="747" spans="1:45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 t="str">
        <f t="shared" si="143"/>
        <v>Ok</v>
      </c>
      <c r="AE747" t="str">
        <f>IF(AND(Audit_Data[[#This Row],[Year_Birth]]&gt;=1900,Audit_Data[[#This Row],[Year_Birth]]&lt;=2010),"OK","Invalid")</f>
        <v>OK</v>
      </c>
      <c r="AF747" t="str">
        <f t="shared" si="144"/>
        <v>Valid</v>
      </c>
      <c r="AG747" t="str">
        <f t="shared" si="145"/>
        <v>Valid</v>
      </c>
      <c r="AH747" t="str">
        <f t="shared" si="146"/>
        <v>Valid</v>
      </c>
      <c r="AI747" t="str">
        <f t="shared" si="147"/>
        <v>Valid</v>
      </c>
      <c r="AJ747" t="str">
        <f t="shared" si="148"/>
        <v>Valid</v>
      </c>
      <c r="AK747" t="str">
        <f t="shared" si="155"/>
        <v xml:space="preserve">Valid </v>
      </c>
      <c r="AL747" t="str">
        <f>IF(AND(Audit_Data[[#This Row],[Recency]]&gt;=0,Audit_Data[[#This Row],[Recency]]&lt;=100),"Valid","Invalid")</f>
        <v>Valid</v>
      </c>
      <c r="AM747" t="str">
        <f t="shared" si="149"/>
        <v>Valid</v>
      </c>
      <c r="AN747" t="str">
        <f t="shared" si="150"/>
        <v>Valid</v>
      </c>
      <c r="AO747" t="str">
        <f t="shared" si="151"/>
        <v>Valid</v>
      </c>
      <c r="AP747" t="str">
        <f t="shared" si="152"/>
        <v>Valid</v>
      </c>
      <c r="AQ747" t="str">
        <f>IF(Audit_Data[[#This Row],[Z_CostContact]]=3,"Valid","Invalid")</f>
        <v>Valid</v>
      </c>
      <c r="AR747" t="str">
        <f t="shared" si="153"/>
        <v>Valid</v>
      </c>
      <c r="AS747" t="str">
        <f t="shared" si="154"/>
        <v>Valid</v>
      </c>
    </row>
    <row r="748" spans="1:45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 t="str">
        <f t="shared" si="143"/>
        <v>Ok</v>
      </c>
      <c r="AE748" t="str">
        <f>IF(AND(Audit_Data[[#This Row],[Year_Birth]]&gt;=1900,Audit_Data[[#This Row],[Year_Birth]]&lt;=2010),"OK","Invalid")</f>
        <v>OK</v>
      </c>
      <c r="AF748" t="str">
        <f t="shared" si="144"/>
        <v>Valid</v>
      </c>
      <c r="AG748" t="str">
        <f t="shared" si="145"/>
        <v>Valid</v>
      </c>
      <c r="AH748" t="str">
        <f t="shared" si="146"/>
        <v>Valid</v>
      </c>
      <c r="AI748" t="str">
        <f t="shared" si="147"/>
        <v>Valid</v>
      </c>
      <c r="AJ748" t="str">
        <f t="shared" si="148"/>
        <v>Valid</v>
      </c>
      <c r="AK748" t="str">
        <f t="shared" si="155"/>
        <v xml:space="preserve">Valid </v>
      </c>
      <c r="AL748" t="str">
        <f>IF(AND(Audit_Data[[#This Row],[Recency]]&gt;=0,Audit_Data[[#This Row],[Recency]]&lt;=100),"Valid","Invalid")</f>
        <v>Valid</v>
      </c>
      <c r="AM748" t="str">
        <f t="shared" si="149"/>
        <v>Valid</v>
      </c>
      <c r="AN748" t="str">
        <f t="shared" si="150"/>
        <v>Valid</v>
      </c>
      <c r="AO748" t="str">
        <f t="shared" si="151"/>
        <v>Valid</v>
      </c>
      <c r="AP748" t="str">
        <f t="shared" si="152"/>
        <v>Valid</v>
      </c>
      <c r="AQ748" t="str">
        <f>IF(Audit_Data[[#This Row],[Z_CostContact]]=3,"Valid","Invalid")</f>
        <v>Valid</v>
      </c>
      <c r="AR748" t="str">
        <f t="shared" si="153"/>
        <v>Valid</v>
      </c>
      <c r="AS748" t="str">
        <f t="shared" si="154"/>
        <v>Valid</v>
      </c>
    </row>
    <row r="749" spans="1:45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 t="str">
        <f t="shared" si="143"/>
        <v>Ok</v>
      </c>
      <c r="AE749" t="str">
        <f>IF(AND(Audit_Data[[#This Row],[Year_Birth]]&gt;=1900,Audit_Data[[#This Row],[Year_Birth]]&lt;=2010),"OK","Invalid")</f>
        <v>OK</v>
      </c>
      <c r="AF749" t="str">
        <f t="shared" si="144"/>
        <v>Valid</v>
      </c>
      <c r="AG749" t="str">
        <f t="shared" si="145"/>
        <v>Valid</v>
      </c>
      <c r="AH749" t="str">
        <f t="shared" si="146"/>
        <v>Valid</v>
      </c>
      <c r="AI749" t="str">
        <f t="shared" si="147"/>
        <v>Valid</v>
      </c>
      <c r="AJ749" t="str">
        <f t="shared" si="148"/>
        <v>Valid</v>
      </c>
      <c r="AK749" t="str">
        <f t="shared" si="155"/>
        <v xml:space="preserve">Valid </v>
      </c>
      <c r="AL749" t="str">
        <f>IF(AND(Audit_Data[[#This Row],[Recency]]&gt;=0,Audit_Data[[#This Row],[Recency]]&lt;=100),"Valid","Invalid")</f>
        <v>Valid</v>
      </c>
      <c r="AM749" t="str">
        <f t="shared" si="149"/>
        <v>Valid</v>
      </c>
      <c r="AN749" t="str">
        <f t="shared" si="150"/>
        <v>Valid</v>
      </c>
      <c r="AO749" t="str">
        <f t="shared" si="151"/>
        <v>Valid</v>
      </c>
      <c r="AP749" t="str">
        <f t="shared" si="152"/>
        <v>Valid</v>
      </c>
      <c r="AQ749" t="str">
        <f>IF(Audit_Data[[#This Row],[Z_CostContact]]=3,"Valid","Invalid")</f>
        <v>Valid</v>
      </c>
      <c r="AR749" t="str">
        <f t="shared" si="153"/>
        <v>Valid</v>
      </c>
      <c r="AS749" t="str">
        <f t="shared" si="154"/>
        <v>Valid</v>
      </c>
    </row>
    <row r="750" spans="1:45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 t="str">
        <f t="shared" si="143"/>
        <v>Ok</v>
      </c>
      <c r="AE750" t="str">
        <f>IF(AND(Audit_Data[[#This Row],[Year_Birth]]&gt;=1900,Audit_Data[[#This Row],[Year_Birth]]&lt;=2010),"OK","Invalid")</f>
        <v>OK</v>
      </c>
      <c r="AF750" t="str">
        <f t="shared" si="144"/>
        <v>Valid</v>
      </c>
      <c r="AG750" t="str">
        <f t="shared" si="145"/>
        <v>Valid</v>
      </c>
      <c r="AH750" t="str">
        <f t="shared" si="146"/>
        <v>Valid</v>
      </c>
      <c r="AI750" t="str">
        <f t="shared" si="147"/>
        <v>Valid</v>
      </c>
      <c r="AJ750" t="str">
        <f t="shared" si="148"/>
        <v>Valid</v>
      </c>
      <c r="AK750" t="str">
        <f t="shared" si="155"/>
        <v xml:space="preserve">Valid </v>
      </c>
      <c r="AL750" t="str">
        <f>IF(AND(Audit_Data[[#This Row],[Recency]]&gt;=0,Audit_Data[[#This Row],[Recency]]&lt;=100),"Valid","Invalid")</f>
        <v>Valid</v>
      </c>
      <c r="AM750" t="str">
        <f t="shared" si="149"/>
        <v>Valid</v>
      </c>
      <c r="AN750" t="str">
        <f t="shared" si="150"/>
        <v>Valid</v>
      </c>
      <c r="AO750" t="str">
        <f t="shared" si="151"/>
        <v>Valid</v>
      </c>
      <c r="AP750" t="str">
        <f t="shared" si="152"/>
        <v>Valid</v>
      </c>
      <c r="AQ750" t="str">
        <f>IF(Audit_Data[[#This Row],[Z_CostContact]]=3,"Valid","Invalid")</f>
        <v>Valid</v>
      </c>
      <c r="AR750" t="str">
        <f t="shared" si="153"/>
        <v>Valid</v>
      </c>
      <c r="AS750" t="str">
        <f t="shared" si="154"/>
        <v>Valid</v>
      </c>
    </row>
    <row r="751" spans="1:45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 t="str">
        <f t="shared" si="143"/>
        <v>Ok</v>
      </c>
      <c r="AE751" t="str">
        <f>IF(AND(Audit_Data[[#This Row],[Year_Birth]]&gt;=1900,Audit_Data[[#This Row],[Year_Birth]]&lt;=2010),"OK","Invalid")</f>
        <v>OK</v>
      </c>
      <c r="AF751" t="str">
        <f t="shared" si="144"/>
        <v>Valid</v>
      </c>
      <c r="AG751" t="str">
        <f t="shared" si="145"/>
        <v>Valid</v>
      </c>
      <c r="AH751" t="str">
        <f t="shared" si="146"/>
        <v>Valid</v>
      </c>
      <c r="AI751" t="str">
        <f t="shared" si="147"/>
        <v>Valid</v>
      </c>
      <c r="AJ751" t="str">
        <f t="shared" si="148"/>
        <v>Valid</v>
      </c>
      <c r="AK751" t="str">
        <f t="shared" si="155"/>
        <v xml:space="preserve">Valid </v>
      </c>
      <c r="AL751" t="str">
        <f>IF(AND(Audit_Data[[#This Row],[Recency]]&gt;=0,Audit_Data[[#This Row],[Recency]]&lt;=100),"Valid","Invalid")</f>
        <v>Valid</v>
      </c>
      <c r="AM751" t="str">
        <f t="shared" si="149"/>
        <v>Valid</v>
      </c>
      <c r="AN751" t="str">
        <f t="shared" si="150"/>
        <v>Valid</v>
      </c>
      <c r="AO751" t="str">
        <f t="shared" si="151"/>
        <v>Valid</v>
      </c>
      <c r="AP751" t="str">
        <f t="shared" si="152"/>
        <v>Valid</v>
      </c>
      <c r="AQ751" t="str">
        <f>IF(Audit_Data[[#This Row],[Z_CostContact]]=3,"Valid","Invalid")</f>
        <v>Valid</v>
      </c>
      <c r="AR751" t="str">
        <f t="shared" si="153"/>
        <v>Valid</v>
      </c>
      <c r="AS751" t="str">
        <f t="shared" si="154"/>
        <v>Valid</v>
      </c>
    </row>
    <row r="752" spans="1:45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 t="str">
        <f t="shared" si="143"/>
        <v>Ok</v>
      </c>
      <c r="AE752" t="str">
        <f>IF(AND(Audit_Data[[#This Row],[Year_Birth]]&gt;=1900,Audit_Data[[#This Row],[Year_Birth]]&lt;=2010),"OK","Invalid")</f>
        <v>OK</v>
      </c>
      <c r="AF752" t="str">
        <f t="shared" si="144"/>
        <v>Valid</v>
      </c>
      <c r="AG752" t="str">
        <f t="shared" si="145"/>
        <v>Valid</v>
      </c>
      <c r="AH752" t="str">
        <f t="shared" si="146"/>
        <v>Valid</v>
      </c>
      <c r="AI752" t="str">
        <f t="shared" si="147"/>
        <v>Valid</v>
      </c>
      <c r="AJ752" t="str">
        <f t="shared" si="148"/>
        <v>Valid</v>
      </c>
      <c r="AK752" t="str">
        <f t="shared" si="155"/>
        <v xml:space="preserve">Valid </v>
      </c>
      <c r="AL752" t="str">
        <f>IF(AND(Audit_Data[[#This Row],[Recency]]&gt;=0,Audit_Data[[#This Row],[Recency]]&lt;=100),"Valid","Invalid")</f>
        <v>Valid</v>
      </c>
      <c r="AM752" t="str">
        <f t="shared" si="149"/>
        <v>Valid</v>
      </c>
      <c r="AN752" t="str">
        <f t="shared" si="150"/>
        <v>Valid</v>
      </c>
      <c r="AO752" t="str">
        <f t="shared" si="151"/>
        <v>Valid</v>
      </c>
      <c r="AP752" t="str">
        <f t="shared" si="152"/>
        <v>Valid</v>
      </c>
      <c r="AQ752" t="str">
        <f>IF(Audit_Data[[#This Row],[Z_CostContact]]=3,"Valid","Invalid")</f>
        <v>Valid</v>
      </c>
      <c r="AR752" t="str">
        <f t="shared" si="153"/>
        <v>Valid</v>
      </c>
      <c r="AS752" t="str">
        <f t="shared" si="154"/>
        <v>Valid</v>
      </c>
    </row>
    <row r="753" spans="1:45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 t="str">
        <f t="shared" si="143"/>
        <v>Ok</v>
      </c>
      <c r="AE753" t="str">
        <f>IF(AND(Audit_Data[[#This Row],[Year_Birth]]&gt;=1900,Audit_Data[[#This Row],[Year_Birth]]&lt;=2010),"OK","Invalid")</f>
        <v>OK</v>
      </c>
      <c r="AF753" t="str">
        <f t="shared" si="144"/>
        <v>Valid</v>
      </c>
      <c r="AG753" t="str">
        <f t="shared" si="145"/>
        <v>Valid</v>
      </c>
      <c r="AH753" t="str">
        <f t="shared" si="146"/>
        <v>Valid</v>
      </c>
      <c r="AI753" t="str">
        <f t="shared" si="147"/>
        <v>Valid</v>
      </c>
      <c r="AJ753" t="str">
        <f t="shared" si="148"/>
        <v>Valid</v>
      </c>
      <c r="AK753" t="str">
        <f t="shared" si="155"/>
        <v xml:space="preserve">Valid </v>
      </c>
      <c r="AL753" t="str">
        <f>IF(AND(Audit_Data[[#This Row],[Recency]]&gt;=0,Audit_Data[[#This Row],[Recency]]&lt;=100),"Valid","Invalid")</f>
        <v>Valid</v>
      </c>
      <c r="AM753" t="str">
        <f t="shared" si="149"/>
        <v>Valid</v>
      </c>
      <c r="AN753" t="str">
        <f t="shared" si="150"/>
        <v>Valid</v>
      </c>
      <c r="AO753" t="str">
        <f t="shared" si="151"/>
        <v>Valid</v>
      </c>
      <c r="AP753" t="str">
        <f t="shared" si="152"/>
        <v>Valid</v>
      </c>
      <c r="AQ753" t="str">
        <f>IF(Audit_Data[[#This Row],[Z_CostContact]]=3,"Valid","Invalid")</f>
        <v>Valid</v>
      </c>
      <c r="AR753" t="str">
        <f t="shared" si="153"/>
        <v>Valid</v>
      </c>
      <c r="AS753" t="str">
        <f t="shared" si="154"/>
        <v>Valid</v>
      </c>
    </row>
    <row r="754" spans="1:45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 t="str">
        <f t="shared" si="143"/>
        <v>Ok</v>
      </c>
      <c r="AE754" t="str">
        <f>IF(AND(Audit_Data[[#This Row],[Year_Birth]]&gt;=1900,Audit_Data[[#This Row],[Year_Birth]]&lt;=2010),"OK","Invalid")</f>
        <v>OK</v>
      </c>
      <c r="AF754" t="str">
        <f t="shared" si="144"/>
        <v>Valid</v>
      </c>
      <c r="AG754" t="str">
        <f t="shared" si="145"/>
        <v>Valid</v>
      </c>
      <c r="AH754" t="str">
        <f t="shared" si="146"/>
        <v>Valid</v>
      </c>
      <c r="AI754" t="str">
        <f t="shared" si="147"/>
        <v>Valid</v>
      </c>
      <c r="AJ754" t="str">
        <f t="shared" si="148"/>
        <v>Valid</v>
      </c>
      <c r="AK754" t="str">
        <f t="shared" si="155"/>
        <v xml:space="preserve">Valid </v>
      </c>
      <c r="AL754" t="str">
        <f>IF(AND(Audit_Data[[#This Row],[Recency]]&gt;=0,Audit_Data[[#This Row],[Recency]]&lt;=100),"Valid","Invalid")</f>
        <v>Valid</v>
      </c>
      <c r="AM754" t="str">
        <f t="shared" si="149"/>
        <v>Valid</v>
      </c>
      <c r="AN754" t="str">
        <f t="shared" si="150"/>
        <v>Valid</v>
      </c>
      <c r="AO754" t="str">
        <f t="shared" si="151"/>
        <v>Valid</v>
      </c>
      <c r="AP754" t="str">
        <f t="shared" si="152"/>
        <v>Valid</v>
      </c>
      <c r="AQ754" t="str">
        <f>IF(Audit_Data[[#This Row],[Z_CostContact]]=3,"Valid","Invalid")</f>
        <v>Valid</v>
      </c>
      <c r="AR754" t="str">
        <f t="shared" si="153"/>
        <v>Valid</v>
      </c>
      <c r="AS754" t="str">
        <f t="shared" si="154"/>
        <v>Valid</v>
      </c>
    </row>
    <row r="755" spans="1:45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 t="str">
        <f t="shared" si="143"/>
        <v>Ok</v>
      </c>
      <c r="AE755" t="str">
        <f>IF(AND(Audit_Data[[#This Row],[Year_Birth]]&gt;=1900,Audit_Data[[#This Row],[Year_Birth]]&lt;=2010),"OK","Invalid")</f>
        <v>OK</v>
      </c>
      <c r="AF755" t="str">
        <f t="shared" si="144"/>
        <v>Valid</v>
      </c>
      <c r="AG755" t="str">
        <f t="shared" si="145"/>
        <v>Valid</v>
      </c>
      <c r="AH755" t="str">
        <f t="shared" si="146"/>
        <v>Valid</v>
      </c>
      <c r="AI755" t="str">
        <f t="shared" si="147"/>
        <v>Valid</v>
      </c>
      <c r="AJ755" t="str">
        <f t="shared" si="148"/>
        <v>Valid</v>
      </c>
      <c r="AK755" t="str">
        <f t="shared" si="155"/>
        <v xml:space="preserve">Valid </v>
      </c>
      <c r="AL755" t="str">
        <f>IF(AND(Audit_Data[[#This Row],[Recency]]&gt;=0,Audit_Data[[#This Row],[Recency]]&lt;=100),"Valid","Invalid")</f>
        <v>Valid</v>
      </c>
      <c r="AM755" t="str">
        <f t="shared" si="149"/>
        <v>Valid</v>
      </c>
      <c r="AN755" t="str">
        <f t="shared" si="150"/>
        <v>Valid</v>
      </c>
      <c r="AO755" t="str">
        <f t="shared" si="151"/>
        <v>Valid</v>
      </c>
      <c r="AP755" t="str">
        <f t="shared" si="152"/>
        <v>Valid</v>
      </c>
      <c r="AQ755" t="str">
        <f>IF(Audit_Data[[#This Row],[Z_CostContact]]=3,"Valid","Invalid")</f>
        <v>Valid</v>
      </c>
      <c r="AR755" t="str">
        <f t="shared" si="153"/>
        <v>Valid</v>
      </c>
      <c r="AS755" t="str">
        <f t="shared" si="154"/>
        <v>Valid</v>
      </c>
    </row>
    <row r="756" spans="1:45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 t="str">
        <f t="shared" si="143"/>
        <v>Ok</v>
      </c>
      <c r="AE756" t="str">
        <f>IF(AND(Audit_Data[[#This Row],[Year_Birth]]&gt;=1900,Audit_Data[[#This Row],[Year_Birth]]&lt;=2010),"OK","Invalid")</f>
        <v>OK</v>
      </c>
      <c r="AF756" t="str">
        <f t="shared" si="144"/>
        <v>Valid</v>
      </c>
      <c r="AG756" t="str">
        <f t="shared" si="145"/>
        <v>Valid</v>
      </c>
      <c r="AH756" t="str">
        <f t="shared" si="146"/>
        <v>Valid</v>
      </c>
      <c r="AI756" t="str">
        <f t="shared" si="147"/>
        <v>Valid</v>
      </c>
      <c r="AJ756" t="str">
        <f t="shared" si="148"/>
        <v>Valid</v>
      </c>
      <c r="AK756" t="str">
        <f t="shared" si="155"/>
        <v xml:space="preserve">Valid </v>
      </c>
      <c r="AL756" t="str">
        <f>IF(AND(Audit_Data[[#This Row],[Recency]]&gt;=0,Audit_Data[[#This Row],[Recency]]&lt;=100),"Valid","Invalid")</f>
        <v>Valid</v>
      </c>
      <c r="AM756" t="str">
        <f t="shared" si="149"/>
        <v>Valid</v>
      </c>
      <c r="AN756" t="str">
        <f t="shared" si="150"/>
        <v>Valid</v>
      </c>
      <c r="AO756" t="str">
        <f t="shared" si="151"/>
        <v>Valid</v>
      </c>
      <c r="AP756" t="str">
        <f t="shared" si="152"/>
        <v>Valid</v>
      </c>
      <c r="AQ756" t="str">
        <f>IF(Audit_Data[[#This Row],[Z_CostContact]]=3,"Valid","Invalid")</f>
        <v>Valid</v>
      </c>
      <c r="AR756" t="str">
        <f t="shared" si="153"/>
        <v>Valid</v>
      </c>
      <c r="AS756" t="str">
        <f t="shared" si="154"/>
        <v>Valid</v>
      </c>
    </row>
    <row r="757" spans="1:45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 t="str">
        <f t="shared" si="143"/>
        <v>Ok</v>
      </c>
      <c r="AE757" t="str">
        <f>IF(AND(Audit_Data[[#This Row],[Year_Birth]]&gt;=1900,Audit_Data[[#This Row],[Year_Birth]]&lt;=2010),"OK","Invalid")</f>
        <v>OK</v>
      </c>
      <c r="AF757" t="str">
        <f t="shared" si="144"/>
        <v>Valid</v>
      </c>
      <c r="AG757" t="str">
        <f t="shared" si="145"/>
        <v>Valid</v>
      </c>
      <c r="AH757" t="str">
        <f t="shared" si="146"/>
        <v>Valid</v>
      </c>
      <c r="AI757" t="str">
        <f t="shared" si="147"/>
        <v>Valid</v>
      </c>
      <c r="AJ757" t="str">
        <f t="shared" si="148"/>
        <v>Valid</v>
      </c>
      <c r="AK757" t="str">
        <f t="shared" si="155"/>
        <v xml:space="preserve">Valid </v>
      </c>
      <c r="AL757" t="str">
        <f>IF(AND(Audit_Data[[#This Row],[Recency]]&gt;=0,Audit_Data[[#This Row],[Recency]]&lt;=100),"Valid","Invalid")</f>
        <v>Valid</v>
      </c>
      <c r="AM757" t="str">
        <f t="shared" si="149"/>
        <v>Valid</v>
      </c>
      <c r="AN757" t="str">
        <f t="shared" si="150"/>
        <v>Valid</v>
      </c>
      <c r="AO757" t="str">
        <f t="shared" si="151"/>
        <v>Valid</v>
      </c>
      <c r="AP757" t="str">
        <f t="shared" si="152"/>
        <v>Valid</v>
      </c>
      <c r="AQ757" t="str">
        <f>IF(Audit_Data[[#This Row],[Z_CostContact]]=3,"Valid","Invalid")</f>
        <v>Valid</v>
      </c>
      <c r="AR757" t="str">
        <f t="shared" si="153"/>
        <v>Valid</v>
      </c>
      <c r="AS757" t="str">
        <f t="shared" si="154"/>
        <v>Valid</v>
      </c>
    </row>
    <row r="758" spans="1:45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 t="str">
        <f t="shared" si="143"/>
        <v>Ok</v>
      </c>
      <c r="AE758" t="str">
        <f>IF(AND(Audit_Data[[#This Row],[Year_Birth]]&gt;=1900,Audit_Data[[#This Row],[Year_Birth]]&lt;=2010),"OK","Invalid")</f>
        <v>OK</v>
      </c>
      <c r="AF758" t="str">
        <f t="shared" si="144"/>
        <v>Valid</v>
      </c>
      <c r="AG758" t="str">
        <f t="shared" si="145"/>
        <v>Valid</v>
      </c>
      <c r="AH758" t="str">
        <f t="shared" si="146"/>
        <v>Valid</v>
      </c>
      <c r="AI758" t="str">
        <f t="shared" si="147"/>
        <v>Valid</v>
      </c>
      <c r="AJ758" t="str">
        <f t="shared" si="148"/>
        <v>Valid</v>
      </c>
      <c r="AK758" t="str">
        <f t="shared" si="155"/>
        <v xml:space="preserve">Valid </v>
      </c>
      <c r="AL758" t="str">
        <f>IF(AND(Audit_Data[[#This Row],[Recency]]&gt;=0,Audit_Data[[#This Row],[Recency]]&lt;=100),"Valid","Invalid")</f>
        <v>Valid</v>
      </c>
      <c r="AM758" t="str">
        <f t="shared" si="149"/>
        <v>Valid</v>
      </c>
      <c r="AN758" t="str">
        <f t="shared" si="150"/>
        <v>Valid</v>
      </c>
      <c r="AO758" t="str">
        <f t="shared" si="151"/>
        <v>Valid</v>
      </c>
      <c r="AP758" t="str">
        <f t="shared" si="152"/>
        <v>Valid</v>
      </c>
      <c r="AQ758" t="str">
        <f>IF(Audit_Data[[#This Row],[Z_CostContact]]=3,"Valid","Invalid")</f>
        <v>Valid</v>
      </c>
      <c r="AR758" t="str">
        <f t="shared" si="153"/>
        <v>Valid</v>
      </c>
      <c r="AS758" t="str">
        <f t="shared" si="154"/>
        <v>Valid</v>
      </c>
    </row>
    <row r="759" spans="1:45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 t="str">
        <f t="shared" si="143"/>
        <v>Ok</v>
      </c>
      <c r="AE759" t="str">
        <f>IF(AND(Audit_Data[[#This Row],[Year_Birth]]&gt;=1900,Audit_Data[[#This Row],[Year_Birth]]&lt;=2010),"OK","Invalid")</f>
        <v>OK</v>
      </c>
      <c r="AF759" t="str">
        <f t="shared" si="144"/>
        <v>Valid</v>
      </c>
      <c r="AG759" t="str">
        <f t="shared" si="145"/>
        <v>Valid</v>
      </c>
      <c r="AH759" t="str">
        <f t="shared" si="146"/>
        <v>Valid</v>
      </c>
      <c r="AI759" t="str">
        <f t="shared" si="147"/>
        <v>Valid</v>
      </c>
      <c r="AJ759" t="str">
        <f t="shared" si="148"/>
        <v>Valid</v>
      </c>
      <c r="AK759" t="str">
        <f t="shared" si="155"/>
        <v xml:space="preserve">Valid </v>
      </c>
      <c r="AL759" t="str">
        <f>IF(AND(Audit_Data[[#This Row],[Recency]]&gt;=0,Audit_Data[[#This Row],[Recency]]&lt;=100),"Valid","Invalid")</f>
        <v>Valid</v>
      </c>
      <c r="AM759" t="str">
        <f t="shared" si="149"/>
        <v>Valid</v>
      </c>
      <c r="AN759" t="str">
        <f t="shared" si="150"/>
        <v>Valid</v>
      </c>
      <c r="AO759" t="str">
        <f t="shared" si="151"/>
        <v>Valid</v>
      </c>
      <c r="AP759" t="str">
        <f t="shared" si="152"/>
        <v>Valid</v>
      </c>
      <c r="AQ759" t="str">
        <f>IF(Audit_Data[[#This Row],[Z_CostContact]]=3,"Valid","Invalid")</f>
        <v>Valid</v>
      </c>
      <c r="AR759" t="str">
        <f t="shared" si="153"/>
        <v>Valid</v>
      </c>
      <c r="AS759" t="str">
        <f t="shared" si="154"/>
        <v>Valid</v>
      </c>
    </row>
    <row r="760" spans="1:45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 t="str">
        <f t="shared" si="143"/>
        <v>Ok</v>
      </c>
      <c r="AE760" t="str">
        <f>IF(AND(Audit_Data[[#This Row],[Year_Birth]]&gt;=1900,Audit_Data[[#This Row],[Year_Birth]]&lt;=2010),"OK","Invalid")</f>
        <v>OK</v>
      </c>
      <c r="AF760" t="str">
        <f t="shared" si="144"/>
        <v>Valid</v>
      </c>
      <c r="AG760" t="str">
        <f t="shared" si="145"/>
        <v>Valid</v>
      </c>
      <c r="AH760" t="str">
        <f t="shared" si="146"/>
        <v>Valid</v>
      </c>
      <c r="AI760" t="str">
        <f t="shared" si="147"/>
        <v>Valid</v>
      </c>
      <c r="AJ760" t="str">
        <f t="shared" si="148"/>
        <v>Valid</v>
      </c>
      <c r="AK760" t="str">
        <f t="shared" si="155"/>
        <v xml:space="preserve">Valid </v>
      </c>
      <c r="AL760" t="str">
        <f>IF(AND(Audit_Data[[#This Row],[Recency]]&gt;=0,Audit_Data[[#This Row],[Recency]]&lt;=100),"Valid","Invalid")</f>
        <v>Valid</v>
      </c>
      <c r="AM760" t="str">
        <f t="shared" si="149"/>
        <v>Valid</v>
      </c>
      <c r="AN760" t="str">
        <f t="shared" si="150"/>
        <v>Valid</v>
      </c>
      <c r="AO760" t="str">
        <f t="shared" si="151"/>
        <v>Valid</v>
      </c>
      <c r="AP760" t="str">
        <f t="shared" si="152"/>
        <v>Valid</v>
      </c>
      <c r="AQ760" t="str">
        <f>IF(Audit_Data[[#This Row],[Z_CostContact]]=3,"Valid","Invalid")</f>
        <v>Valid</v>
      </c>
      <c r="AR760" t="str">
        <f t="shared" si="153"/>
        <v>Valid</v>
      </c>
      <c r="AS760" t="str">
        <f t="shared" si="154"/>
        <v>Valid</v>
      </c>
    </row>
    <row r="761" spans="1:45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 t="str">
        <f t="shared" si="143"/>
        <v>Ok</v>
      </c>
      <c r="AE761" t="str">
        <f>IF(AND(Audit_Data[[#This Row],[Year_Birth]]&gt;=1900,Audit_Data[[#This Row],[Year_Birth]]&lt;=2010),"OK","Invalid")</f>
        <v>OK</v>
      </c>
      <c r="AF761" t="str">
        <f t="shared" si="144"/>
        <v>Valid</v>
      </c>
      <c r="AG761" t="str">
        <f t="shared" si="145"/>
        <v>Valid</v>
      </c>
      <c r="AH761" t="str">
        <f t="shared" si="146"/>
        <v>Valid</v>
      </c>
      <c r="AI761" t="str">
        <f t="shared" si="147"/>
        <v>Valid</v>
      </c>
      <c r="AJ761" t="str">
        <f t="shared" si="148"/>
        <v>Valid</v>
      </c>
      <c r="AK761" t="str">
        <f t="shared" si="155"/>
        <v xml:space="preserve">Valid </v>
      </c>
      <c r="AL761" t="str">
        <f>IF(AND(Audit_Data[[#This Row],[Recency]]&gt;=0,Audit_Data[[#This Row],[Recency]]&lt;=100),"Valid","Invalid")</f>
        <v>Valid</v>
      </c>
      <c r="AM761" t="str">
        <f t="shared" si="149"/>
        <v>Valid</v>
      </c>
      <c r="AN761" t="str">
        <f t="shared" si="150"/>
        <v>Valid</v>
      </c>
      <c r="AO761" t="str">
        <f t="shared" si="151"/>
        <v>Valid</v>
      </c>
      <c r="AP761" t="str">
        <f t="shared" si="152"/>
        <v>Valid</v>
      </c>
      <c r="AQ761" t="str">
        <f>IF(Audit_Data[[#This Row],[Z_CostContact]]=3,"Valid","Invalid")</f>
        <v>Valid</v>
      </c>
      <c r="AR761" t="str">
        <f t="shared" si="153"/>
        <v>Valid</v>
      </c>
      <c r="AS761" t="str">
        <f t="shared" si="154"/>
        <v>Valid</v>
      </c>
    </row>
    <row r="762" spans="1:45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 t="str">
        <f t="shared" si="143"/>
        <v>Ok</v>
      </c>
      <c r="AE762" t="str">
        <f>IF(AND(Audit_Data[[#This Row],[Year_Birth]]&gt;=1900,Audit_Data[[#This Row],[Year_Birth]]&lt;=2010),"OK","Invalid")</f>
        <v>OK</v>
      </c>
      <c r="AF762" t="str">
        <f t="shared" si="144"/>
        <v>Valid</v>
      </c>
      <c r="AG762" t="str">
        <f t="shared" si="145"/>
        <v>Valid</v>
      </c>
      <c r="AH762" t="str">
        <f t="shared" si="146"/>
        <v>Valid</v>
      </c>
      <c r="AI762" t="str">
        <f t="shared" si="147"/>
        <v>Valid</v>
      </c>
      <c r="AJ762" t="str">
        <f t="shared" si="148"/>
        <v>Valid</v>
      </c>
      <c r="AK762" t="str">
        <f t="shared" si="155"/>
        <v xml:space="preserve">Valid </v>
      </c>
      <c r="AL762" t="str">
        <f>IF(AND(Audit_Data[[#This Row],[Recency]]&gt;=0,Audit_Data[[#This Row],[Recency]]&lt;=100),"Valid","Invalid")</f>
        <v>Valid</v>
      </c>
      <c r="AM762" t="str">
        <f t="shared" si="149"/>
        <v>Valid</v>
      </c>
      <c r="AN762" t="str">
        <f t="shared" si="150"/>
        <v>Valid</v>
      </c>
      <c r="AO762" t="str">
        <f t="shared" si="151"/>
        <v>Valid</v>
      </c>
      <c r="AP762" t="str">
        <f t="shared" si="152"/>
        <v>Valid</v>
      </c>
      <c r="AQ762" t="str">
        <f>IF(Audit_Data[[#This Row],[Z_CostContact]]=3,"Valid","Invalid")</f>
        <v>Valid</v>
      </c>
      <c r="AR762" t="str">
        <f t="shared" si="153"/>
        <v>Valid</v>
      </c>
      <c r="AS762" t="str">
        <f t="shared" si="154"/>
        <v>Valid</v>
      </c>
    </row>
    <row r="763" spans="1:45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 t="str">
        <f t="shared" si="143"/>
        <v>Ok</v>
      </c>
      <c r="AE763" t="str">
        <f>IF(AND(Audit_Data[[#This Row],[Year_Birth]]&gt;=1900,Audit_Data[[#This Row],[Year_Birth]]&lt;=2010),"OK","Invalid")</f>
        <v>OK</v>
      </c>
      <c r="AF763" t="str">
        <f t="shared" si="144"/>
        <v>Valid</v>
      </c>
      <c r="AG763" t="str">
        <f t="shared" si="145"/>
        <v>Valid</v>
      </c>
      <c r="AH763" t="str">
        <f t="shared" si="146"/>
        <v>Valid</v>
      </c>
      <c r="AI763" t="str">
        <f t="shared" si="147"/>
        <v>Valid</v>
      </c>
      <c r="AJ763" t="str">
        <f t="shared" si="148"/>
        <v>Valid</v>
      </c>
      <c r="AK763" t="str">
        <f t="shared" si="155"/>
        <v xml:space="preserve">Valid </v>
      </c>
      <c r="AL763" t="str">
        <f>IF(AND(Audit_Data[[#This Row],[Recency]]&gt;=0,Audit_Data[[#This Row],[Recency]]&lt;=100),"Valid","Invalid")</f>
        <v>Valid</v>
      </c>
      <c r="AM763" t="str">
        <f t="shared" si="149"/>
        <v>Valid</v>
      </c>
      <c r="AN763" t="str">
        <f t="shared" si="150"/>
        <v>Valid</v>
      </c>
      <c r="AO763" t="str">
        <f t="shared" si="151"/>
        <v>Valid</v>
      </c>
      <c r="AP763" t="str">
        <f t="shared" si="152"/>
        <v>Valid</v>
      </c>
      <c r="AQ763" t="str">
        <f>IF(Audit_Data[[#This Row],[Z_CostContact]]=3,"Valid","Invalid")</f>
        <v>Valid</v>
      </c>
      <c r="AR763" t="str">
        <f t="shared" si="153"/>
        <v>Valid</v>
      </c>
      <c r="AS763" t="str">
        <f t="shared" si="154"/>
        <v>Valid</v>
      </c>
    </row>
    <row r="764" spans="1:45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 t="str">
        <f t="shared" si="143"/>
        <v>Ok</v>
      </c>
      <c r="AE764" t="str">
        <f>IF(AND(Audit_Data[[#This Row],[Year_Birth]]&gt;=1900,Audit_Data[[#This Row],[Year_Birth]]&lt;=2010),"OK","Invalid")</f>
        <v>OK</v>
      </c>
      <c r="AF764" t="str">
        <f t="shared" si="144"/>
        <v>Valid</v>
      </c>
      <c r="AG764" t="str">
        <f t="shared" si="145"/>
        <v>Valid</v>
      </c>
      <c r="AH764" t="str">
        <f t="shared" si="146"/>
        <v>Valid</v>
      </c>
      <c r="AI764" t="str">
        <f t="shared" si="147"/>
        <v>Valid</v>
      </c>
      <c r="AJ764" t="str">
        <f t="shared" si="148"/>
        <v>Valid</v>
      </c>
      <c r="AK764" t="str">
        <f t="shared" si="155"/>
        <v xml:space="preserve">Valid </v>
      </c>
      <c r="AL764" t="str">
        <f>IF(AND(Audit_Data[[#This Row],[Recency]]&gt;=0,Audit_Data[[#This Row],[Recency]]&lt;=100),"Valid","Invalid")</f>
        <v>Valid</v>
      </c>
      <c r="AM764" t="str">
        <f t="shared" si="149"/>
        <v>Valid</v>
      </c>
      <c r="AN764" t="str">
        <f t="shared" si="150"/>
        <v>Valid</v>
      </c>
      <c r="AO764" t="str">
        <f t="shared" si="151"/>
        <v>Valid</v>
      </c>
      <c r="AP764" t="str">
        <f t="shared" si="152"/>
        <v>Valid</v>
      </c>
      <c r="AQ764" t="str">
        <f>IF(Audit_Data[[#This Row],[Z_CostContact]]=3,"Valid","Invalid")</f>
        <v>Valid</v>
      </c>
      <c r="AR764" t="str">
        <f t="shared" si="153"/>
        <v>Valid</v>
      </c>
      <c r="AS764" t="str">
        <f t="shared" si="154"/>
        <v>Valid</v>
      </c>
    </row>
    <row r="765" spans="1:45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 t="str">
        <f t="shared" si="143"/>
        <v>Ok</v>
      </c>
      <c r="AE765" t="str">
        <f>IF(AND(Audit_Data[[#This Row],[Year_Birth]]&gt;=1900,Audit_Data[[#This Row],[Year_Birth]]&lt;=2010),"OK","Invalid")</f>
        <v>OK</v>
      </c>
      <c r="AF765" t="str">
        <f t="shared" si="144"/>
        <v>Valid</v>
      </c>
      <c r="AG765" t="str">
        <f t="shared" si="145"/>
        <v>Valid</v>
      </c>
      <c r="AH765" t="str">
        <f t="shared" si="146"/>
        <v>Valid</v>
      </c>
      <c r="AI765" t="str">
        <f t="shared" si="147"/>
        <v>Valid</v>
      </c>
      <c r="AJ765" t="str">
        <f t="shared" si="148"/>
        <v>Valid</v>
      </c>
      <c r="AK765" t="str">
        <f t="shared" si="155"/>
        <v xml:space="preserve">Valid </v>
      </c>
      <c r="AL765" t="str">
        <f>IF(AND(Audit_Data[[#This Row],[Recency]]&gt;=0,Audit_Data[[#This Row],[Recency]]&lt;=100),"Valid","Invalid")</f>
        <v>Valid</v>
      </c>
      <c r="AM765" t="str">
        <f t="shared" si="149"/>
        <v>Valid</v>
      </c>
      <c r="AN765" t="str">
        <f t="shared" si="150"/>
        <v>Valid</v>
      </c>
      <c r="AO765" t="str">
        <f t="shared" si="151"/>
        <v>Valid</v>
      </c>
      <c r="AP765" t="str">
        <f t="shared" si="152"/>
        <v>Valid</v>
      </c>
      <c r="AQ765" t="str">
        <f>IF(Audit_Data[[#This Row],[Z_CostContact]]=3,"Valid","Invalid")</f>
        <v>Valid</v>
      </c>
      <c r="AR765" t="str">
        <f t="shared" si="153"/>
        <v>Valid</v>
      </c>
      <c r="AS765" t="str">
        <f t="shared" si="154"/>
        <v>Valid</v>
      </c>
    </row>
    <row r="766" spans="1:45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 t="str">
        <f t="shared" si="143"/>
        <v>Ok</v>
      </c>
      <c r="AE766" t="str">
        <f>IF(AND(Audit_Data[[#This Row],[Year_Birth]]&gt;=1900,Audit_Data[[#This Row],[Year_Birth]]&lt;=2010),"OK","Invalid")</f>
        <v>OK</v>
      </c>
      <c r="AF766" t="str">
        <f t="shared" si="144"/>
        <v>Valid</v>
      </c>
      <c r="AG766" t="str">
        <f t="shared" si="145"/>
        <v>Valid</v>
      </c>
      <c r="AH766" t="str">
        <f t="shared" si="146"/>
        <v>Valid</v>
      </c>
      <c r="AI766" t="str">
        <f t="shared" si="147"/>
        <v>Valid</v>
      </c>
      <c r="AJ766" t="str">
        <f t="shared" si="148"/>
        <v>Valid</v>
      </c>
      <c r="AK766" t="str">
        <f t="shared" si="155"/>
        <v xml:space="preserve">Valid </v>
      </c>
      <c r="AL766" t="str">
        <f>IF(AND(Audit_Data[[#This Row],[Recency]]&gt;=0,Audit_Data[[#This Row],[Recency]]&lt;=100),"Valid","Invalid")</f>
        <v>Valid</v>
      </c>
      <c r="AM766" t="str">
        <f t="shared" si="149"/>
        <v>Valid</v>
      </c>
      <c r="AN766" t="str">
        <f t="shared" si="150"/>
        <v>Valid</v>
      </c>
      <c r="AO766" t="str">
        <f t="shared" si="151"/>
        <v>Valid</v>
      </c>
      <c r="AP766" t="str">
        <f t="shared" si="152"/>
        <v>Valid</v>
      </c>
      <c r="AQ766" t="str">
        <f>IF(Audit_Data[[#This Row],[Z_CostContact]]=3,"Valid","Invalid")</f>
        <v>Valid</v>
      </c>
      <c r="AR766" t="str">
        <f t="shared" si="153"/>
        <v>Valid</v>
      </c>
      <c r="AS766" t="str">
        <f t="shared" si="154"/>
        <v>Valid</v>
      </c>
    </row>
    <row r="767" spans="1:45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 t="str">
        <f t="shared" si="143"/>
        <v>Ok</v>
      </c>
      <c r="AE767" t="str">
        <f>IF(AND(Audit_Data[[#This Row],[Year_Birth]]&gt;=1900,Audit_Data[[#This Row],[Year_Birth]]&lt;=2010),"OK","Invalid")</f>
        <v>OK</v>
      </c>
      <c r="AF767" t="str">
        <f t="shared" si="144"/>
        <v>Valid</v>
      </c>
      <c r="AG767" t="str">
        <f t="shared" si="145"/>
        <v>Valid</v>
      </c>
      <c r="AH767" t="str">
        <f t="shared" si="146"/>
        <v>Valid</v>
      </c>
      <c r="AI767" t="str">
        <f t="shared" si="147"/>
        <v>Valid</v>
      </c>
      <c r="AJ767" t="str">
        <f t="shared" si="148"/>
        <v>Valid</v>
      </c>
      <c r="AK767" t="str">
        <f t="shared" si="155"/>
        <v xml:space="preserve">Valid </v>
      </c>
      <c r="AL767" t="str">
        <f>IF(AND(Audit_Data[[#This Row],[Recency]]&gt;=0,Audit_Data[[#This Row],[Recency]]&lt;=100),"Valid","Invalid")</f>
        <v>Valid</v>
      </c>
      <c r="AM767" t="str">
        <f t="shared" si="149"/>
        <v>Valid</v>
      </c>
      <c r="AN767" t="str">
        <f t="shared" si="150"/>
        <v>Valid</v>
      </c>
      <c r="AO767" t="str">
        <f t="shared" si="151"/>
        <v>Valid</v>
      </c>
      <c r="AP767" t="str">
        <f t="shared" si="152"/>
        <v>Valid</v>
      </c>
      <c r="AQ767" t="str">
        <f>IF(Audit_Data[[#This Row],[Z_CostContact]]=3,"Valid","Invalid")</f>
        <v>Valid</v>
      </c>
      <c r="AR767" t="str">
        <f t="shared" si="153"/>
        <v>Valid</v>
      </c>
      <c r="AS767" t="str">
        <f t="shared" si="154"/>
        <v>Valid</v>
      </c>
    </row>
    <row r="768" spans="1:45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 t="str">
        <f t="shared" si="143"/>
        <v>Ok</v>
      </c>
      <c r="AE768" t="str">
        <f>IF(AND(Audit_Data[[#This Row],[Year_Birth]]&gt;=1900,Audit_Data[[#This Row],[Year_Birth]]&lt;=2010),"OK","Invalid")</f>
        <v>OK</v>
      </c>
      <c r="AF768" t="str">
        <f t="shared" si="144"/>
        <v>Valid</v>
      </c>
      <c r="AG768" t="str">
        <f t="shared" si="145"/>
        <v>Valid</v>
      </c>
      <c r="AH768" t="str">
        <f t="shared" si="146"/>
        <v>Valid</v>
      </c>
      <c r="AI768" t="str">
        <f t="shared" si="147"/>
        <v>Valid</v>
      </c>
      <c r="AJ768" t="str">
        <f t="shared" si="148"/>
        <v>Valid</v>
      </c>
      <c r="AK768" t="str">
        <f t="shared" si="155"/>
        <v xml:space="preserve">Valid </v>
      </c>
      <c r="AL768" t="str">
        <f>IF(AND(Audit_Data[[#This Row],[Recency]]&gt;=0,Audit_Data[[#This Row],[Recency]]&lt;=100),"Valid","Invalid")</f>
        <v>Valid</v>
      </c>
      <c r="AM768" t="str">
        <f t="shared" si="149"/>
        <v>Valid</v>
      </c>
      <c r="AN768" t="str">
        <f t="shared" si="150"/>
        <v>Valid</v>
      </c>
      <c r="AO768" t="str">
        <f t="shared" si="151"/>
        <v>Valid</v>
      </c>
      <c r="AP768" t="str">
        <f t="shared" si="152"/>
        <v>Valid</v>
      </c>
      <c r="AQ768" t="str">
        <f>IF(Audit_Data[[#This Row],[Z_CostContact]]=3,"Valid","Invalid")</f>
        <v>Valid</v>
      </c>
      <c r="AR768" t="str">
        <f t="shared" si="153"/>
        <v>Valid</v>
      </c>
      <c r="AS768" t="str">
        <f t="shared" si="154"/>
        <v>Valid</v>
      </c>
    </row>
    <row r="769" spans="1:45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 t="str">
        <f t="shared" si="143"/>
        <v>Ok</v>
      </c>
      <c r="AE769" t="str">
        <f>IF(AND(Audit_Data[[#This Row],[Year_Birth]]&gt;=1900,Audit_Data[[#This Row],[Year_Birth]]&lt;=2010),"OK","Invalid")</f>
        <v>OK</v>
      </c>
      <c r="AF769" t="str">
        <f t="shared" si="144"/>
        <v>Valid</v>
      </c>
      <c r="AG769" t="str">
        <f t="shared" si="145"/>
        <v>Valid</v>
      </c>
      <c r="AH769" t="str">
        <f t="shared" si="146"/>
        <v>Valid</v>
      </c>
      <c r="AI769" t="str">
        <f t="shared" si="147"/>
        <v>Valid</v>
      </c>
      <c r="AJ769" t="str">
        <f t="shared" si="148"/>
        <v>Valid</v>
      </c>
      <c r="AK769" t="str">
        <f t="shared" si="155"/>
        <v xml:space="preserve">Valid </v>
      </c>
      <c r="AL769" t="str">
        <f>IF(AND(Audit_Data[[#This Row],[Recency]]&gt;=0,Audit_Data[[#This Row],[Recency]]&lt;=100),"Valid","Invalid")</f>
        <v>Valid</v>
      </c>
      <c r="AM769" t="str">
        <f t="shared" si="149"/>
        <v>Valid</v>
      </c>
      <c r="AN769" t="str">
        <f t="shared" si="150"/>
        <v>Valid</v>
      </c>
      <c r="AO769" t="str">
        <f t="shared" si="151"/>
        <v>Valid</v>
      </c>
      <c r="AP769" t="str">
        <f t="shared" si="152"/>
        <v>Valid</v>
      </c>
      <c r="AQ769" t="str">
        <f>IF(Audit_Data[[#This Row],[Z_CostContact]]=3,"Valid","Invalid")</f>
        <v>Valid</v>
      </c>
      <c r="AR769" t="str">
        <f t="shared" si="153"/>
        <v>Valid</v>
      </c>
      <c r="AS769" t="str">
        <f t="shared" si="154"/>
        <v>Valid</v>
      </c>
    </row>
    <row r="770" spans="1:45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 t="str">
        <f t="shared" ref="AD770:AD833" si="156">IF(COUNTIF(A:A,A770)&gt;1,"Duplicate","Ok")</f>
        <v>Ok</v>
      </c>
      <c r="AE770" t="str">
        <f>IF(AND(Audit_Data[[#This Row],[Year_Birth]]&gt;=1900,Audit_Data[[#This Row],[Year_Birth]]&lt;=2010),"OK","Invalid")</f>
        <v>OK</v>
      </c>
      <c r="AF770" t="str">
        <f t="shared" ref="AF770:AF833" si="157">IF(OR(C770="Graduation",C770="phD",C770="Master",C770="Basic",C770="2n Cycle"),"Valid","Invalid")</f>
        <v>Valid</v>
      </c>
      <c r="AG770" t="str">
        <f t="shared" ref="AG770:AG833" si="158">IF(OR(D770="Single",D770="Married",D770="Divorced",D770="Together",D770="Widow",D770="Alone"),"Valid","Invalid")</f>
        <v>Valid</v>
      </c>
      <c r="AH770" t="str">
        <f t="shared" ref="AH770:AH833" si="159">IF(AND(ISNUMBER(E770),E770&lt;&gt;""),"Valid","Invalid")</f>
        <v>Valid</v>
      </c>
      <c r="AI770" t="str">
        <f t="shared" ref="AI770:AI833" si="160">IF(AND(F770&gt;=0,F770&lt;=2),"Valid","Invalid")</f>
        <v>Valid</v>
      </c>
      <c r="AJ770" t="str">
        <f t="shared" ref="AJ770:AJ833" si="161">IF(AND(G770&gt;=0,G770&lt;=2),"Valid","Invalid")</f>
        <v>Valid</v>
      </c>
      <c r="AK770" t="str">
        <f t="shared" si="155"/>
        <v xml:space="preserve">Valid </v>
      </c>
      <c r="AL770" t="str">
        <f>IF(AND(Audit_Data[[#This Row],[Recency]]&gt;=0,Audit_Data[[#This Row],[Recency]]&lt;=100),"Valid","Invalid")</f>
        <v>Valid</v>
      </c>
      <c r="AM770" t="str">
        <f t="shared" ref="AM770:AM833" si="162">IF(AND(ISNUMBER(J770),J770&gt;=0,ISNUMBER(K770),K770&gt;=0,ISNUMBER(L770),L770&gt;=0,ISNUMBER(M770),M770&gt;=0,ISNUMBER(N770),N770&gt;=0,ISNUMBER(O770),O770&gt;=0),"Valid","Invalid")</f>
        <v>Valid</v>
      </c>
      <c r="AN770" t="str">
        <f t="shared" ref="AN770:AN833" si="163">IF(AND(ISNUMBER(P770),P770&gt;=0,ISNUMBER(Q770),Q770&gt;=0,ISNUMBER(R770),R770&gt;=0,ISNUMBER(S770),S770&gt;=0,ISNUMBER(T770),T770&gt;=0),"Valid","Invalid")</f>
        <v>Valid</v>
      </c>
      <c r="AO770" t="str">
        <f t="shared" ref="AO770:AO833" si="164">IF(AND(U770&lt;=1,V770&lt;=1,W770&lt;=1,X770&lt;=1,Y770&lt;=1),"Valid","Invalid")</f>
        <v>Valid</v>
      </c>
      <c r="AP770" t="str">
        <f t="shared" ref="AP770:AP833" si="165">IF(OR(Z770=0,Z770=1),"Valid","Invalid")</f>
        <v>Valid</v>
      </c>
      <c r="AQ770" t="str">
        <f>IF(Audit_Data[[#This Row],[Z_CostContact]]=3,"Valid","Invalid")</f>
        <v>Valid</v>
      </c>
      <c r="AR770" t="str">
        <f t="shared" ref="AR770:AR833" si="166">IF(AB770=11,"Valid","Invalid")</f>
        <v>Valid</v>
      </c>
      <c r="AS770" t="str">
        <f t="shared" ref="AS770:AS833" si="167">IF(OR(AC770=0,AC770=1),"Valid","Invalid")</f>
        <v>Valid</v>
      </c>
    </row>
    <row r="771" spans="1:45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 t="str">
        <f t="shared" si="156"/>
        <v>Ok</v>
      </c>
      <c r="AE771" t="str">
        <f>IF(AND(Audit_Data[[#This Row],[Year_Birth]]&gt;=1900,Audit_Data[[#This Row],[Year_Birth]]&lt;=2010),"OK","Invalid")</f>
        <v>OK</v>
      </c>
      <c r="AF771" t="str">
        <f t="shared" si="157"/>
        <v>Valid</v>
      </c>
      <c r="AG771" t="str">
        <f t="shared" si="158"/>
        <v>Valid</v>
      </c>
      <c r="AH771" t="str">
        <f t="shared" si="159"/>
        <v>Valid</v>
      </c>
      <c r="AI771" t="str">
        <f t="shared" si="160"/>
        <v>Valid</v>
      </c>
      <c r="AJ771" t="str">
        <f t="shared" si="161"/>
        <v>Valid</v>
      </c>
      <c r="AK771" t="str">
        <f t="shared" ref="AK771:AK834" si="168">IF(AND(ISNUMBER(H771),H771&gt;=DATE(2012,1,1),H771&lt;=DATE(2014,12,31)),"Valid ","Invalid")</f>
        <v xml:space="preserve">Valid </v>
      </c>
      <c r="AL771" t="str">
        <f>IF(AND(Audit_Data[[#This Row],[Recency]]&gt;=0,Audit_Data[[#This Row],[Recency]]&lt;=100),"Valid","Invalid")</f>
        <v>Valid</v>
      </c>
      <c r="AM771" t="str">
        <f t="shared" si="162"/>
        <v>Valid</v>
      </c>
      <c r="AN771" t="str">
        <f t="shared" si="163"/>
        <v>Valid</v>
      </c>
      <c r="AO771" t="str">
        <f t="shared" si="164"/>
        <v>Valid</v>
      </c>
      <c r="AP771" t="str">
        <f t="shared" si="165"/>
        <v>Valid</v>
      </c>
      <c r="AQ771" t="str">
        <f>IF(Audit_Data[[#This Row],[Z_CostContact]]=3,"Valid","Invalid")</f>
        <v>Valid</v>
      </c>
      <c r="AR771" t="str">
        <f t="shared" si="166"/>
        <v>Valid</v>
      </c>
      <c r="AS771" t="str">
        <f t="shared" si="167"/>
        <v>Valid</v>
      </c>
    </row>
    <row r="772" spans="1:45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 t="str">
        <f t="shared" si="156"/>
        <v>Ok</v>
      </c>
      <c r="AE772" t="str">
        <f>IF(AND(Audit_Data[[#This Row],[Year_Birth]]&gt;=1900,Audit_Data[[#This Row],[Year_Birth]]&lt;=2010),"OK","Invalid")</f>
        <v>OK</v>
      </c>
      <c r="AF772" t="str">
        <f t="shared" si="157"/>
        <v>Valid</v>
      </c>
      <c r="AG772" t="str">
        <f t="shared" si="158"/>
        <v>Valid</v>
      </c>
      <c r="AH772" t="str">
        <f t="shared" si="159"/>
        <v>Valid</v>
      </c>
      <c r="AI772" t="str">
        <f t="shared" si="160"/>
        <v>Valid</v>
      </c>
      <c r="AJ772" t="str">
        <f t="shared" si="161"/>
        <v>Valid</v>
      </c>
      <c r="AK772" t="str">
        <f t="shared" si="168"/>
        <v xml:space="preserve">Valid </v>
      </c>
      <c r="AL772" t="str">
        <f>IF(AND(Audit_Data[[#This Row],[Recency]]&gt;=0,Audit_Data[[#This Row],[Recency]]&lt;=100),"Valid","Invalid")</f>
        <v>Valid</v>
      </c>
      <c r="AM772" t="str">
        <f t="shared" si="162"/>
        <v>Valid</v>
      </c>
      <c r="AN772" t="str">
        <f t="shared" si="163"/>
        <v>Valid</v>
      </c>
      <c r="AO772" t="str">
        <f t="shared" si="164"/>
        <v>Valid</v>
      </c>
      <c r="AP772" t="str">
        <f t="shared" si="165"/>
        <v>Valid</v>
      </c>
      <c r="AQ772" t="str">
        <f>IF(Audit_Data[[#This Row],[Z_CostContact]]=3,"Valid","Invalid")</f>
        <v>Valid</v>
      </c>
      <c r="AR772" t="str">
        <f t="shared" si="166"/>
        <v>Valid</v>
      </c>
      <c r="AS772" t="str">
        <f t="shared" si="167"/>
        <v>Valid</v>
      </c>
    </row>
    <row r="773" spans="1:45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 t="str">
        <f t="shared" si="156"/>
        <v>Ok</v>
      </c>
      <c r="AE773" t="str">
        <f>IF(AND(Audit_Data[[#This Row],[Year_Birth]]&gt;=1900,Audit_Data[[#This Row],[Year_Birth]]&lt;=2010),"OK","Invalid")</f>
        <v>OK</v>
      </c>
      <c r="AF773" t="str">
        <f t="shared" si="157"/>
        <v>Valid</v>
      </c>
      <c r="AG773" t="str">
        <f t="shared" si="158"/>
        <v>Valid</v>
      </c>
      <c r="AH773" t="str">
        <f t="shared" si="159"/>
        <v>Valid</v>
      </c>
      <c r="AI773" t="str">
        <f t="shared" si="160"/>
        <v>Valid</v>
      </c>
      <c r="AJ773" t="str">
        <f t="shared" si="161"/>
        <v>Valid</v>
      </c>
      <c r="AK773" t="str">
        <f t="shared" si="168"/>
        <v xml:space="preserve">Valid </v>
      </c>
      <c r="AL773" t="str">
        <f>IF(AND(Audit_Data[[#This Row],[Recency]]&gt;=0,Audit_Data[[#This Row],[Recency]]&lt;=100),"Valid","Invalid")</f>
        <v>Valid</v>
      </c>
      <c r="AM773" t="str">
        <f t="shared" si="162"/>
        <v>Valid</v>
      </c>
      <c r="AN773" t="str">
        <f t="shared" si="163"/>
        <v>Valid</v>
      </c>
      <c r="AO773" t="str">
        <f t="shared" si="164"/>
        <v>Valid</v>
      </c>
      <c r="AP773" t="str">
        <f t="shared" si="165"/>
        <v>Valid</v>
      </c>
      <c r="AQ773" t="str">
        <f>IF(Audit_Data[[#This Row],[Z_CostContact]]=3,"Valid","Invalid")</f>
        <v>Valid</v>
      </c>
      <c r="AR773" t="str">
        <f t="shared" si="166"/>
        <v>Valid</v>
      </c>
      <c r="AS773" t="str">
        <f t="shared" si="167"/>
        <v>Valid</v>
      </c>
    </row>
    <row r="774" spans="1:45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 t="str">
        <f t="shared" si="156"/>
        <v>Ok</v>
      </c>
      <c r="AE774" t="str">
        <f>IF(AND(Audit_Data[[#This Row],[Year_Birth]]&gt;=1900,Audit_Data[[#This Row],[Year_Birth]]&lt;=2010),"OK","Invalid")</f>
        <v>OK</v>
      </c>
      <c r="AF774" t="str">
        <f t="shared" si="157"/>
        <v>Valid</v>
      </c>
      <c r="AG774" t="str">
        <f t="shared" si="158"/>
        <v>Valid</v>
      </c>
      <c r="AH774" t="str">
        <f t="shared" si="159"/>
        <v>Valid</v>
      </c>
      <c r="AI774" t="str">
        <f t="shared" si="160"/>
        <v>Valid</v>
      </c>
      <c r="AJ774" t="str">
        <f t="shared" si="161"/>
        <v>Valid</v>
      </c>
      <c r="AK774" t="str">
        <f t="shared" si="168"/>
        <v xml:space="preserve">Valid </v>
      </c>
      <c r="AL774" t="str">
        <f>IF(AND(Audit_Data[[#This Row],[Recency]]&gt;=0,Audit_Data[[#This Row],[Recency]]&lt;=100),"Valid","Invalid")</f>
        <v>Valid</v>
      </c>
      <c r="AM774" t="str">
        <f t="shared" si="162"/>
        <v>Valid</v>
      </c>
      <c r="AN774" t="str">
        <f t="shared" si="163"/>
        <v>Valid</v>
      </c>
      <c r="AO774" t="str">
        <f t="shared" si="164"/>
        <v>Valid</v>
      </c>
      <c r="AP774" t="str">
        <f t="shared" si="165"/>
        <v>Valid</v>
      </c>
      <c r="AQ774" t="str">
        <f>IF(Audit_Data[[#This Row],[Z_CostContact]]=3,"Valid","Invalid")</f>
        <v>Valid</v>
      </c>
      <c r="AR774" t="str">
        <f t="shared" si="166"/>
        <v>Valid</v>
      </c>
      <c r="AS774" t="str">
        <f t="shared" si="167"/>
        <v>Valid</v>
      </c>
    </row>
    <row r="775" spans="1:45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 t="str">
        <f t="shared" si="156"/>
        <v>Ok</v>
      </c>
      <c r="AE775" t="str">
        <f>IF(AND(Audit_Data[[#This Row],[Year_Birth]]&gt;=1900,Audit_Data[[#This Row],[Year_Birth]]&lt;=2010),"OK","Invalid")</f>
        <v>OK</v>
      </c>
      <c r="AF775" t="str">
        <f t="shared" si="157"/>
        <v>Valid</v>
      </c>
      <c r="AG775" t="str">
        <f t="shared" si="158"/>
        <v>Valid</v>
      </c>
      <c r="AH775" t="str">
        <f t="shared" si="159"/>
        <v>Valid</v>
      </c>
      <c r="AI775" t="str">
        <f t="shared" si="160"/>
        <v>Valid</v>
      </c>
      <c r="AJ775" t="str">
        <f t="shared" si="161"/>
        <v>Valid</v>
      </c>
      <c r="AK775" t="str">
        <f t="shared" si="168"/>
        <v xml:space="preserve">Valid </v>
      </c>
      <c r="AL775" t="str">
        <f>IF(AND(Audit_Data[[#This Row],[Recency]]&gt;=0,Audit_Data[[#This Row],[Recency]]&lt;=100),"Valid","Invalid")</f>
        <v>Valid</v>
      </c>
      <c r="AM775" t="str">
        <f t="shared" si="162"/>
        <v>Valid</v>
      </c>
      <c r="AN775" t="str">
        <f t="shared" si="163"/>
        <v>Valid</v>
      </c>
      <c r="AO775" t="str">
        <f t="shared" si="164"/>
        <v>Valid</v>
      </c>
      <c r="AP775" t="str">
        <f t="shared" si="165"/>
        <v>Valid</v>
      </c>
      <c r="AQ775" t="str">
        <f>IF(Audit_Data[[#This Row],[Z_CostContact]]=3,"Valid","Invalid")</f>
        <v>Valid</v>
      </c>
      <c r="AR775" t="str">
        <f t="shared" si="166"/>
        <v>Valid</v>
      </c>
      <c r="AS775" t="str">
        <f t="shared" si="167"/>
        <v>Valid</v>
      </c>
    </row>
    <row r="776" spans="1:45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 t="str">
        <f t="shared" si="156"/>
        <v>Ok</v>
      </c>
      <c r="AE776" t="str">
        <f>IF(AND(Audit_Data[[#This Row],[Year_Birth]]&gt;=1900,Audit_Data[[#This Row],[Year_Birth]]&lt;=2010),"OK","Invalid")</f>
        <v>OK</v>
      </c>
      <c r="AF776" t="str">
        <f t="shared" si="157"/>
        <v>Valid</v>
      </c>
      <c r="AG776" t="str">
        <f t="shared" si="158"/>
        <v>Valid</v>
      </c>
      <c r="AH776" t="str">
        <f t="shared" si="159"/>
        <v>Valid</v>
      </c>
      <c r="AI776" t="str">
        <f t="shared" si="160"/>
        <v>Valid</v>
      </c>
      <c r="AJ776" t="str">
        <f t="shared" si="161"/>
        <v>Valid</v>
      </c>
      <c r="AK776" t="str">
        <f t="shared" si="168"/>
        <v xml:space="preserve">Valid </v>
      </c>
      <c r="AL776" t="str">
        <f>IF(AND(Audit_Data[[#This Row],[Recency]]&gt;=0,Audit_Data[[#This Row],[Recency]]&lt;=100),"Valid","Invalid")</f>
        <v>Valid</v>
      </c>
      <c r="AM776" t="str">
        <f t="shared" si="162"/>
        <v>Valid</v>
      </c>
      <c r="AN776" t="str">
        <f t="shared" si="163"/>
        <v>Valid</v>
      </c>
      <c r="AO776" t="str">
        <f t="shared" si="164"/>
        <v>Valid</v>
      </c>
      <c r="AP776" t="str">
        <f t="shared" si="165"/>
        <v>Valid</v>
      </c>
      <c r="AQ776" t="str">
        <f>IF(Audit_Data[[#This Row],[Z_CostContact]]=3,"Valid","Invalid")</f>
        <v>Valid</v>
      </c>
      <c r="AR776" t="str">
        <f t="shared" si="166"/>
        <v>Valid</v>
      </c>
      <c r="AS776" t="str">
        <f t="shared" si="167"/>
        <v>Valid</v>
      </c>
    </row>
    <row r="777" spans="1:45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 t="str">
        <f t="shared" si="156"/>
        <v>Ok</v>
      </c>
      <c r="AE777" t="str">
        <f>IF(AND(Audit_Data[[#This Row],[Year_Birth]]&gt;=1900,Audit_Data[[#This Row],[Year_Birth]]&lt;=2010),"OK","Invalid")</f>
        <v>OK</v>
      </c>
      <c r="AF777" t="str">
        <f t="shared" si="157"/>
        <v>Valid</v>
      </c>
      <c r="AG777" t="str">
        <f t="shared" si="158"/>
        <v>Valid</v>
      </c>
      <c r="AH777" t="str">
        <f t="shared" si="159"/>
        <v>Valid</v>
      </c>
      <c r="AI777" t="str">
        <f t="shared" si="160"/>
        <v>Valid</v>
      </c>
      <c r="AJ777" t="str">
        <f t="shared" si="161"/>
        <v>Valid</v>
      </c>
      <c r="AK777" t="str">
        <f t="shared" si="168"/>
        <v xml:space="preserve">Valid </v>
      </c>
      <c r="AL777" t="str">
        <f>IF(AND(Audit_Data[[#This Row],[Recency]]&gt;=0,Audit_Data[[#This Row],[Recency]]&lt;=100),"Valid","Invalid")</f>
        <v>Valid</v>
      </c>
      <c r="AM777" t="str">
        <f t="shared" si="162"/>
        <v>Valid</v>
      </c>
      <c r="AN777" t="str">
        <f t="shared" si="163"/>
        <v>Valid</v>
      </c>
      <c r="AO777" t="str">
        <f t="shared" si="164"/>
        <v>Valid</v>
      </c>
      <c r="AP777" t="str">
        <f t="shared" si="165"/>
        <v>Valid</v>
      </c>
      <c r="AQ777" t="str">
        <f>IF(Audit_Data[[#This Row],[Z_CostContact]]=3,"Valid","Invalid")</f>
        <v>Valid</v>
      </c>
      <c r="AR777" t="str">
        <f t="shared" si="166"/>
        <v>Valid</v>
      </c>
      <c r="AS777" t="str">
        <f t="shared" si="167"/>
        <v>Valid</v>
      </c>
    </row>
    <row r="778" spans="1:45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 t="str">
        <f t="shared" si="156"/>
        <v>Ok</v>
      </c>
      <c r="AE778" t="str">
        <f>IF(AND(Audit_Data[[#This Row],[Year_Birth]]&gt;=1900,Audit_Data[[#This Row],[Year_Birth]]&lt;=2010),"OK","Invalid")</f>
        <v>OK</v>
      </c>
      <c r="AF778" t="str">
        <f t="shared" si="157"/>
        <v>Valid</v>
      </c>
      <c r="AG778" t="str">
        <f t="shared" si="158"/>
        <v>Valid</v>
      </c>
      <c r="AH778" t="str">
        <f t="shared" si="159"/>
        <v>Valid</v>
      </c>
      <c r="AI778" t="str">
        <f t="shared" si="160"/>
        <v>Valid</v>
      </c>
      <c r="AJ778" t="str">
        <f t="shared" si="161"/>
        <v>Valid</v>
      </c>
      <c r="AK778" t="str">
        <f t="shared" si="168"/>
        <v xml:space="preserve">Valid </v>
      </c>
      <c r="AL778" t="str">
        <f>IF(AND(Audit_Data[[#This Row],[Recency]]&gt;=0,Audit_Data[[#This Row],[Recency]]&lt;=100),"Valid","Invalid")</f>
        <v>Valid</v>
      </c>
      <c r="AM778" t="str">
        <f t="shared" si="162"/>
        <v>Valid</v>
      </c>
      <c r="AN778" t="str">
        <f t="shared" si="163"/>
        <v>Valid</v>
      </c>
      <c r="AO778" t="str">
        <f t="shared" si="164"/>
        <v>Valid</v>
      </c>
      <c r="AP778" t="str">
        <f t="shared" si="165"/>
        <v>Valid</v>
      </c>
      <c r="AQ778" t="str">
        <f>IF(Audit_Data[[#This Row],[Z_CostContact]]=3,"Valid","Invalid")</f>
        <v>Valid</v>
      </c>
      <c r="AR778" t="str">
        <f t="shared" si="166"/>
        <v>Valid</v>
      </c>
      <c r="AS778" t="str">
        <f t="shared" si="167"/>
        <v>Valid</v>
      </c>
    </row>
    <row r="779" spans="1:45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 t="str">
        <f t="shared" si="156"/>
        <v>Ok</v>
      </c>
      <c r="AE779" t="str">
        <f>IF(AND(Audit_Data[[#This Row],[Year_Birth]]&gt;=1900,Audit_Data[[#This Row],[Year_Birth]]&lt;=2010),"OK","Invalid")</f>
        <v>OK</v>
      </c>
      <c r="AF779" t="str">
        <f t="shared" si="157"/>
        <v>Valid</v>
      </c>
      <c r="AG779" t="str">
        <f t="shared" si="158"/>
        <v>Valid</v>
      </c>
      <c r="AH779" t="str">
        <f t="shared" si="159"/>
        <v>Valid</v>
      </c>
      <c r="AI779" t="str">
        <f t="shared" si="160"/>
        <v>Valid</v>
      </c>
      <c r="AJ779" t="str">
        <f t="shared" si="161"/>
        <v>Valid</v>
      </c>
      <c r="AK779" t="str">
        <f t="shared" si="168"/>
        <v xml:space="preserve">Valid </v>
      </c>
      <c r="AL779" t="str">
        <f>IF(AND(Audit_Data[[#This Row],[Recency]]&gt;=0,Audit_Data[[#This Row],[Recency]]&lt;=100),"Valid","Invalid")</f>
        <v>Valid</v>
      </c>
      <c r="AM779" t="str">
        <f t="shared" si="162"/>
        <v>Valid</v>
      </c>
      <c r="AN779" t="str">
        <f t="shared" si="163"/>
        <v>Valid</v>
      </c>
      <c r="AO779" t="str">
        <f t="shared" si="164"/>
        <v>Valid</v>
      </c>
      <c r="AP779" t="str">
        <f t="shared" si="165"/>
        <v>Valid</v>
      </c>
      <c r="AQ779" t="str">
        <f>IF(Audit_Data[[#This Row],[Z_CostContact]]=3,"Valid","Invalid")</f>
        <v>Valid</v>
      </c>
      <c r="AR779" t="str">
        <f t="shared" si="166"/>
        <v>Valid</v>
      </c>
      <c r="AS779" t="str">
        <f t="shared" si="167"/>
        <v>Valid</v>
      </c>
    </row>
    <row r="780" spans="1:45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 t="str">
        <f t="shared" si="156"/>
        <v>Ok</v>
      </c>
      <c r="AE780" t="str">
        <f>IF(AND(Audit_Data[[#This Row],[Year_Birth]]&gt;=1900,Audit_Data[[#This Row],[Year_Birth]]&lt;=2010),"OK","Invalid")</f>
        <v>OK</v>
      </c>
      <c r="AF780" t="str">
        <f t="shared" si="157"/>
        <v>Valid</v>
      </c>
      <c r="AG780" t="str">
        <f t="shared" si="158"/>
        <v>Valid</v>
      </c>
      <c r="AH780" t="str">
        <f t="shared" si="159"/>
        <v>Valid</v>
      </c>
      <c r="AI780" t="str">
        <f t="shared" si="160"/>
        <v>Valid</v>
      </c>
      <c r="AJ780" t="str">
        <f t="shared" si="161"/>
        <v>Valid</v>
      </c>
      <c r="AK780" t="str">
        <f t="shared" si="168"/>
        <v xml:space="preserve">Valid </v>
      </c>
      <c r="AL780" t="str">
        <f>IF(AND(Audit_Data[[#This Row],[Recency]]&gt;=0,Audit_Data[[#This Row],[Recency]]&lt;=100),"Valid","Invalid")</f>
        <v>Valid</v>
      </c>
      <c r="AM780" t="str">
        <f t="shared" si="162"/>
        <v>Valid</v>
      </c>
      <c r="AN780" t="str">
        <f t="shared" si="163"/>
        <v>Valid</v>
      </c>
      <c r="AO780" t="str">
        <f t="shared" si="164"/>
        <v>Valid</v>
      </c>
      <c r="AP780" t="str">
        <f t="shared" si="165"/>
        <v>Valid</v>
      </c>
      <c r="AQ780" t="str">
        <f>IF(Audit_Data[[#This Row],[Z_CostContact]]=3,"Valid","Invalid")</f>
        <v>Valid</v>
      </c>
      <c r="AR780" t="str">
        <f t="shared" si="166"/>
        <v>Valid</v>
      </c>
      <c r="AS780" t="str">
        <f t="shared" si="167"/>
        <v>Valid</v>
      </c>
    </row>
    <row r="781" spans="1:45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 t="str">
        <f t="shared" si="156"/>
        <v>Ok</v>
      </c>
      <c r="AE781" t="str">
        <f>IF(AND(Audit_Data[[#This Row],[Year_Birth]]&gt;=1900,Audit_Data[[#This Row],[Year_Birth]]&lt;=2010),"OK","Invalid")</f>
        <v>OK</v>
      </c>
      <c r="AF781" t="str">
        <f t="shared" si="157"/>
        <v>Valid</v>
      </c>
      <c r="AG781" t="str">
        <f t="shared" si="158"/>
        <v>Valid</v>
      </c>
      <c r="AH781" t="str">
        <f t="shared" si="159"/>
        <v>Valid</v>
      </c>
      <c r="AI781" t="str">
        <f t="shared" si="160"/>
        <v>Valid</v>
      </c>
      <c r="AJ781" t="str">
        <f t="shared" si="161"/>
        <v>Valid</v>
      </c>
      <c r="AK781" t="str">
        <f t="shared" si="168"/>
        <v xml:space="preserve">Valid </v>
      </c>
      <c r="AL781" t="str">
        <f>IF(AND(Audit_Data[[#This Row],[Recency]]&gt;=0,Audit_Data[[#This Row],[Recency]]&lt;=100),"Valid","Invalid")</f>
        <v>Valid</v>
      </c>
      <c r="AM781" t="str">
        <f t="shared" si="162"/>
        <v>Valid</v>
      </c>
      <c r="AN781" t="str">
        <f t="shared" si="163"/>
        <v>Valid</v>
      </c>
      <c r="AO781" t="str">
        <f t="shared" si="164"/>
        <v>Valid</v>
      </c>
      <c r="AP781" t="str">
        <f t="shared" si="165"/>
        <v>Valid</v>
      </c>
      <c r="AQ781" t="str">
        <f>IF(Audit_Data[[#This Row],[Z_CostContact]]=3,"Valid","Invalid")</f>
        <v>Valid</v>
      </c>
      <c r="AR781" t="str">
        <f t="shared" si="166"/>
        <v>Valid</v>
      </c>
      <c r="AS781" t="str">
        <f t="shared" si="167"/>
        <v>Valid</v>
      </c>
    </row>
    <row r="782" spans="1:45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 t="str">
        <f t="shared" si="156"/>
        <v>Ok</v>
      </c>
      <c r="AE782" t="str">
        <f>IF(AND(Audit_Data[[#This Row],[Year_Birth]]&gt;=1900,Audit_Data[[#This Row],[Year_Birth]]&lt;=2010),"OK","Invalid")</f>
        <v>OK</v>
      </c>
      <c r="AF782" t="str">
        <f t="shared" si="157"/>
        <v>Valid</v>
      </c>
      <c r="AG782" t="str">
        <f t="shared" si="158"/>
        <v>Valid</v>
      </c>
      <c r="AH782" t="str">
        <f t="shared" si="159"/>
        <v>Valid</v>
      </c>
      <c r="AI782" t="str">
        <f t="shared" si="160"/>
        <v>Valid</v>
      </c>
      <c r="AJ782" t="str">
        <f t="shared" si="161"/>
        <v>Valid</v>
      </c>
      <c r="AK782" t="str">
        <f t="shared" si="168"/>
        <v xml:space="preserve">Valid </v>
      </c>
      <c r="AL782" t="str">
        <f>IF(AND(Audit_Data[[#This Row],[Recency]]&gt;=0,Audit_Data[[#This Row],[Recency]]&lt;=100),"Valid","Invalid")</f>
        <v>Valid</v>
      </c>
      <c r="AM782" t="str">
        <f t="shared" si="162"/>
        <v>Valid</v>
      </c>
      <c r="AN782" t="str">
        <f t="shared" si="163"/>
        <v>Valid</v>
      </c>
      <c r="AO782" t="str">
        <f t="shared" si="164"/>
        <v>Valid</v>
      </c>
      <c r="AP782" t="str">
        <f t="shared" si="165"/>
        <v>Valid</v>
      </c>
      <c r="AQ782" t="str">
        <f>IF(Audit_Data[[#This Row],[Z_CostContact]]=3,"Valid","Invalid")</f>
        <v>Valid</v>
      </c>
      <c r="AR782" t="str">
        <f t="shared" si="166"/>
        <v>Valid</v>
      </c>
      <c r="AS782" t="str">
        <f t="shared" si="167"/>
        <v>Valid</v>
      </c>
    </row>
    <row r="783" spans="1:45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 t="str">
        <f t="shared" si="156"/>
        <v>Ok</v>
      </c>
      <c r="AE783" t="str">
        <f>IF(AND(Audit_Data[[#This Row],[Year_Birth]]&gt;=1900,Audit_Data[[#This Row],[Year_Birth]]&lt;=2010),"OK","Invalid")</f>
        <v>OK</v>
      </c>
      <c r="AF783" t="str">
        <f t="shared" si="157"/>
        <v>Valid</v>
      </c>
      <c r="AG783" t="str">
        <f t="shared" si="158"/>
        <v>Valid</v>
      </c>
      <c r="AH783" t="str">
        <f t="shared" si="159"/>
        <v>Valid</v>
      </c>
      <c r="AI783" t="str">
        <f t="shared" si="160"/>
        <v>Valid</v>
      </c>
      <c r="AJ783" t="str">
        <f t="shared" si="161"/>
        <v>Valid</v>
      </c>
      <c r="AK783" t="str">
        <f t="shared" si="168"/>
        <v xml:space="preserve">Valid </v>
      </c>
      <c r="AL783" t="str">
        <f>IF(AND(Audit_Data[[#This Row],[Recency]]&gt;=0,Audit_Data[[#This Row],[Recency]]&lt;=100),"Valid","Invalid")</f>
        <v>Valid</v>
      </c>
      <c r="AM783" t="str">
        <f t="shared" si="162"/>
        <v>Valid</v>
      </c>
      <c r="AN783" t="str">
        <f t="shared" si="163"/>
        <v>Valid</v>
      </c>
      <c r="AO783" t="str">
        <f t="shared" si="164"/>
        <v>Valid</v>
      </c>
      <c r="AP783" t="str">
        <f t="shared" si="165"/>
        <v>Valid</v>
      </c>
      <c r="AQ783" t="str">
        <f>IF(Audit_Data[[#This Row],[Z_CostContact]]=3,"Valid","Invalid")</f>
        <v>Valid</v>
      </c>
      <c r="AR783" t="str">
        <f t="shared" si="166"/>
        <v>Valid</v>
      </c>
      <c r="AS783" t="str">
        <f t="shared" si="167"/>
        <v>Valid</v>
      </c>
    </row>
    <row r="784" spans="1:45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 t="str">
        <f t="shared" si="156"/>
        <v>Ok</v>
      </c>
      <c r="AE784" t="str">
        <f>IF(AND(Audit_Data[[#This Row],[Year_Birth]]&gt;=1900,Audit_Data[[#This Row],[Year_Birth]]&lt;=2010),"OK","Invalid")</f>
        <v>OK</v>
      </c>
      <c r="AF784" t="str">
        <f t="shared" si="157"/>
        <v>Valid</v>
      </c>
      <c r="AG784" t="str">
        <f t="shared" si="158"/>
        <v>Valid</v>
      </c>
      <c r="AH784" t="str">
        <f t="shared" si="159"/>
        <v>Valid</v>
      </c>
      <c r="AI784" t="str">
        <f t="shared" si="160"/>
        <v>Valid</v>
      </c>
      <c r="AJ784" t="str">
        <f t="shared" si="161"/>
        <v>Valid</v>
      </c>
      <c r="AK784" t="str">
        <f t="shared" si="168"/>
        <v xml:space="preserve">Valid </v>
      </c>
      <c r="AL784" t="str">
        <f>IF(AND(Audit_Data[[#This Row],[Recency]]&gt;=0,Audit_Data[[#This Row],[Recency]]&lt;=100),"Valid","Invalid")</f>
        <v>Valid</v>
      </c>
      <c r="AM784" t="str">
        <f t="shared" si="162"/>
        <v>Valid</v>
      </c>
      <c r="AN784" t="str">
        <f t="shared" si="163"/>
        <v>Valid</v>
      </c>
      <c r="AO784" t="str">
        <f t="shared" si="164"/>
        <v>Valid</v>
      </c>
      <c r="AP784" t="str">
        <f t="shared" si="165"/>
        <v>Valid</v>
      </c>
      <c r="AQ784" t="str">
        <f>IF(Audit_Data[[#This Row],[Z_CostContact]]=3,"Valid","Invalid")</f>
        <v>Valid</v>
      </c>
      <c r="AR784" t="str">
        <f t="shared" si="166"/>
        <v>Valid</v>
      </c>
      <c r="AS784" t="str">
        <f t="shared" si="167"/>
        <v>Valid</v>
      </c>
    </row>
    <row r="785" spans="1:45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 t="str">
        <f t="shared" si="156"/>
        <v>Ok</v>
      </c>
      <c r="AE785" t="str">
        <f>IF(AND(Audit_Data[[#This Row],[Year_Birth]]&gt;=1900,Audit_Data[[#This Row],[Year_Birth]]&lt;=2010),"OK","Invalid")</f>
        <v>OK</v>
      </c>
      <c r="AF785" t="str">
        <f t="shared" si="157"/>
        <v>Valid</v>
      </c>
      <c r="AG785" t="str">
        <f t="shared" si="158"/>
        <v>Valid</v>
      </c>
      <c r="AH785" t="str">
        <f t="shared" si="159"/>
        <v>Valid</v>
      </c>
      <c r="AI785" t="str">
        <f t="shared" si="160"/>
        <v>Valid</v>
      </c>
      <c r="AJ785" t="str">
        <f t="shared" si="161"/>
        <v>Valid</v>
      </c>
      <c r="AK785" t="str">
        <f t="shared" si="168"/>
        <v xml:space="preserve">Valid </v>
      </c>
      <c r="AL785" t="str">
        <f>IF(AND(Audit_Data[[#This Row],[Recency]]&gt;=0,Audit_Data[[#This Row],[Recency]]&lt;=100),"Valid","Invalid")</f>
        <v>Valid</v>
      </c>
      <c r="AM785" t="str">
        <f t="shared" si="162"/>
        <v>Valid</v>
      </c>
      <c r="AN785" t="str">
        <f t="shared" si="163"/>
        <v>Valid</v>
      </c>
      <c r="AO785" t="str">
        <f t="shared" si="164"/>
        <v>Valid</v>
      </c>
      <c r="AP785" t="str">
        <f t="shared" si="165"/>
        <v>Valid</v>
      </c>
      <c r="AQ785" t="str">
        <f>IF(Audit_Data[[#This Row],[Z_CostContact]]=3,"Valid","Invalid")</f>
        <v>Valid</v>
      </c>
      <c r="AR785" t="str">
        <f t="shared" si="166"/>
        <v>Valid</v>
      </c>
      <c r="AS785" t="str">
        <f t="shared" si="167"/>
        <v>Valid</v>
      </c>
    </row>
    <row r="786" spans="1:45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 t="str">
        <f t="shared" si="156"/>
        <v>Ok</v>
      </c>
      <c r="AE786" t="str">
        <f>IF(AND(Audit_Data[[#This Row],[Year_Birth]]&gt;=1900,Audit_Data[[#This Row],[Year_Birth]]&lt;=2010),"OK","Invalid")</f>
        <v>OK</v>
      </c>
      <c r="AF786" t="str">
        <f t="shared" si="157"/>
        <v>Valid</v>
      </c>
      <c r="AG786" t="str">
        <f t="shared" si="158"/>
        <v>Valid</v>
      </c>
      <c r="AH786" t="str">
        <f t="shared" si="159"/>
        <v>Valid</v>
      </c>
      <c r="AI786" t="str">
        <f t="shared" si="160"/>
        <v>Valid</v>
      </c>
      <c r="AJ786" t="str">
        <f t="shared" si="161"/>
        <v>Valid</v>
      </c>
      <c r="AK786" t="str">
        <f t="shared" si="168"/>
        <v xml:space="preserve">Valid </v>
      </c>
      <c r="AL786" t="str">
        <f>IF(AND(Audit_Data[[#This Row],[Recency]]&gt;=0,Audit_Data[[#This Row],[Recency]]&lt;=100),"Valid","Invalid")</f>
        <v>Valid</v>
      </c>
      <c r="AM786" t="str">
        <f t="shared" si="162"/>
        <v>Valid</v>
      </c>
      <c r="AN786" t="str">
        <f t="shared" si="163"/>
        <v>Valid</v>
      </c>
      <c r="AO786" t="str">
        <f t="shared" si="164"/>
        <v>Valid</v>
      </c>
      <c r="AP786" t="str">
        <f t="shared" si="165"/>
        <v>Valid</v>
      </c>
      <c r="AQ786" t="str">
        <f>IF(Audit_Data[[#This Row],[Z_CostContact]]=3,"Valid","Invalid")</f>
        <v>Valid</v>
      </c>
      <c r="AR786" t="str">
        <f t="shared" si="166"/>
        <v>Valid</v>
      </c>
      <c r="AS786" t="str">
        <f t="shared" si="167"/>
        <v>Valid</v>
      </c>
    </row>
    <row r="787" spans="1:45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 t="str">
        <f t="shared" si="156"/>
        <v>Ok</v>
      </c>
      <c r="AE787" t="str">
        <f>IF(AND(Audit_Data[[#This Row],[Year_Birth]]&gt;=1900,Audit_Data[[#This Row],[Year_Birth]]&lt;=2010),"OK","Invalid")</f>
        <v>OK</v>
      </c>
      <c r="AF787" t="str">
        <f t="shared" si="157"/>
        <v>Valid</v>
      </c>
      <c r="AG787" t="str">
        <f t="shared" si="158"/>
        <v>Valid</v>
      </c>
      <c r="AH787" t="str">
        <f t="shared" si="159"/>
        <v>Valid</v>
      </c>
      <c r="AI787" t="str">
        <f t="shared" si="160"/>
        <v>Valid</v>
      </c>
      <c r="AJ787" t="str">
        <f t="shared" si="161"/>
        <v>Valid</v>
      </c>
      <c r="AK787" t="str">
        <f t="shared" si="168"/>
        <v xml:space="preserve">Valid </v>
      </c>
      <c r="AL787" t="str">
        <f>IF(AND(Audit_Data[[#This Row],[Recency]]&gt;=0,Audit_Data[[#This Row],[Recency]]&lt;=100),"Valid","Invalid")</f>
        <v>Valid</v>
      </c>
      <c r="AM787" t="str">
        <f t="shared" si="162"/>
        <v>Valid</v>
      </c>
      <c r="AN787" t="str">
        <f t="shared" si="163"/>
        <v>Valid</v>
      </c>
      <c r="AO787" t="str">
        <f t="shared" si="164"/>
        <v>Valid</v>
      </c>
      <c r="AP787" t="str">
        <f t="shared" si="165"/>
        <v>Valid</v>
      </c>
      <c r="AQ787" t="str">
        <f>IF(Audit_Data[[#This Row],[Z_CostContact]]=3,"Valid","Invalid")</f>
        <v>Valid</v>
      </c>
      <c r="AR787" t="str">
        <f t="shared" si="166"/>
        <v>Valid</v>
      </c>
      <c r="AS787" t="str">
        <f t="shared" si="167"/>
        <v>Valid</v>
      </c>
    </row>
    <row r="788" spans="1:45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 t="str">
        <f t="shared" si="156"/>
        <v>Ok</v>
      </c>
      <c r="AE788" t="str">
        <f>IF(AND(Audit_Data[[#This Row],[Year_Birth]]&gt;=1900,Audit_Data[[#This Row],[Year_Birth]]&lt;=2010),"OK","Invalid")</f>
        <v>OK</v>
      </c>
      <c r="AF788" t="str">
        <f t="shared" si="157"/>
        <v>Valid</v>
      </c>
      <c r="AG788" t="str">
        <f t="shared" si="158"/>
        <v>Valid</v>
      </c>
      <c r="AH788" t="str">
        <f t="shared" si="159"/>
        <v>Valid</v>
      </c>
      <c r="AI788" t="str">
        <f t="shared" si="160"/>
        <v>Valid</v>
      </c>
      <c r="AJ788" t="str">
        <f t="shared" si="161"/>
        <v>Valid</v>
      </c>
      <c r="AK788" t="str">
        <f t="shared" si="168"/>
        <v xml:space="preserve">Valid </v>
      </c>
      <c r="AL788" t="str">
        <f>IF(AND(Audit_Data[[#This Row],[Recency]]&gt;=0,Audit_Data[[#This Row],[Recency]]&lt;=100),"Valid","Invalid")</f>
        <v>Valid</v>
      </c>
      <c r="AM788" t="str">
        <f t="shared" si="162"/>
        <v>Valid</v>
      </c>
      <c r="AN788" t="str">
        <f t="shared" si="163"/>
        <v>Valid</v>
      </c>
      <c r="AO788" t="str">
        <f t="shared" si="164"/>
        <v>Valid</v>
      </c>
      <c r="AP788" t="str">
        <f t="shared" si="165"/>
        <v>Valid</v>
      </c>
      <c r="AQ788" t="str">
        <f>IF(Audit_Data[[#This Row],[Z_CostContact]]=3,"Valid","Invalid")</f>
        <v>Valid</v>
      </c>
      <c r="AR788" t="str">
        <f t="shared" si="166"/>
        <v>Valid</v>
      </c>
      <c r="AS788" t="str">
        <f t="shared" si="167"/>
        <v>Valid</v>
      </c>
    </row>
    <row r="789" spans="1:45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 t="str">
        <f t="shared" si="156"/>
        <v>Ok</v>
      </c>
      <c r="AE789" t="str">
        <f>IF(AND(Audit_Data[[#This Row],[Year_Birth]]&gt;=1900,Audit_Data[[#This Row],[Year_Birth]]&lt;=2010),"OK","Invalid")</f>
        <v>OK</v>
      </c>
      <c r="AF789" t="str">
        <f t="shared" si="157"/>
        <v>Valid</v>
      </c>
      <c r="AG789" t="str">
        <f t="shared" si="158"/>
        <v>Valid</v>
      </c>
      <c r="AH789" t="str">
        <f t="shared" si="159"/>
        <v>Valid</v>
      </c>
      <c r="AI789" t="str">
        <f t="shared" si="160"/>
        <v>Valid</v>
      </c>
      <c r="AJ789" t="str">
        <f t="shared" si="161"/>
        <v>Valid</v>
      </c>
      <c r="AK789" t="str">
        <f t="shared" si="168"/>
        <v xml:space="preserve">Valid </v>
      </c>
      <c r="AL789" t="str">
        <f>IF(AND(Audit_Data[[#This Row],[Recency]]&gt;=0,Audit_Data[[#This Row],[Recency]]&lt;=100),"Valid","Invalid")</f>
        <v>Valid</v>
      </c>
      <c r="AM789" t="str">
        <f t="shared" si="162"/>
        <v>Valid</v>
      </c>
      <c r="AN789" t="str">
        <f t="shared" si="163"/>
        <v>Valid</v>
      </c>
      <c r="AO789" t="str">
        <f t="shared" si="164"/>
        <v>Valid</v>
      </c>
      <c r="AP789" t="str">
        <f t="shared" si="165"/>
        <v>Valid</v>
      </c>
      <c r="AQ789" t="str">
        <f>IF(Audit_Data[[#This Row],[Z_CostContact]]=3,"Valid","Invalid")</f>
        <v>Valid</v>
      </c>
      <c r="AR789" t="str">
        <f t="shared" si="166"/>
        <v>Valid</v>
      </c>
      <c r="AS789" t="str">
        <f t="shared" si="167"/>
        <v>Valid</v>
      </c>
    </row>
    <row r="790" spans="1:45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 t="str">
        <f t="shared" si="156"/>
        <v>Ok</v>
      </c>
      <c r="AE790" t="str">
        <f>IF(AND(Audit_Data[[#This Row],[Year_Birth]]&gt;=1900,Audit_Data[[#This Row],[Year_Birth]]&lt;=2010),"OK","Invalid")</f>
        <v>OK</v>
      </c>
      <c r="AF790" t="str">
        <f t="shared" si="157"/>
        <v>Valid</v>
      </c>
      <c r="AG790" t="str">
        <f t="shared" si="158"/>
        <v>Valid</v>
      </c>
      <c r="AH790" t="str">
        <f t="shared" si="159"/>
        <v>Valid</v>
      </c>
      <c r="AI790" t="str">
        <f t="shared" si="160"/>
        <v>Valid</v>
      </c>
      <c r="AJ790" t="str">
        <f t="shared" si="161"/>
        <v>Valid</v>
      </c>
      <c r="AK790" t="str">
        <f t="shared" si="168"/>
        <v xml:space="preserve">Valid </v>
      </c>
      <c r="AL790" t="str">
        <f>IF(AND(Audit_Data[[#This Row],[Recency]]&gt;=0,Audit_Data[[#This Row],[Recency]]&lt;=100),"Valid","Invalid")</f>
        <v>Valid</v>
      </c>
      <c r="AM790" t="str">
        <f t="shared" si="162"/>
        <v>Valid</v>
      </c>
      <c r="AN790" t="str">
        <f t="shared" si="163"/>
        <v>Valid</v>
      </c>
      <c r="AO790" t="str">
        <f t="shared" si="164"/>
        <v>Valid</v>
      </c>
      <c r="AP790" t="str">
        <f t="shared" si="165"/>
        <v>Valid</v>
      </c>
      <c r="AQ790" t="str">
        <f>IF(Audit_Data[[#This Row],[Z_CostContact]]=3,"Valid","Invalid")</f>
        <v>Valid</v>
      </c>
      <c r="AR790" t="str">
        <f t="shared" si="166"/>
        <v>Valid</v>
      </c>
      <c r="AS790" t="str">
        <f t="shared" si="167"/>
        <v>Valid</v>
      </c>
    </row>
    <row r="791" spans="1:45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 t="str">
        <f t="shared" si="156"/>
        <v>Ok</v>
      </c>
      <c r="AE791" t="str">
        <f>IF(AND(Audit_Data[[#This Row],[Year_Birth]]&gt;=1900,Audit_Data[[#This Row],[Year_Birth]]&lt;=2010),"OK","Invalid")</f>
        <v>OK</v>
      </c>
      <c r="AF791" t="str">
        <f t="shared" si="157"/>
        <v>Valid</v>
      </c>
      <c r="AG791" t="str">
        <f t="shared" si="158"/>
        <v>Valid</v>
      </c>
      <c r="AH791" t="str">
        <f t="shared" si="159"/>
        <v>Valid</v>
      </c>
      <c r="AI791" t="str">
        <f t="shared" si="160"/>
        <v>Valid</v>
      </c>
      <c r="AJ791" t="str">
        <f t="shared" si="161"/>
        <v>Valid</v>
      </c>
      <c r="AK791" t="str">
        <f t="shared" si="168"/>
        <v xml:space="preserve">Valid </v>
      </c>
      <c r="AL791" t="str">
        <f>IF(AND(Audit_Data[[#This Row],[Recency]]&gt;=0,Audit_Data[[#This Row],[Recency]]&lt;=100),"Valid","Invalid")</f>
        <v>Valid</v>
      </c>
      <c r="AM791" t="str">
        <f t="shared" si="162"/>
        <v>Valid</v>
      </c>
      <c r="AN791" t="str">
        <f t="shared" si="163"/>
        <v>Valid</v>
      </c>
      <c r="AO791" t="str">
        <f t="shared" si="164"/>
        <v>Valid</v>
      </c>
      <c r="AP791" t="str">
        <f t="shared" si="165"/>
        <v>Valid</v>
      </c>
      <c r="AQ791" t="str">
        <f>IF(Audit_Data[[#This Row],[Z_CostContact]]=3,"Valid","Invalid")</f>
        <v>Valid</v>
      </c>
      <c r="AR791" t="str">
        <f t="shared" si="166"/>
        <v>Valid</v>
      </c>
      <c r="AS791" t="str">
        <f t="shared" si="167"/>
        <v>Valid</v>
      </c>
    </row>
    <row r="792" spans="1:45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 t="str">
        <f t="shared" si="156"/>
        <v>Ok</v>
      </c>
      <c r="AE792" t="str">
        <f>IF(AND(Audit_Data[[#This Row],[Year_Birth]]&gt;=1900,Audit_Data[[#This Row],[Year_Birth]]&lt;=2010),"OK","Invalid")</f>
        <v>OK</v>
      </c>
      <c r="AF792" t="str">
        <f t="shared" si="157"/>
        <v>Valid</v>
      </c>
      <c r="AG792" t="str">
        <f t="shared" si="158"/>
        <v>Valid</v>
      </c>
      <c r="AH792" t="str">
        <f t="shared" si="159"/>
        <v>Valid</v>
      </c>
      <c r="AI792" t="str">
        <f t="shared" si="160"/>
        <v>Valid</v>
      </c>
      <c r="AJ792" t="str">
        <f t="shared" si="161"/>
        <v>Valid</v>
      </c>
      <c r="AK792" t="str">
        <f t="shared" si="168"/>
        <v xml:space="preserve">Valid </v>
      </c>
      <c r="AL792" t="str">
        <f>IF(AND(Audit_Data[[#This Row],[Recency]]&gt;=0,Audit_Data[[#This Row],[Recency]]&lt;=100),"Valid","Invalid")</f>
        <v>Valid</v>
      </c>
      <c r="AM792" t="str">
        <f t="shared" si="162"/>
        <v>Valid</v>
      </c>
      <c r="AN792" t="str">
        <f t="shared" si="163"/>
        <v>Valid</v>
      </c>
      <c r="AO792" t="str">
        <f t="shared" si="164"/>
        <v>Valid</v>
      </c>
      <c r="AP792" t="str">
        <f t="shared" si="165"/>
        <v>Valid</v>
      </c>
      <c r="AQ792" t="str">
        <f>IF(Audit_Data[[#This Row],[Z_CostContact]]=3,"Valid","Invalid")</f>
        <v>Valid</v>
      </c>
      <c r="AR792" t="str">
        <f t="shared" si="166"/>
        <v>Valid</v>
      </c>
      <c r="AS792" t="str">
        <f t="shared" si="167"/>
        <v>Valid</v>
      </c>
    </row>
    <row r="793" spans="1:45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 t="str">
        <f t="shared" si="156"/>
        <v>Ok</v>
      </c>
      <c r="AE793" t="str">
        <f>IF(AND(Audit_Data[[#This Row],[Year_Birth]]&gt;=1900,Audit_Data[[#This Row],[Year_Birth]]&lt;=2010),"OK","Invalid")</f>
        <v>OK</v>
      </c>
      <c r="AF793" t="str">
        <f t="shared" si="157"/>
        <v>Valid</v>
      </c>
      <c r="AG793" t="str">
        <f t="shared" si="158"/>
        <v>Valid</v>
      </c>
      <c r="AH793" t="str">
        <f t="shared" si="159"/>
        <v>Valid</v>
      </c>
      <c r="AI793" t="str">
        <f t="shared" si="160"/>
        <v>Valid</v>
      </c>
      <c r="AJ793" t="str">
        <f t="shared" si="161"/>
        <v>Valid</v>
      </c>
      <c r="AK793" t="str">
        <f t="shared" si="168"/>
        <v xml:space="preserve">Valid </v>
      </c>
      <c r="AL793" t="str">
        <f>IF(AND(Audit_Data[[#This Row],[Recency]]&gt;=0,Audit_Data[[#This Row],[Recency]]&lt;=100),"Valid","Invalid")</f>
        <v>Valid</v>
      </c>
      <c r="AM793" t="str">
        <f t="shared" si="162"/>
        <v>Valid</v>
      </c>
      <c r="AN793" t="str">
        <f t="shared" si="163"/>
        <v>Valid</v>
      </c>
      <c r="AO793" t="str">
        <f t="shared" si="164"/>
        <v>Valid</v>
      </c>
      <c r="AP793" t="str">
        <f t="shared" si="165"/>
        <v>Valid</v>
      </c>
      <c r="AQ793" t="str">
        <f>IF(Audit_Data[[#This Row],[Z_CostContact]]=3,"Valid","Invalid")</f>
        <v>Valid</v>
      </c>
      <c r="AR793" t="str">
        <f t="shared" si="166"/>
        <v>Valid</v>
      </c>
      <c r="AS793" t="str">
        <f t="shared" si="167"/>
        <v>Valid</v>
      </c>
    </row>
    <row r="794" spans="1:45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 t="str">
        <f t="shared" si="156"/>
        <v>Ok</v>
      </c>
      <c r="AE794" t="str">
        <f>IF(AND(Audit_Data[[#This Row],[Year_Birth]]&gt;=1900,Audit_Data[[#This Row],[Year_Birth]]&lt;=2010),"OK","Invalid")</f>
        <v>OK</v>
      </c>
      <c r="AF794" t="str">
        <f t="shared" si="157"/>
        <v>Valid</v>
      </c>
      <c r="AG794" t="str">
        <f t="shared" si="158"/>
        <v>Valid</v>
      </c>
      <c r="AH794" t="str">
        <f t="shared" si="159"/>
        <v>Valid</v>
      </c>
      <c r="AI794" t="str">
        <f t="shared" si="160"/>
        <v>Valid</v>
      </c>
      <c r="AJ794" t="str">
        <f t="shared" si="161"/>
        <v>Valid</v>
      </c>
      <c r="AK794" t="str">
        <f t="shared" si="168"/>
        <v xml:space="preserve">Valid </v>
      </c>
      <c r="AL794" t="str">
        <f>IF(AND(Audit_Data[[#This Row],[Recency]]&gt;=0,Audit_Data[[#This Row],[Recency]]&lt;=100),"Valid","Invalid")</f>
        <v>Valid</v>
      </c>
      <c r="AM794" t="str">
        <f t="shared" si="162"/>
        <v>Valid</v>
      </c>
      <c r="AN794" t="str">
        <f t="shared" si="163"/>
        <v>Valid</v>
      </c>
      <c r="AO794" t="str">
        <f t="shared" si="164"/>
        <v>Valid</v>
      </c>
      <c r="AP794" t="str">
        <f t="shared" si="165"/>
        <v>Valid</v>
      </c>
      <c r="AQ794" t="str">
        <f>IF(Audit_Data[[#This Row],[Z_CostContact]]=3,"Valid","Invalid")</f>
        <v>Valid</v>
      </c>
      <c r="AR794" t="str">
        <f t="shared" si="166"/>
        <v>Valid</v>
      </c>
      <c r="AS794" t="str">
        <f t="shared" si="167"/>
        <v>Valid</v>
      </c>
    </row>
    <row r="795" spans="1:45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 t="str">
        <f t="shared" si="156"/>
        <v>Ok</v>
      </c>
      <c r="AE795" t="str">
        <f>IF(AND(Audit_Data[[#This Row],[Year_Birth]]&gt;=1900,Audit_Data[[#This Row],[Year_Birth]]&lt;=2010),"OK","Invalid")</f>
        <v>OK</v>
      </c>
      <c r="AF795" t="str">
        <f t="shared" si="157"/>
        <v>Valid</v>
      </c>
      <c r="AG795" t="str">
        <f t="shared" si="158"/>
        <v>Valid</v>
      </c>
      <c r="AH795" t="str">
        <f t="shared" si="159"/>
        <v>Valid</v>
      </c>
      <c r="AI795" t="str">
        <f t="shared" si="160"/>
        <v>Valid</v>
      </c>
      <c r="AJ795" t="str">
        <f t="shared" si="161"/>
        <v>Valid</v>
      </c>
      <c r="AK795" t="str">
        <f t="shared" si="168"/>
        <v xml:space="preserve">Valid </v>
      </c>
      <c r="AL795" t="str">
        <f>IF(AND(Audit_Data[[#This Row],[Recency]]&gt;=0,Audit_Data[[#This Row],[Recency]]&lt;=100),"Valid","Invalid")</f>
        <v>Valid</v>
      </c>
      <c r="AM795" t="str">
        <f t="shared" si="162"/>
        <v>Valid</v>
      </c>
      <c r="AN795" t="str">
        <f t="shared" si="163"/>
        <v>Valid</v>
      </c>
      <c r="AO795" t="str">
        <f t="shared" si="164"/>
        <v>Valid</v>
      </c>
      <c r="AP795" t="str">
        <f t="shared" si="165"/>
        <v>Valid</v>
      </c>
      <c r="AQ795" t="str">
        <f>IF(Audit_Data[[#This Row],[Z_CostContact]]=3,"Valid","Invalid")</f>
        <v>Valid</v>
      </c>
      <c r="AR795" t="str">
        <f t="shared" si="166"/>
        <v>Valid</v>
      </c>
      <c r="AS795" t="str">
        <f t="shared" si="167"/>
        <v>Valid</v>
      </c>
    </row>
    <row r="796" spans="1:45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 t="str">
        <f t="shared" si="156"/>
        <v>Ok</v>
      </c>
      <c r="AE796" t="str">
        <f>IF(AND(Audit_Data[[#This Row],[Year_Birth]]&gt;=1900,Audit_Data[[#This Row],[Year_Birth]]&lt;=2010),"OK","Invalid")</f>
        <v>OK</v>
      </c>
      <c r="AF796" t="str">
        <f t="shared" si="157"/>
        <v>Valid</v>
      </c>
      <c r="AG796" t="str">
        <f t="shared" si="158"/>
        <v>Valid</v>
      </c>
      <c r="AH796" t="str">
        <f t="shared" si="159"/>
        <v>Valid</v>
      </c>
      <c r="AI796" t="str">
        <f t="shared" si="160"/>
        <v>Valid</v>
      </c>
      <c r="AJ796" t="str">
        <f t="shared" si="161"/>
        <v>Valid</v>
      </c>
      <c r="AK796" t="str">
        <f t="shared" si="168"/>
        <v xml:space="preserve">Valid </v>
      </c>
      <c r="AL796" t="str">
        <f>IF(AND(Audit_Data[[#This Row],[Recency]]&gt;=0,Audit_Data[[#This Row],[Recency]]&lt;=100),"Valid","Invalid")</f>
        <v>Valid</v>
      </c>
      <c r="AM796" t="str">
        <f t="shared" si="162"/>
        <v>Valid</v>
      </c>
      <c r="AN796" t="str">
        <f t="shared" si="163"/>
        <v>Valid</v>
      </c>
      <c r="AO796" t="str">
        <f t="shared" si="164"/>
        <v>Valid</v>
      </c>
      <c r="AP796" t="str">
        <f t="shared" si="165"/>
        <v>Valid</v>
      </c>
      <c r="AQ796" t="str">
        <f>IF(Audit_Data[[#This Row],[Z_CostContact]]=3,"Valid","Invalid")</f>
        <v>Valid</v>
      </c>
      <c r="AR796" t="str">
        <f t="shared" si="166"/>
        <v>Valid</v>
      </c>
      <c r="AS796" t="str">
        <f t="shared" si="167"/>
        <v>Valid</v>
      </c>
    </row>
    <row r="797" spans="1:45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 t="str">
        <f t="shared" si="156"/>
        <v>Ok</v>
      </c>
      <c r="AE797" t="str">
        <f>IF(AND(Audit_Data[[#This Row],[Year_Birth]]&gt;=1900,Audit_Data[[#This Row],[Year_Birth]]&lt;=2010),"OK","Invalid")</f>
        <v>OK</v>
      </c>
      <c r="AF797" t="str">
        <f t="shared" si="157"/>
        <v>Valid</v>
      </c>
      <c r="AG797" t="str">
        <f t="shared" si="158"/>
        <v>Valid</v>
      </c>
      <c r="AH797" t="str">
        <f t="shared" si="159"/>
        <v>Valid</v>
      </c>
      <c r="AI797" t="str">
        <f t="shared" si="160"/>
        <v>Valid</v>
      </c>
      <c r="AJ797" t="str">
        <f t="shared" si="161"/>
        <v>Valid</v>
      </c>
      <c r="AK797" t="str">
        <f t="shared" si="168"/>
        <v xml:space="preserve">Valid </v>
      </c>
      <c r="AL797" t="str">
        <f>IF(AND(Audit_Data[[#This Row],[Recency]]&gt;=0,Audit_Data[[#This Row],[Recency]]&lt;=100),"Valid","Invalid")</f>
        <v>Valid</v>
      </c>
      <c r="AM797" t="str">
        <f t="shared" si="162"/>
        <v>Valid</v>
      </c>
      <c r="AN797" t="str">
        <f t="shared" si="163"/>
        <v>Valid</v>
      </c>
      <c r="AO797" t="str">
        <f t="shared" si="164"/>
        <v>Valid</v>
      </c>
      <c r="AP797" t="str">
        <f t="shared" si="165"/>
        <v>Valid</v>
      </c>
      <c r="AQ797" t="str">
        <f>IF(Audit_Data[[#This Row],[Z_CostContact]]=3,"Valid","Invalid")</f>
        <v>Valid</v>
      </c>
      <c r="AR797" t="str">
        <f t="shared" si="166"/>
        <v>Valid</v>
      </c>
      <c r="AS797" t="str">
        <f t="shared" si="167"/>
        <v>Valid</v>
      </c>
    </row>
    <row r="798" spans="1:45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 t="str">
        <f t="shared" si="156"/>
        <v>Ok</v>
      </c>
      <c r="AE798" t="str">
        <f>IF(AND(Audit_Data[[#This Row],[Year_Birth]]&gt;=1900,Audit_Data[[#This Row],[Year_Birth]]&lt;=2010),"OK","Invalid")</f>
        <v>OK</v>
      </c>
      <c r="AF798" t="str">
        <f t="shared" si="157"/>
        <v>Valid</v>
      </c>
      <c r="AG798" t="str">
        <f t="shared" si="158"/>
        <v>Valid</v>
      </c>
      <c r="AH798" t="str">
        <f t="shared" si="159"/>
        <v>Valid</v>
      </c>
      <c r="AI798" t="str">
        <f t="shared" si="160"/>
        <v>Valid</v>
      </c>
      <c r="AJ798" t="str">
        <f t="shared" si="161"/>
        <v>Valid</v>
      </c>
      <c r="AK798" t="str">
        <f t="shared" si="168"/>
        <v xml:space="preserve">Valid </v>
      </c>
      <c r="AL798" t="str">
        <f>IF(AND(Audit_Data[[#This Row],[Recency]]&gt;=0,Audit_Data[[#This Row],[Recency]]&lt;=100),"Valid","Invalid")</f>
        <v>Valid</v>
      </c>
      <c r="AM798" t="str">
        <f t="shared" si="162"/>
        <v>Valid</v>
      </c>
      <c r="AN798" t="str">
        <f t="shared" si="163"/>
        <v>Valid</v>
      </c>
      <c r="AO798" t="str">
        <f t="shared" si="164"/>
        <v>Valid</v>
      </c>
      <c r="AP798" t="str">
        <f t="shared" si="165"/>
        <v>Valid</v>
      </c>
      <c r="AQ798" t="str">
        <f>IF(Audit_Data[[#This Row],[Z_CostContact]]=3,"Valid","Invalid")</f>
        <v>Valid</v>
      </c>
      <c r="AR798" t="str">
        <f t="shared" si="166"/>
        <v>Valid</v>
      </c>
      <c r="AS798" t="str">
        <f t="shared" si="167"/>
        <v>Valid</v>
      </c>
    </row>
    <row r="799" spans="1:45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 t="str">
        <f t="shared" si="156"/>
        <v>Ok</v>
      </c>
      <c r="AE799" t="str">
        <f>IF(AND(Audit_Data[[#This Row],[Year_Birth]]&gt;=1900,Audit_Data[[#This Row],[Year_Birth]]&lt;=2010),"OK","Invalid")</f>
        <v>OK</v>
      </c>
      <c r="AF799" t="str">
        <f t="shared" si="157"/>
        <v>Valid</v>
      </c>
      <c r="AG799" t="str">
        <f t="shared" si="158"/>
        <v>Valid</v>
      </c>
      <c r="AH799" t="str">
        <f t="shared" si="159"/>
        <v>Valid</v>
      </c>
      <c r="AI799" t="str">
        <f t="shared" si="160"/>
        <v>Valid</v>
      </c>
      <c r="AJ799" t="str">
        <f t="shared" si="161"/>
        <v>Valid</v>
      </c>
      <c r="AK799" t="str">
        <f t="shared" si="168"/>
        <v xml:space="preserve">Valid </v>
      </c>
      <c r="AL799" t="str">
        <f>IF(AND(Audit_Data[[#This Row],[Recency]]&gt;=0,Audit_Data[[#This Row],[Recency]]&lt;=100),"Valid","Invalid")</f>
        <v>Valid</v>
      </c>
      <c r="AM799" t="str">
        <f t="shared" si="162"/>
        <v>Valid</v>
      </c>
      <c r="AN799" t="str">
        <f t="shared" si="163"/>
        <v>Valid</v>
      </c>
      <c r="AO799" t="str">
        <f t="shared" si="164"/>
        <v>Valid</v>
      </c>
      <c r="AP799" t="str">
        <f t="shared" si="165"/>
        <v>Valid</v>
      </c>
      <c r="AQ799" t="str">
        <f>IF(Audit_Data[[#This Row],[Z_CostContact]]=3,"Valid","Invalid")</f>
        <v>Valid</v>
      </c>
      <c r="AR799" t="str">
        <f t="shared" si="166"/>
        <v>Valid</v>
      </c>
      <c r="AS799" t="str">
        <f t="shared" si="167"/>
        <v>Valid</v>
      </c>
    </row>
    <row r="800" spans="1:45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 t="str">
        <f t="shared" si="156"/>
        <v>Ok</v>
      </c>
      <c r="AE800" t="str">
        <f>IF(AND(Audit_Data[[#This Row],[Year_Birth]]&gt;=1900,Audit_Data[[#This Row],[Year_Birth]]&lt;=2010),"OK","Invalid")</f>
        <v>OK</v>
      </c>
      <c r="AF800" t="str">
        <f t="shared" si="157"/>
        <v>Valid</v>
      </c>
      <c r="AG800" t="str">
        <f t="shared" si="158"/>
        <v>Valid</v>
      </c>
      <c r="AH800" t="str">
        <f t="shared" si="159"/>
        <v>Valid</v>
      </c>
      <c r="AI800" t="str">
        <f t="shared" si="160"/>
        <v>Valid</v>
      </c>
      <c r="AJ800" t="str">
        <f t="shared" si="161"/>
        <v>Valid</v>
      </c>
      <c r="AK800" t="str">
        <f t="shared" si="168"/>
        <v xml:space="preserve">Valid </v>
      </c>
      <c r="AL800" t="str">
        <f>IF(AND(Audit_Data[[#This Row],[Recency]]&gt;=0,Audit_Data[[#This Row],[Recency]]&lt;=100),"Valid","Invalid")</f>
        <v>Valid</v>
      </c>
      <c r="AM800" t="str">
        <f t="shared" si="162"/>
        <v>Valid</v>
      </c>
      <c r="AN800" t="str">
        <f t="shared" si="163"/>
        <v>Valid</v>
      </c>
      <c r="AO800" t="str">
        <f t="shared" si="164"/>
        <v>Valid</v>
      </c>
      <c r="AP800" t="str">
        <f t="shared" si="165"/>
        <v>Valid</v>
      </c>
      <c r="AQ800" t="str">
        <f>IF(Audit_Data[[#This Row],[Z_CostContact]]=3,"Valid","Invalid")</f>
        <v>Valid</v>
      </c>
      <c r="AR800" t="str">
        <f t="shared" si="166"/>
        <v>Valid</v>
      </c>
      <c r="AS800" t="str">
        <f t="shared" si="167"/>
        <v>Valid</v>
      </c>
    </row>
    <row r="801" spans="1:45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 t="str">
        <f t="shared" si="156"/>
        <v>Ok</v>
      </c>
      <c r="AE801" t="str">
        <f>IF(AND(Audit_Data[[#This Row],[Year_Birth]]&gt;=1900,Audit_Data[[#This Row],[Year_Birth]]&lt;=2010),"OK","Invalid")</f>
        <v>OK</v>
      </c>
      <c r="AF801" t="str">
        <f t="shared" si="157"/>
        <v>Valid</v>
      </c>
      <c r="AG801" t="str">
        <f t="shared" si="158"/>
        <v>Valid</v>
      </c>
      <c r="AH801" t="str">
        <f t="shared" si="159"/>
        <v>Valid</v>
      </c>
      <c r="AI801" t="str">
        <f t="shared" si="160"/>
        <v>Valid</v>
      </c>
      <c r="AJ801" t="str">
        <f t="shared" si="161"/>
        <v>Valid</v>
      </c>
      <c r="AK801" t="str">
        <f t="shared" si="168"/>
        <v xml:space="preserve">Valid </v>
      </c>
      <c r="AL801" t="str">
        <f>IF(AND(Audit_Data[[#This Row],[Recency]]&gt;=0,Audit_Data[[#This Row],[Recency]]&lt;=100),"Valid","Invalid")</f>
        <v>Valid</v>
      </c>
      <c r="AM801" t="str">
        <f t="shared" si="162"/>
        <v>Valid</v>
      </c>
      <c r="AN801" t="str">
        <f t="shared" si="163"/>
        <v>Valid</v>
      </c>
      <c r="AO801" t="str">
        <f t="shared" si="164"/>
        <v>Valid</v>
      </c>
      <c r="AP801" t="str">
        <f t="shared" si="165"/>
        <v>Valid</v>
      </c>
      <c r="AQ801" t="str">
        <f>IF(Audit_Data[[#This Row],[Z_CostContact]]=3,"Valid","Invalid")</f>
        <v>Valid</v>
      </c>
      <c r="AR801" t="str">
        <f t="shared" si="166"/>
        <v>Valid</v>
      </c>
      <c r="AS801" t="str">
        <f t="shared" si="167"/>
        <v>Valid</v>
      </c>
    </row>
    <row r="802" spans="1:45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 t="str">
        <f t="shared" si="156"/>
        <v>Ok</v>
      </c>
      <c r="AE802" t="str">
        <f>IF(AND(Audit_Data[[#This Row],[Year_Birth]]&gt;=1900,Audit_Data[[#This Row],[Year_Birth]]&lt;=2010),"OK","Invalid")</f>
        <v>OK</v>
      </c>
      <c r="AF802" t="str">
        <f t="shared" si="157"/>
        <v>Valid</v>
      </c>
      <c r="AG802" t="str">
        <f t="shared" si="158"/>
        <v>Valid</v>
      </c>
      <c r="AH802" t="str">
        <f t="shared" si="159"/>
        <v>Valid</v>
      </c>
      <c r="AI802" t="str">
        <f t="shared" si="160"/>
        <v>Valid</v>
      </c>
      <c r="AJ802" t="str">
        <f t="shared" si="161"/>
        <v>Valid</v>
      </c>
      <c r="AK802" t="str">
        <f t="shared" si="168"/>
        <v xml:space="preserve">Valid </v>
      </c>
      <c r="AL802" t="str">
        <f>IF(AND(Audit_Data[[#This Row],[Recency]]&gt;=0,Audit_Data[[#This Row],[Recency]]&lt;=100),"Valid","Invalid")</f>
        <v>Valid</v>
      </c>
      <c r="AM802" t="str">
        <f t="shared" si="162"/>
        <v>Valid</v>
      </c>
      <c r="AN802" t="str">
        <f t="shared" si="163"/>
        <v>Valid</v>
      </c>
      <c r="AO802" t="str">
        <f t="shared" si="164"/>
        <v>Valid</v>
      </c>
      <c r="AP802" t="str">
        <f t="shared" si="165"/>
        <v>Valid</v>
      </c>
      <c r="AQ802" t="str">
        <f>IF(Audit_Data[[#This Row],[Z_CostContact]]=3,"Valid","Invalid")</f>
        <v>Valid</v>
      </c>
      <c r="AR802" t="str">
        <f t="shared" si="166"/>
        <v>Valid</v>
      </c>
      <c r="AS802" t="str">
        <f t="shared" si="167"/>
        <v>Valid</v>
      </c>
    </row>
    <row r="803" spans="1:45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 t="str">
        <f t="shared" si="156"/>
        <v>Ok</v>
      </c>
      <c r="AE803" t="str">
        <f>IF(AND(Audit_Data[[#This Row],[Year_Birth]]&gt;=1900,Audit_Data[[#This Row],[Year_Birth]]&lt;=2010),"OK","Invalid")</f>
        <v>OK</v>
      </c>
      <c r="AF803" t="str">
        <f t="shared" si="157"/>
        <v>Valid</v>
      </c>
      <c r="AG803" t="str">
        <f t="shared" si="158"/>
        <v>Valid</v>
      </c>
      <c r="AH803" t="str">
        <f t="shared" si="159"/>
        <v>Valid</v>
      </c>
      <c r="AI803" t="str">
        <f t="shared" si="160"/>
        <v>Valid</v>
      </c>
      <c r="AJ803" t="str">
        <f t="shared" si="161"/>
        <v>Valid</v>
      </c>
      <c r="AK803" t="str">
        <f t="shared" si="168"/>
        <v xml:space="preserve">Valid </v>
      </c>
      <c r="AL803" t="str">
        <f>IF(AND(Audit_Data[[#This Row],[Recency]]&gt;=0,Audit_Data[[#This Row],[Recency]]&lt;=100),"Valid","Invalid")</f>
        <v>Valid</v>
      </c>
      <c r="AM803" t="str">
        <f t="shared" si="162"/>
        <v>Valid</v>
      </c>
      <c r="AN803" t="str">
        <f t="shared" si="163"/>
        <v>Valid</v>
      </c>
      <c r="AO803" t="str">
        <f t="shared" si="164"/>
        <v>Valid</v>
      </c>
      <c r="AP803" t="str">
        <f t="shared" si="165"/>
        <v>Valid</v>
      </c>
      <c r="AQ803" t="str">
        <f>IF(Audit_Data[[#This Row],[Z_CostContact]]=3,"Valid","Invalid")</f>
        <v>Valid</v>
      </c>
      <c r="AR803" t="str">
        <f t="shared" si="166"/>
        <v>Valid</v>
      </c>
      <c r="AS803" t="str">
        <f t="shared" si="167"/>
        <v>Valid</v>
      </c>
    </row>
    <row r="804" spans="1:45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 t="str">
        <f t="shared" si="156"/>
        <v>Ok</v>
      </c>
      <c r="AE804" t="str">
        <f>IF(AND(Audit_Data[[#This Row],[Year_Birth]]&gt;=1900,Audit_Data[[#This Row],[Year_Birth]]&lt;=2010),"OK","Invalid")</f>
        <v>OK</v>
      </c>
      <c r="AF804" t="str">
        <f t="shared" si="157"/>
        <v>Valid</v>
      </c>
      <c r="AG804" t="str">
        <f t="shared" si="158"/>
        <v>Valid</v>
      </c>
      <c r="AH804" t="str">
        <f t="shared" si="159"/>
        <v>Valid</v>
      </c>
      <c r="AI804" t="str">
        <f t="shared" si="160"/>
        <v>Valid</v>
      </c>
      <c r="AJ804" t="str">
        <f t="shared" si="161"/>
        <v>Valid</v>
      </c>
      <c r="AK804" t="str">
        <f t="shared" si="168"/>
        <v xml:space="preserve">Valid </v>
      </c>
      <c r="AL804" t="str">
        <f>IF(AND(Audit_Data[[#This Row],[Recency]]&gt;=0,Audit_Data[[#This Row],[Recency]]&lt;=100),"Valid","Invalid")</f>
        <v>Valid</v>
      </c>
      <c r="AM804" t="str">
        <f t="shared" si="162"/>
        <v>Valid</v>
      </c>
      <c r="AN804" t="str">
        <f t="shared" si="163"/>
        <v>Valid</v>
      </c>
      <c r="AO804" t="str">
        <f t="shared" si="164"/>
        <v>Valid</v>
      </c>
      <c r="AP804" t="str">
        <f t="shared" si="165"/>
        <v>Valid</v>
      </c>
      <c r="AQ804" t="str">
        <f>IF(Audit_Data[[#This Row],[Z_CostContact]]=3,"Valid","Invalid")</f>
        <v>Valid</v>
      </c>
      <c r="AR804" t="str">
        <f t="shared" si="166"/>
        <v>Valid</v>
      </c>
      <c r="AS804" t="str">
        <f t="shared" si="167"/>
        <v>Valid</v>
      </c>
    </row>
    <row r="805" spans="1:45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 t="str">
        <f t="shared" si="156"/>
        <v>Ok</v>
      </c>
      <c r="AE805" t="str">
        <f>IF(AND(Audit_Data[[#This Row],[Year_Birth]]&gt;=1900,Audit_Data[[#This Row],[Year_Birth]]&lt;=2010),"OK","Invalid")</f>
        <v>OK</v>
      </c>
      <c r="AF805" t="str">
        <f t="shared" si="157"/>
        <v>Valid</v>
      </c>
      <c r="AG805" t="str">
        <f t="shared" si="158"/>
        <v>Valid</v>
      </c>
      <c r="AH805" t="str">
        <f t="shared" si="159"/>
        <v>Valid</v>
      </c>
      <c r="AI805" t="str">
        <f t="shared" si="160"/>
        <v>Valid</v>
      </c>
      <c r="AJ805" t="str">
        <f t="shared" si="161"/>
        <v>Valid</v>
      </c>
      <c r="AK805" t="str">
        <f t="shared" si="168"/>
        <v xml:space="preserve">Valid </v>
      </c>
      <c r="AL805" t="str">
        <f>IF(AND(Audit_Data[[#This Row],[Recency]]&gt;=0,Audit_Data[[#This Row],[Recency]]&lt;=100),"Valid","Invalid")</f>
        <v>Valid</v>
      </c>
      <c r="AM805" t="str">
        <f t="shared" si="162"/>
        <v>Valid</v>
      </c>
      <c r="AN805" t="str">
        <f t="shared" si="163"/>
        <v>Valid</v>
      </c>
      <c r="AO805" t="str">
        <f t="shared" si="164"/>
        <v>Valid</v>
      </c>
      <c r="AP805" t="str">
        <f t="shared" si="165"/>
        <v>Valid</v>
      </c>
      <c r="AQ805" t="str">
        <f>IF(Audit_Data[[#This Row],[Z_CostContact]]=3,"Valid","Invalid")</f>
        <v>Valid</v>
      </c>
      <c r="AR805" t="str">
        <f t="shared" si="166"/>
        <v>Valid</v>
      </c>
      <c r="AS805" t="str">
        <f t="shared" si="167"/>
        <v>Valid</v>
      </c>
    </row>
    <row r="806" spans="1:45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 t="str">
        <f t="shared" si="156"/>
        <v>Ok</v>
      </c>
      <c r="AE806" t="str">
        <f>IF(AND(Audit_Data[[#This Row],[Year_Birth]]&gt;=1900,Audit_Data[[#This Row],[Year_Birth]]&lt;=2010),"OK","Invalid")</f>
        <v>OK</v>
      </c>
      <c r="AF806" t="str">
        <f t="shared" si="157"/>
        <v>Valid</v>
      </c>
      <c r="AG806" t="str">
        <f t="shared" si="158"/>
        <v>Valid</v>
      </c>
      <c r="AH806" t="str">
        <f t="shared" si="159"/>
        <v>Valid</v>
      </c>
      <c r="AI806" t="str">
        <f t="shared" si="160"/>
        <v>Valid</v>
      </c>
      <c r="AJ806" t="str">
        <f t="shared" si="161"/>
        <v>Valid</v>
      </c>
      <c r="AK806" t="str">
        <f t="shared" si="168"/>
        <v xml:space="preserve">Valid </v>
      </c>
      <c r="AL806" t="str">
        <f>IF(AND(Audit_Data[[#This Row],[Recency]]&gt;=0,Audit_Data[[#This Row],[Recency]]&lt;=100),"Valid","Invalid")</f>
        <v>Valid</v>
      </c>
      <c r="AM806" t="str">
        <f t="shared" si="162"/>
        <v>Valid</v>
      </c>
      <c r="AN806" t="str">
        <f t="shared" si="163"/>
        <v>Valid</v>
      </c>
      <c r="AO806" t="str">
        <f t="shared" si="164"/>
        <v>Valid</v>
      </c>
      <c r="AP806" t="str">
        <f t="shared" si="165"/>
        <v>Valid</v>
      </c>
      <c r="AQ806" t="str">
        <f>IF(Audit_Data[[#This Row],[Z_CostContact]]=3,"Valid","Invalid")</f>
        <v>Valid</v>
      </c>
      <c r="AR806" t="str">
        <f t="shared" si="166"/>
        <v>Valid</v>
      </c>
      <c r="AS806" t="str">
        <f t="shared" si="167"/>
        <v>Valid</v>
      </c>
    </row>
    <row r="807" spans="1:45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 t="str">
        <f t="shared" si="156"/>
        <v>Ok</v>
      </c>
      <c r="AE807" t="str">
        <f>IF(AND(Audit_Data[[#This Row],[Year_Birth]]&gt;=1900,Audit_Data[[#This Row],[Year_Birth]]&lt;=2010),"OK","Invalid")</f>
        <v>OK</v>
      </c>
      <c r="AF807" t="str">
        <f t="shared" si="157"/>
        <v>Valid</v>
      </c>
      <c r="AG807" t="str">
        <f t="shared" si="158"/>
        <v>Valid</v>
      </c>
      <c r="AH807" t="str">
        <f t="shared" si="159"/>
        <v>Valid</v>
      </c>
      <c r="AI807" t="str">
        <f t="shared" si="160"/>
        <v>Valid</v>
      </c>
      <c r="AJ807" t="str">
        <f t="shared" si="161"/>
        <v>Valid</v>
      </c>
      <c r="AK807" t="str">
        <f t="shared" si="168"/>
        <v xml:space="preserve">Valid </v>
      </c>
      <c r="AL807" t="str">
        <f>IF(AND(Audit_Data[[#This Row],[Recency]]&gt;=0,Audit_Data[[#This Row],[Recency]]&lt;=100),"Valid","Invalid")</f>
        <v>Valid</v>
      </c>
      <c r="AM807" t="str">
        <f t="shared" si="162"/>
        <v>Valid</v>
      </c>
      <c r="AN807" t="str">
        <f t="shared" si="163"/>
        <v>Valid</v>
      </c>
      <c r="AO807" t="str">
        <f t="shared" si="164"/>
        <v>Valid</v>
      </c>
      <c r="AP807" t="str">
        <f t="shared" si="165"/>
        <v>Valid</v>
      </c>
      <c r="AQ807" t="str">
        <f>IF(Audit_Data[[#This Row],[Z_CostContact]]=3,"Valid","Invalid")</f>
        <v>Valid</v>
      </c>
      <c r="AR807" t="str">
        <f t="shared" si="166"/>
        <v>Valid</v>
      </c>
      <c r="AS807" t="str">
        <f t="shared" si="167"/>
        <v>Valid</v>
      </c>
    </row>
    <row r="808" spans="1:45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 t="str">
        <f t="shared" si="156"/>
        <v>Ok</v>
      </c>
      <c r="AE808" t="str">
        <f>IF(AND(Audit_Data[[#This Row],[Year_Birth]]&gt;=1900,Audit_Data[[#This Row],[Year_Birth]]&lt;=2010),"OK","Invalid")</f>
        <v>OK</v>
      </c>
      <c r="AF808" t="str">
        <f t="shared" si="157"/>
        <v>Valid</v>
      </c>
      <c r="AG808" t="str">
        <f t="shared" si="158"/>
        <v>Valid</v>
      </c>
      <c r="AH808" t="str">
        <f t="shared" si="159"/>
        <v>Valid</v>
      </c>
      <c r="AI808" t="str">
        <f t="shared" si="160"/>
        <v>Valid</v>
      </c>
      <c r="AJ808" t="str">
        <f t="shared" si="161"/>
        <v>Valid</v>
      </c>
      <c r="AK808" t="str">
        <f t="shared" si="168"/>
        <v xml:space="preserve">Valid </v>
      </c>
      <c r="AL808" t="str">
        <f>IF(AND(Audit_Data[[#This Row],[Recency]]&gt;=0,Audit_Data[[#This Row],[Recency]]&lt;=100),"Valid","Invalid")</f>
        <v>Valid</v>
      </c>
      <c r="AM808" t="str">
        <f t="shared" si="162"/>
        <v>Valid</v>
      </c>
      <c r="AN808" t="str">
        <f t="shared" si="163"/>
        <v>Valid</v>
      </c>
      <c r="AO808" t="str">
        <f t="shared" si="164"/>
        <v>Valid</v>
      </c>
      <c r="AP808" t="str">
        <f t="shared" si="165"/>
        <v>Valid</v>
      </c>
      <c r="AQ808" t="str">
        <f>IF(Audit_Data[[#This Row],[Z_CostContact]]=3,"Valid","Invalid")</f>
        <v>Valid</v>
      </c>
      <c r="AR808" t="str">
        <f t="shared" si="166"/>
        <v>Valid</v>
      </c>
      <c r="AS808" t="str">
        <f t="shared" si="167"/>
        <v>Valid</v>
      </c>
    </row>
    <row r="809" spans="1:45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 t="str">
        <f t="shared" si="156"/>
        <v>Ok</v>
      </c>
      <c r="AE809" t="str">
        <f>IF(AND(Audit_Data[[#This Row],[Year_Birth]]&gt;=1900,Audit_Data[[#This Row],[Year_Birth]]&lt;=2010),"OK","Invalid")</f>
        <v>OK</v>
      </c>
      <c r="AF809" t="str">
        <f t="shared" si="157"/>
        <v>Valid</v>
      </c>
      <c r="AG809" t="str">
        <f t="shared" si="158"/>
        <v>Valid</v>
      </c>
      <c r="AH809" t="str">
        <f t="shared" si="159"/>
        <v>Valid</v>
      </c>
      <c r="AI809" t="str">
        <f t="shared" si="160"/>
        <v>Valid</v>
      </c>
      <c r="AJ809" t="str">
        <f t="shared" si="161"/>
        <v>Valid</v>
      </c>
      <c r="AK809" t="str">
        <f t="shared" si="168"/>
        <v xml:space="preserve">Valid </v>
      </c>
      <c r="AL809" t="str">
        <f>IF(AND(Audit_Data[[#This Row],[Recency]]&gt;=0,Audit_Data[[#This Row],[Recency]]&lt;=100),"Valid","Invalid")</f>
        <v>Valid</v>
      </c>
      <c r="AM809" t="str">
        <f t="shared" si="162"/>
        <v>Valid</v>
      </c>
      <c r="AN809" t="str">
        <f t="shared" si="163"/>
        <v>Valid</v>
      </c>
      <c r="AO809" t="str">
        <f t="shared" si="164"/>
        <v>Valid</v>
      </c>
      <c r="AP809" t="str">
        <f t="shared" si="165"/>
        <v>Valid</v>
      </c>
      <c r="AQ809" t="str">
        <f>IF(Audit_Data[[#This Row],[Z_CostContact]]=3,"Valid","Invalid")</f>
        <v>Valid</v>
      </c>
      <c r="AR809" t="str">
        <f t="shared" si="166"/>
        <v>Valid</v>
      </c>
      <c r="AS809" t="str">
        <f t="shared" si="167"/>
        <v>Valid</v>
      </c>
    </row>
    <row r="810" spans="1:45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 t="str">
        <f t="shared" si="156"/>
        <v>Ok</v>
      </c>
      <c r="AE810" t="str">
        <f>IF(AND(Audit_Data[[#This Row],[Year_Birth]]&gt;=1900,Audit_Data[[#This Row],[Year_Birth]]&lt;=2010),"OK","Invalid")</f>
        <v>OK</v>
      </c>
      <c r="AF810" t="str">
        <f t="shared" si="157"/>
        <v>Valid</v>
      </c>
      <c r="AG810" t="str">
        <f t="shared" si="158"/>
        <v>Valid</v>
      </c>
      <c r="AH810" t="str">
        <f t="shared" si="159"/>
        <v>Valid</v>
      </c>
      <c r="AI810" t="str">
        <f t="shared" si="160"/>
        <v>Valid</v>
      </c>
      <c r="AJ810" t="str">
        <f t="shared" si="161"/>
        <v>Valid</v>
      </c>
      <c r="AK810" t="str">
        <f t="shared" si="168"/>
        <v xml:space="preserve">Valid </v>
      </c>
      <c r="AL810" t="str">
        <f>IF(AND(Audit_Data[[#This Row],[Recency]]&gt;=0,Audit_Data[[#This Row],[Recency]]&lt;=100),"Valid","Invalid")</f>
        <v>Valid</v>
      </c>
      <c r="AM810" t="str">
        <f t="shared" si="162"/>
        <v>Valid</v>
      </c>
      <c r="AN810" t="str">
        <f t="shared" si="163"/>
        <v>Valid</v>
      </c>
      <c r="AO810" t="str">
        <f t="shared" si="164"/>
        <v>Valid</v>
      </c>
      <c r="AP810" t="str">
        <f t="shared" si="165"/>
        <v>Valid</v>
      </c>
      <c r="AQ810" t="str">
        <f>IF(Audit_Data[[#This Row],[Z_CostContact]]=3,"Valid","Invalid")</f>
        <v>Valid</v>
      </c>
      <c r="AR810" t="str">
        <f t="shared" si="166"/>
        <v>Valid</v>
      </c>
      <c r="AS810" t="str">
        <f t="shared" si="167"/>
        <v>Valid</v>
      </c>
    </row>
    <row r="811" spans="1:45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 t="str">
        <f t="shared" si="156"/>
        <v>Ok</v>
      </c>
      <c r="AE811" t="str">
        <f>IF(AND(Audit_Data[[#This Row],[Year_Birth]]&gt;=1900,Audit_Data[[#This Row],[Year_Birth]]&lt;=2010),"OK","Invalid")</f>
        <v>OK</v>
      </c>
      <c r="AF811" t="str">
        <f t="shared" si="157"/>
        <v>Valid</v>
      </c>
      <c r="AG811" t="str">
        <f t="shared" si="158"/>
        <v>Valid</v>
      </c>
      <c r="AH811" t="str">
        <f t="shared" si="159"/>
        <v>Valid</v>
      </c>
      <c r="AI811" t="str">
        <f t="shared" si="160"/>
        <v>Valid</v>
      </c>
      <c r="AJ811" t="str">
        <f t="shared" si="161"/>
        <v>Valid</v>
      </c>
      <c r="AK811" t="str">
        <f t="shared" si="168"/>
        <v xml:space="preserve">Valid </v>
      </c>
      <c r="AL811" t="str">
        <f>IF(AND(Audit_Data[[#This Row],[Recency]]&gt;=0,Audit_Data[[#This Row],[Recency]]&lt;=100),"Valid","Invalid")</f>
        <v>Valid</v>
      </c>
      <c r="AM811" t="str">
        <f t="shared" si="162"/>
        <v>Valid</v>
      </c>
      <c r="AN811" t="str">
        <f t="shared" si="163"/>
        <v>Valid</v>
      </c>
      <c r="AO811" t="str">
        <f t="shared" si="164"/>
        <v>Valid</v>
      </c>
      <c r="AP811" t="str">
        <f t="shared" si="165"/>
        <v>Valid</v>
      </c>
      <c r="AQ811" t="str">
        <f>IF(Audit_Data[[#This Row],[Z_CostContact]]=3,"Valid","Invalid")</f>
        <v>Valid</v>
      </c>
      <c r="AR811" t="str">
        <f t="shared" si="166"/>
        <v>Valid</v>
      </c>
      <c r="AS811" t="str">
        <f t="shared" si="167"/>
        <v>Valid</v>
      </c>
    </row>
    <row r="812" spans="1:45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 t="str">
        <f t="shared" si="156"/>
        <v>Ok</v>
      </c>
      <c r="AE812" t="str">
        <f>IF(AND(Audit_Data[[#This Row],[Year_Birth]]&gt;=1900,Audit_Data[[#This Row],[Year_Birth]]&lt;=2010),"OK","Invalid")</f>
        <v>OK</v>
      </c>
      <c r="AF812" t="str">
        <f t="shared" si="157"/>
        <v>Valid</v>
      </c>
      <c r="AG812" t="str">
        <f t="shared" si="158"/>
        <v>Valid</v>
      </c>
      <c r="AH812" t="str">
        <f t="shared" si="159"/>
        <v>Valid</v>
      </c>
      <c r="AI812" t="str">
        <f t="shared" si="160"/>
        <v>Valid</v>
      </c>
      <c r="AJ812" t="str">
        <f t="shared" si="161"/>
        <v>Valid</v>
      </c>
      <c r="AK812" t="str">
        <f t="shared" si="168"/>
        <v xml:space="preserve">Valid </v>
      </c>
      <c r="AL812" t="str">
        <f>IF(AND(Audit_Data[[#This Row],[Recency]]&gt;=0,Audit_Data[[#This Row],[Recency]]&lt;=100),"Valid","Invalid")</f>
        <v>Valid</v>
      </c>
      <c r="AM812" t="str">
        <f t="shared" si="162"/>
        <v>Valid</v>
      </c>
      <c r="AN812" t="str">
        <f t="shared" si="163"/>
        <v>Valid</v>
      </c>
      <c r="AO812" t="str">
        <f t="shared" si="164"/>
        <v>Valid</v>
      </c>
      <c r="AP812" t="str">
        <f t="shared" si="165"/>
        <v>Valid</v>
      </c>
      <c r="AQ812" t="str">
        <f>IF(Audit_Data[[#This Row],[Z_CostContact]]=3,"Valid","Invalid")</f>
        <v>Valid</v>
      </c>
      <c r="AR812" t="str">
        <f t="shared" si="166"/>
        <v>Valid</v>
      </c>
      <c r="AS812" t="str">
        <f t="shared" si="167"/>
        <v>Valid</v>
      </c>
    </row>
    <row r="813" spans="1:45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 t="str">
        <f t="shared" si="156"/>
        <v>Ok</v>
      </c>
      <c r="AE813" t="str">
        <f>IF(AND(Audit_Data[[#This Row],[Year_Birth]]&gt;=1900,Audit_Data[[#This Row],[Year_Birth]]&lt;=2010),"OK","Invalid")</f>
        <v>OK</v>
      </c>
      <c r="AF813" t="str">
        <f t="shared" si="157"/>
        <v>Valid</v>
      </c>
      <c r="AG813" t="str">
        <f t="shared" si="158"/>
        <v>Valid</v>
      </c>
      <c r="AH813" t="str">
        <f t="shared" si="159"/>
        <v>Valid</v>
      </c>
      <c r="AI813" t="str">
        <f t="shared" si="160"/>
        <v>Valid</v>
      </c>
      <c r="AJ813" t="str">
        <f t="shared" si="161"/>
        <v>Valid</v>
      </c>
      <c r="AK813" t="str">
        <f t="shared" si="168"/>
        <v xml:space="preserve">Valid </v>
      </c>
      <c r="AL813" t="str">
        <f>IF(AND(Audit_Data[[#This Row],[Recency]]&gt;=0,Audit_Data[[#This Row],[Recency]]&lt;=100),"Valid","Invalid")</f>
        <v>Valid</v>
      </c>
      <c r="AM813" t="str">
        <f t="shared" si="162"/>
        <v>Valid</v>
      </c>
      <c r="AN813" t="str">
        <f t="shared" si="163"/>
        <v>Valid</v>
      </c>
      <c r="AO813" t="str">
        <f t="shared" si="164"/>
        <v>Valid</v>
      </c>
      <c r="AP813" t="str">
        <f t="shared" si="165"/>
        <v>Valid</v>
      </c>
      <c r="AQ813" t="str">
        <f>IF(Audit_Data[[#This Row],[Z_CostContact]]=3,"Valid","Invalid")</f>
        <v>Valid</v>
      </c>
      <c r="AR813" t="str">
        <f t="shared" si="166"/>
        <v>Valid</v>
      </c>
      <c r="AS813" t="str">
        <f t="shared" si="167"/>
        <v>Valid</v>
      </c>
    </row>
    <row r="814" spans="1:45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 t="str">
        <f t="shared" si="156"/>
        <v>Ok</v>
      </c>
      <c r="AE814" t="str">
        <f>IF(AND(Audit_Data[[#This Row],[Year_Birth]]&gt;=1900,Audit_Data[[#This Row],[Year_Birth]]&lt;=2010),"OK","Invalid")</f>
        <v>OK</v>
      </c>
      <c r="AF814" t="str">
        <f t="shared" si="157"/>
        <v>Valid</v>
      </c>
      <c r="AG814" t="str">
        <f t="shared" si="158"/>
        <v>Valid</v>
      </c>
      <c r="AH814" t="str">
        <f t="shared" si="159"/>
        <v>Valid</v>
      </c>
      <c r="AI814" t="str">
        <f t="shared" si="160"/>
        <v>Valid</v>
      </c>
      <c r="AJ814" t="str">
        <f t="shared" si="161"/>
        <v>Valid</v>
      </c>
      <c r="AK814" t="str">
        <f t="shared" si="168"/>
        <v xml:space="preserve">Valid </v>
      </c>
      <c r="AL814" t="str">
        <f>IF(AND(Audit_Data[[#This Row],[Recency]]&gt;=0,Audit_Data[[#This Row],[Recency]]&lt;=100),"Valid","Invalid")</f>
        <v>Valid</v>
      </c>
      <c r="AM814" t="str">
        <f t="shared" si="162"/>
        <v>Valid</v>
      </c>
      <c r="AN814" t="str">
        <f t="shared" si="163"/>
        <v>Valid</v>
      </c>
      <c r="AO814" t="str">
        <f t="shared" si="164"/>
        <v>Valid</v>
      </c>
      <c r="AP814" t="str">
        <f t="shared" si="165"/>
        <v>Valid</v>
      </c>
      <c r="AQ814" t="str">
        <f>IF(Audit_Data[[#This Row],[Z_CostContact]]=3,"Valid","Invalid")</f>
        <v>Valid</v>
      </c>
      <c r="AR814" t="str">
        <f t="shared" si="166"/>
        <v>Valid</v>
      </c>
      <c r="AS814" t="str">
        <f t="shared" si="167"/>
        <v>Valid</v>
      </c>
    </row>
    <row r="815" spans="1:45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 t="str">
        <f t="shared" si="156"/>
        <v>Ok</v>
      </c>
      <c r="AE815" t="str">
        <f>IF(AND(Audit_Data[[#This Row],[Year_Birth]]&gt;=1900,Audit_Data[[#This Row],[Year_Birth]]&lt;=2010),"OK","Invalid")</f>
        <v>OK</v>
      </c>
      <c r="AF815" t="str">
        <f t="shared" si="157"/>
        <v>Valid</v>
      </c>
      <c r="AG815" t="str">
        <f t="shared" si="158"/>
        <v>Valid</v>
      </c>
      <c r="AH815" t="str">
        <f t="shared" si="159"/>
        <v>Valid</v>
      </c>
      <c r="AI815" t="str">
        <f t="shared" si="160"/>
        <v>Valid</v>
      </c>
      <c r="AJ815" t="str">
        <f t="shared" si="161"/>
        <v>Valid</v>
      </c>
      <c r="AK815" t="str">
        <f t="shared" si="168"/>
        <v xml:space="preserve">Valid </v>
      </c>
      <c r="AL815" t="str">
        <f>IF(AND(Audit_Data[[#This Row],[Recency]]&gt;=0,Audit_Data[[#This Row],[Recency]]&lt;=100),"Valid","Invalid")</f>
        <v>Valid</v>
      </c>
      <c r="AM815" t="str">
        <f t="shared" si="162"/>
        <v>Valid</v>
      </c>
      <c r="AN815" t="str">
        <f t="shared" si="163"/>
        <v>Valid</v>
      </c>
      <c r="AO815" t="str">
        <f t="shared" si="164"/>
        <v>Valid</v>
      </c>
      <c r="AP815" t="str">
        <f t="shared" si="165"/>
        <v>Valid</v>
      </c>
      <c r="AQ815" t="str">
        <f>IF(Audit_Data[[#This Row],[Z_CostContact]]=3,"Valid","Invalid")</f>
        <v>Valid</v>
      </c>
      <c r="AR815" t="str">
        <f t="shared" si="166"/>
        <v>Valid</v>
      </c>
      <c r="AS815" t="str">
        <f t="shared" si="167"/>
        <v>Valid</v>
      </c>
    </row>
    <row r="816" spans="1:45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 t="str">
        <f t="shared" si="156"/>
        <v>Ok</v>
      </c>
      <c r="AE816" t="str">
        <f>IF(AND(Audit_Data[[#This Row],[Year_Birth]]&gt;=1900,Audit_Data[[#This Row],[Year_Birth]]&lt;=2010),"OK","Invalid")</f>
        <v>OK</v>
      </c>
      <c r="AF816" t="str">
        <f t="shared" si="157"/>
        <v>Valid</v>
      </c>
      <c r="AG816" t="str">
        <f t="shared" si="158"/>
        <v>Valid</v>
      </c>
      <c r="AH816" t="str">
        <f t="shared" si="159"/>
        <v>Valid</v>
      </c>
      <c r="AI816" t="str">
        <f t="shared" si="160"/>
        <v>Valid</v>
      </c>
      <c r="AJ816" t="str">
        <f t="shared" si="161"/>
        <v>Valid</v>
      </c>
      <c r="AK816" t="str">
        <f t="shared" si="168"/>
        <v xml:space="preserve">Valid </v>
      </c>
      <c r="AL816" t="str">
        <f>IF(AND(Audit_Data[[#This Row],[Recency]]&gt;=0,Audit_Data[[#This Row],[Recency]]&lt;=100),"Valid","Invalid")</f>
        <v>Valid</v>
      </c>
      <c r="AM816" t="str">
        <f t="shared" si="162"/>
        <v>Valid</v>
      </c>
      <c r="AN816" t="str">
        <f t="shared" si="163"/>
        <v>Valid</v>
      </c>
      <c r="AO816" t="str">
        <f t="shared" si="164"/>
        <v>Valid</v>
      </c>
      <c r="AP816" t="str">
        <f t="shared" si="165"/>
        <v>Valid</v>
      </c>
      <c r="AQ816" t="str">
        <f>IF(Audit_Data[[#This Row],[Z_CostContact]]=3,"Valid","Invalid")</f>
        <v>Valid</v>
      </c>
      <c r="AR816" t="str">
        <f t="shared" si="166"/>
        <v>Valid</v>
      </c>
      <c r="AS816" t="str">
        <f t="shared" si="167"/>
        <v>Valid</v>
      </c>
    </row>
    <row r="817" spans="1:45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 t="str">
        <f t="shared" si="156"/>
        <v>Ok</v>
      </c>
      <c r="AE817" t="str">
        <f>IF(AND(Audit_Data[[#This Row],[Year_Birth]]&gt;=1900,Audit_Data[[#This Row],[Year_Birth]]&lt;=2010),"OK","Invalid")</f>
        <v>OK</v>
      </c>
      <c r="AF817" t="str">
        <f t="shared" si="157"/>
        <v>Valid</v>
      </c>
      <c r="AG817" t="str">
        <f t="shared" si="158"/>
        <v>Valid</v>
      </c>
      <c r="AH817" t="str">
        <f t="shared" si="159"/>
        <v>Valid</v>
      </c>
      <c r="AI817" t="str">
        <f t="shared" si="160"/>
        <v>Valid</v>
      </c>
      <c r="AJ817" t="str">
        <f t="shared" si="161"/>
        <v>Valid</v>
      </c>
      <c r="AK817" t="str">
        <f t="shared" si="168"/>
        <v xml:space="preserve">Valid </v>
      </c>
      <c r="AL817" t="str">
        <f>IF(AND(Audit_Data[[#This Row],[Recency]]&gt;=0,Audit_Data[[#This Row],[Recency]]&lt;=100),"Valid","Invalid")</f>
        <v>Valid</v>
      </c>
      <c r="AM817" t="str">
        <f t="shared" si="162"/>
        <v>Valid</v>
      </c>
      <c r="AN817" t="str">
        <f t="shared" si="163"/>
        <v>Valid</v>
      </c>
      <c r="AO817" t="str">
        <f t="shared" si="164"/>
        <v>Valid</v>
      </c>
      <c r="AP817" t="str">
        <f t="shared" si="165"/>
        <v>Valid</v>
      </c>
      <c r="AQ817" t="str">
        <f>IF(Audit_Data[[#This Row],[Z_CostContact]]=3,"Valid","Invalid")</f>
        <v>Valid</v>
      </c>
      <c r="AR817" t="str">
        <f t="shared" si="166"/>
        <v>Valid</v>
      </c>
      <c r="AS817" t="str">
        <f t="shared" si="167"/>
        <v>Valid</v>
      </c>
    </row>
    <row r="818" spans="1:45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 t="str">
        <f t="shared" si="156"/>
        <v>Ok</v>
      </c>
      <c r="AE818" t="str">
        <f>IF(AND(Audit_Data[[#This Row],[Year_Birth]]&gt;=1900,Audit_Data[[#This Row],[Year_Birth]]&lt;=2010),"OK","Invalid")</f>
        <v>OK</v>
      </c>
      <c r="AF818" t="str">
        <f t="shared" si="157"/>
        <v>Valid</v>
      </c>
      <c r="AG818" t="str">
        <f t="shared" si="158"/>
        <v>Valid</v>
      </c>
      <c r="AH818" t="str">
        <f t="shared" si="159"/>
        <v>Valid</v>
      </c>
      <c r="AI818" t="str">
        <f t="shared" si="160"/>
        <v>Valid</v>
      </c>
      <c r="AJ818" t="str">
        <f t="shared" si="161"/>
        <v>Valid</v>
      </c>
      <c r="AK818" t="str">
        <f t="shared" si="168"/>
        <v xml:space="preserve">Valid </v>
      </c>
      <c r="AL818" t="str">
        <f>IF(AND(Audit_Data[[#This Row],[Recency]]&gt;=0,Audit_Data[[#This Row],[Recency]]&lt;=100),"Valid","Invalid")</f>
        <v>Valid</v>
      </c>
      <c r="AM818" t="str">
        <f t="shared" si="162"/>
        <v>Valid</v>
      </c>
      <c r="AN818" t="str">
        <f t="shared" si="163"/>
        <v>Valid</v>
      </c>
      <c r="AO818" t="str">
        <f t="shared" si="164"/>
        <v>Valid</v>
      </c>
      <c r="AP818" t="str">
        <f t="shared" si="165"/>
        <v>Valid</v>
      </c>
      <c r="AQ818" t="str">
        <f>IF(Audit_Data[[#This Row],[Z_CostContact]]=3,"Valid","Invalid")</f>
        <v>Valid</v>
      </c>
      <c r="AR818" t="str">
        <f t="shared" si="166"/>
        <v>Valid</v>
      </c>
      <c r="AS818" t="str">
        <f t="shared" si="167"/>
        <v>Valid</v>
      </c>
    </row>
    <row r="819" spans="1:45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 t="str">
        <f t="shared" si="156"/>
        <v>Ok</v>
      </c>
      <c r="AE819" t="str">
        <f>IF(AND(Audit_Data[[#This Row],[Year_Birth]]&gt;=1900,Audit_Data[[#This Row],[Year_Birth]]&lt;=2010),"OK","Invalid")</f>
        <v>OK</v>
      </c>
      <c r="AF819" t="str">
        <f t="shared" si="157"/>
        <v>Valid</v>
      </c>
      <c r="AG819" t="str">
        <f t="shared" si="158"/>
        <v>Valid</v>
      </c>
      <c r="AH819" t="str">
        <f t="shared" si="159"/>
        <v>Valid</v>
      </c>
      <c r="AI819" t="str">
        <f t="shared" si="160"/>
        <v>Valid</v>
      </c>
      <c r="AJ819" t="str">
        <f t="shared" si="161"/>
        <v>Valid</v>
      </c>
      <c r="AK819" t="str">
        <f t="shared" si="168"/>
        <v xml:space="preserve">Valid </v>
      </c>
      <c r="AL819" t="str">
        <f>IF(AND(Audit_Data[[#This Row],[Recency]]&gt;=0,Audit_Data[[#This Row],[Recency]]&lt;=100),"Valid","Invalid")</f>
        <v>Valid</v>
      </c>
      <c r="AM819" t="str">
        <f t="shared" si="162"/>
        <v>Valid</v>
      </c>
      <c r="AN819" t="str">
        <f t="shared" si="163"/>
        <v>Valid</v>
      </c>
      <c r="AO819" t="str">
        <f t="shared" si="164"/>
        <v>Valid</v>
      </c>
      <c r="AP819" t="str">
        <f t="shared" si="165"/>
        <v>Valid</v>
      </c>
      <c r="AQ819" t="str">
        <f>IF(Audit_Data[[#This Row],[Z_CostContact]]=3,"Valid","Invalid")</f>
        <v>Valid</v>
      </c>
      <c r="AR819" t="str">
        <f t="shared" si="166"/>
        <v>Valid</v>
      </c>
      <c r="AS819" t="str">
        <f t="shared" si="167"/>
        <v>Valid</v>
      </c>
    </row>
    <row r="820" spans="1:45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 t="str">
        <f t="shared" si="156"/>
        <v>Ok</v>
      </c>
      <c r="AE820" t="str">
        <f>IF(AND(Audit_Data[[#This Row],[Year_Birth]]&gt;=1900,Audit_Data[[#This Row],[Year_Birth]]&lt;=2010),"OK","Invalid")</f>
        <v>OK</v>
      </c>
      <c r="AF820" t="str">
        <f t="shared" si="157"/>
        <v>Valid</v>
      </c>
      <c r="AG820" t="str">
        <f t="shared" si="158"/>
        <v>Valid</v>
      </c>
      <c r="AH820" t="str">
        <f t="shared" si="159"/>
        <v>Valid</v>
      </c>
      <c r="AI820" t="str">
        <f t="shared" si="160"/>
        <v>Valid</v>
      </c>
      <c r="AJ820" t="str">
        <f t="shared" si="161"/>
        <v>Valid</v>
      </c>
      <c r="AK820" t="str">
        <f t="shared" si="168"/>
        <v xml:space="preserve">Valid </v>
      </c>
      <c r="AL820" t="str">
        <f>IF(AND(Audit_Data[[#This Row],[Recency]]&gt;=0,Audit_Data[[#This Row],[Recency]]&lt;=100),"Valid","Invalid")</f>
        <v>Valid</v>
      </c>
      <c r="AM820" t="str">
        <f t="shared" si="162"/>
        <v>Valid</v>
      </c>
      <c r="AN820" t="str">
        <f t="shared" si="163"/>
        <v>Valid</v>
      </c>
      <c r="AO820" t="str">
        <f t="shared" si="164"/>
        <v>Valid</v>
      </c>
      <c r="AP820" t="str">
        <f t="shared" si="165"/>
        <v>Valid</v>
      </c>
      <c r="AQ820" t="str">
        <f>IF(Audit_Data[[#This Row],[Z_CostContact]]=3,"Valid","Invalid")</f>
        <v>Valid</v>
      </c>
      <c r="AR820" t="str">
        <f t="shared" si="166"/>
        <v>Valid</v>
      </c>
      <c r="AS820" t="str">
        <f t="shared" si="167"/>
        <v>Valid</v>
      </c>
    </row>
    <row r="821" spans="1:45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 t="str">
        <f t="shared" si="156"/>
        <v>Ok</v>
      </c>
      <c r="AE821" t="str">
        <f>IF(AND(Audit_Data[[#This Row],[Year_Birth]]&gt;=1900,Audit_Data[[#This Row],[Year_Birth]]&lt;=2010),"OK","Invalid")</f>
        <v>OK</v>
      </c>
      <c r="AF821" t="str">
        <f t="shared" si="157"/>
        <v>Valid</v>
      </c>
      <c r="AG821" t="str">
        <f t="shared" si="158"/>
        <v>Valid</v>
      </c>
      <c r="AH821" t="str">
        <f t="shared" si="159"/>
        <v>Valid</v>
      </c>
      <c r="AI821" t="str">
        <f t="shared" si="160"/>
        <v>Valid</v>
      </c>
      <c r="AJ821" t="str">
        <f t="shared" si="161"/>
        <v>Valid</v>
      </c>
      <c r="AK821" t="str">
        <f t="shared" si="168"/>
        <v xml:space="preserve">Valid </v>
      </c>
      <c r="AL821" t="str">
        <f>IF(AND(Audit_Data[[#This Row],[Recency]]&gt;=0,Audit_Data[[#This Row],[Recency]]&lt;=100),"Valid","Invalid")</f>
        <v>Valid</v>
      </c>
      <c r="AM821" t="str">
        <f t="shared" si="162"/>
        <v>Valid</v>
      </c>
      <c r="AN821" t="str">
        <f t="shared" si="163"/>
        <v>Valid</v>
      </c>
      <c r="AO821" t="str">
        <f t="shared" si="164"/>
        <v>Valid</v>
      </c>
      <c r="AP821" t="str">
        <f t="shared" si="165"/>
        <v>Valid</v>
      </c>
      <c r="AQ821" t="str">
        <f>IF(Audit_Data[[#This Row],[Z_CostContact]]=3,"Valid","Invalid")</f>
        <v>Valid</v>
      </c>
      <c r="AR821" t="str">
        <f t="shared" si="166"/>
        <v>Valid</v>
      </c>
      <c r="AS821" t="str">
        <f t="shared" si="167"/>
        <v>Valid</v>
      </c>
    </row>
    <row r="822" spans="1:45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 t="str">
        <f t="shared" si="156"/>
        <v>Ok</v>
      </c>
      <c r="AE822" t="str">
        <f>IF(AND(Audit_Data[[#This Row],[Year_Birth]]&gt;=1900,Audit_Data[[#This Row],[Year_Birth]]&lt;=2010),"OK","Invalid")</f>
        <v>OK</v>
      </c>
      <c r="AF822" t="str">
        <f t="shared" si="157"/>
        <v>Valid</v>
      </c>
      <c r="AG822" t="str">
        <f t="shared" si="158"/>
        <v>Valid</v>
      </c>
      <c r="AH822" t="str">
        <f t="shared" si="159"/>
        <v>Valid</v>
      </c>
      <c r="AI822" t="str">
        <f t="shared" si="160"/>
        <v>Valid</v>
      </c>
      <c r="AJ822" t="str">
        <f t="shared" si="161"/>
        <v>Valid</v>
      </c>
      <c r="AK822" t="str">
        <f t="shared" si="168"/>
        <v xml:space="preserve">Valid </v>
      </c>
      <c r="AL822" t="str">
        <f>IF(AND(Audit_Data[[#This Row],[Recency]]&gt;=0,Audit_Data[[#This Row],[Recency]]&lt;=100),"Valid","Invalid")</f>
        <v>Valid</v>
      </c>
      <c r="AM822" t="str">
        <f t="shared" si="162"/>
        <v>Valid</v>
      </c>
      <c r="AN822" t="str">
        <f t="shared" si="163"/>
        <v>Valid</v>
      </c>
      <c r="AO822" t="str">
        <f t="shared" si="164"/>
        <v>Valid</v>
      </c>
      <c r="AP822" t="str">
        <f t="shared" si="165"/>
        <v>Valid</v>
      </c>
      <c r="AQ822" t="str">
        <f>IF(Audit_Data[[#This Row],[Z_CostContact]]=3,"Valid","Invalid")</f>
        <v>Valid</v>
      </c>
      <c r="AR822" t="str">
        <f t="shared" si="166"/>
        <v>Valid</v>
      </c>
      <c r="AS822" t="str">
        <f t="shared" si="167"/>
        <v>Valid</v>
      </c>
    </row>
    <row r="823" spans="1:45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 t="str">
        <f t="shared" si="156"/>
        <v>Ok</v>
      </c>
      <c r="AE823" t="str">
        <f>IF(AND(Audit_Data[[#This Row],[Year_Birth]]&gt;=1900,Audit_Data[[#This Row],[Year_Birth]]&lt;=2010),"OK","Invalid")</f>
        <v>OK</v>
      </c>
      <c r="AF823" t="str">
        <f t="shared" si="157"/>
        <v>Valid</v>
      </c>
      <c r="AG823" t="str">
        <f t="shared" si="158"/>
        <v>Valid</v>
      </c>
      <c r="AH823" t="str">
        <f t="shared" si="159"/>
        <v>Valid</v>
      </c>
      <c r="AI823" t="str">
        <f t="shared" si="160"/>
        <v>Valid</v>
      </c>
      <c r="AJ823" t="str">
        <f t="shared" si="161"/>
        <v>Valid</v>
      </c>
      <c r="AK823" t="str">
        <f t="shared" si="168"/>
        <v xml:space="preserve">Valid </v>
      </c>
      <c r="AL823" t="str">
        <f>IF(AND(Audit_Data[[#This Row],[Recency]]&gt;=0,Audit_Data[[#This Row],[Recency]]&lt;=100),"Valid","Invalid")</f>
        <v>Valid</v>
      </c>
      <c r="AM823" t="str">
        <f t="shared" si="162"/>
        <v>Valid</v>
      </c>
      <c r="AN823" t="str">
        <f t="shared" si="163"/>
        <v>Valid</v>
      </c>
      <c r="AO823" t="str">
        <f t="shared" si="164"/>
        <v>Valid</v>
      </c>
      <c r="AP823" t="str">
        <f t="shared" si="165"/>
        <v>Valid</v>
      </c>
      <c r="AQ823" t="str">
        <f>IF(Audit_Data[[#This Row],[Z_CostContact]]=3,"Valid","Invalid")</f>
        <v>Valid</v>
      </c>
      <c r="AR823" t="str">
        <f t="shared" si="166"/>
        <v>Valid</v>
      </c>
      <c r="AS823" t="str">
        <f t="shared" si="167"/>
        <v>Valid</v>
      </c>
    </row>
    <row r="824" spans="1:45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 t="str">
        <f t="shared" si="156"/>
        <v>Ok</v>
      </c>
      <c r="AE824" t="str">
        <f>IF(AND(Audit_Data[[#This Row],[Year_Birth]]&gt;=1900,Audit_Data[[#This Row],[Year_Birth]]&lt;=2010),"OK","Invalid")</f>
        <v>OK</v>
      </c>
      <c r="AF824" t="str">
        <f t="shared" si="157"/>
        <v>Valid</v>
      </c>
      <c r="AG824" t="str">
        <f t="shared" si="158"/>
        <v>Valid</v>
      </c>
      <c r="AH824" t="str">
        <f t="shared" si="159"/>
        <v>Valid</v>
      </c>
      <c r="AI824" t="str">
        <f t="shared" si="160"/>
        <v>Valid</v>
      </c>
      <c r="AJ824" t="str">
        <f t="shared" si="161"/>
        <v>Valid</v>
      </c>
      <c r="AK824" t="str">
        <f t="shared" si="168"/>
        <v xml:space="preserve">Valid </v>
      </c>
      <c r="AL824" t="str">
        <f>IF(AND(Audit_Data[[#This Row],[Recency]]&gt;=0,Audit_Data[[#This Row],[Recency]]&lt;=100),"Valid","Invalid")</f>
        <v>Valid</v>
      </c>
      <c r="AM824" t="str">
        <f t="shared" si="162"/>
        <v>Valid</v>
      </c>
      <c r="AN824" t="str">
        <f t="shared" si="163"/>
        <v>Valid</v>
      </c>
      <c r="AO824" t="str">
        <f t="shared" si="164"/>
        <v>Valid</v>
      </c>
      <c r="AP824" t="str">
        <f t="shared" si="165"/>
        <v>Valid</v>
      </c>
      <c r="AQ824" t="str">
        <f>IF(Audit_Data[[#This Row],[Z_CostContact]]=3,"Valid","Invalid")</f>
        <v>Valid</v>
      </c>
      <c r="AR824" t="str">
        <f t="shared" si="166"/>
        <v>Valid</v>
      </c>
      <c r="AS824" t="str">
        <f t="shared" si="167"/>
        <v>Valid</v>
      </c>
    </row>
    <row r="825" spans="1:45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 t="str">
        <f t="shared" si="156"/>
        <v>Ok</v>
      </c>
      <c r="AE825" t="str">
        <f>IF(AND(Audit_Data[[#This Row],[Year_Birth]]&gt;=1900,Audit_Data[[#This Row],[Year_Birth]]&lt;=2010),"OK","Invalid")</f>
        <v>OK</v>
      </c>
      <c r="AF825" t="str">
        <f t="shared" si="157"/>
        <v>Valid</v>
      </c>
      <c r="AG825" t="str">
        <f t="shared" si="158"/>
        <v>Valid</v>
      </c>
      <c r="AH825" t="str">
        <f t="shared" si="159"/>
        <v>Valid</v>
      </c>
      <c r="AI825" t="str">
        <f t="shared" si="160"/>
        <v>Valid</v>
      </c>
      <c r="AJ825" t="str">
        <f t="shared" si="161"/>
        <v>Valid</v>
      </c>
      <c r="AK825" t="str">
        <f t="shared" si="168"/>
        <v xml:space="preserve">Valid </v>
      </c>
      <c r="AL825" t="str">
        <f>IF(AND(Audit_Data[[#This Row],[Recency]]&gt;=0,Audit_Data[[#This Row],[Recency]]&lt;=100),"Valid","Invalid")</f>
        <v>Valid</v>
      </c>
      <c r="AM825" t="str">
        <f t="shared" si="162"/>
        <v>Valid</v>
      </c>
      <c r="AN825" t="str">
        <f t="shared" si="163"/>
        <v>Valid</v>
      </c>
      <c r="AO825" t="str">
        <f t="shared" si="164"/>
        <v>Valid</v>
      </c>
      <c r="AP825" t="str">
        <f t="shared" si="165"/>
        <v>Valid</v>
      </c>
      <c r="AQ825" t="str">
        <f>IF(Audit_Data[[#This Row],[Z_CostContact]]=3,"Valid","Invalid")</f>
        <v>Valid</v>
      </c>
      <c r="AR825" t="str">
        <f t="shared" si="166"/>
        <v>Valid</v>
      </c>
      <c r="AS825" t="str">
        <f t="shared" si="167"/>
        <v>Valid</v>
      </c>
    </row>
    <row r="826" spans="1:45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 t="str">
        <f t="shared" si="156"/>
        <v>Ok</v>
      </c>
      <c r="AE826" t="str">
        <f>IF(AND(Audit_Data[[#This Row],[Year_Birth]]&gt;=1900,Audit_Data[[#This Row],[Year_Birth]]&lt;=2010),"OK","Invalid")</f>
        <v>OK</v>
      </c>
      <c r="AF826" t="str">
        <f t="shared" si="157"/>
        <v>Valid</v>
      </c>
      <c r="AG826" t="str">
        <f t="shared" si="158"/>
        <v>Valid</v>
      </c>
      <c r="AH826" t="str">
        <f t="shared" si="159"/>
        <v>Valid</v>
      </c>
      <c r="AI826" t="str">
        <f t="shared" si="160"/>
        <v>Valid</v>
      </c>
      <c r="AJ826" t="str">
        <f t="shared" si="161"/>
        <v>Valid</v>
      </c>
      <c r="AK826" t="str">
        <f t="shared" si="168"/>
        <v xml:space="preserve">Valid </v>
      </c>
      <c r="AL826" t="str">
        <f>IF(AND(Audit_Data[[#This Row],[Recency]]&gt;=0,Audit_Data[[#This Row],[Recency]]&lt;=100),"Valid","Invalid")</f>
        <v>Valid</v>
      </c>
      <c r="AM826" t="str">
        <f t="shared" si="162"/>
        <v>Valid</v>
      </c>
      <c r="AN826" t="str">
        <f t="shared" si="163"/>
        <v>Valid</v>
      </c>
      <c r="AO826" t="str">
        <f t="shared" si="164"/>
        <v>Valid</v>
      </c>
      <c r="AP826" t="str">
        <f t="shared" si="165"/>
        <v>Valid</v>
      </c>
      <c r="AQ826" t="str">
        <f>IF(Audit_Data[[#This Row],[Z_CostContact]]=3,"Valid","Invalid")</f>
        <v>Valid</v>
      </c>
      <c r="AR826" t="str">
        <f t="shared" si="166"/>
        <v>Valid</v>
      </c>
      <c r="AS826" t="str">
        <f t="shared" si="167"/>
        <v>Valid</v>
      </c>
    </row>
    <row r="827" spans="1:45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 t="str">
        <f t="shared" si="156"/>
        <v>Ok</v>
      </c>
      <c r="AE827" t="str">
        <f>IF(AND(Audit_Data[[#This Row],[Year_Birth]]&gt;=1900,Audit_Data[[#This Row],[Year_Birth]]&lt;=2010),"OK","Invalid")</f>
        <v>OK</v>
      </c>
      <c r="AF827" t="str">
        <f t="shared" si="157"/>
        <v>Valid</v>
      </c>
      <c r="AG827" t="str">
        <f t="shared" si="158"/>
        <v>Valid</v>
      </c>
      <c r="AH827" t="str">
        <f t="shared" si="159"/>
        <v>Valid</v>
      </c>
      <c r="AI827" t="str">
        <f t="shared" si="160"/>
        <v>Valid</v>
      </c>
      <c r="AJ827" t="str">
        <f t="shared" si="161"/>
        <v>Valid</v>
      </c>
      <c r="AK827" t="str">
        <f t="shared" si="168"/>
        <v xml:space="preserve">Valid </v>
      </c>
      <c r="AL827" t="str">
        <f>IF(AND(Audit_Data[[#This Row],[Recency]]&gt;=0,Audit_Data[[#This Row],[Recency]]&lt;=100),"Valid","Invalid")</f>
        <v>Valid</v>
      </c>
      <c r="AM827" t="str">
        <f t="shared" si="162"/>
        <v>Valid</v>
      </c>
      <c r="AN827" t="str">
        <f t="shared" si="163"/>
        <v>Valid</v>
      </c>
      <c r="AO827" t="str">
        <f t="shared" si="164"/>
        <v>Valid</v>
      </c>
      <c r="AP827" t="str">
        <f t="shared" si="165"/>
        <v>Valid</v>
      </c>
      <c r="AQ827" t="str">
        <f>IF(Audit_Data[[#This Row],[Z_CostContact]]=3,"Valid","Invalid")</f>
        <v>Valid</v>
      </c>
      <c r="AR827" t="str">
        <f t="shared" si="166"/>
        <v>Valid</v>
      </c>
      <c r="AS827" t="str">
        <f t="shared" si="167"/>
        <v>Valid</v>
      </c>
    </row>
    <row r="828" spans="1:45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 t="str">
        <f t="shared" si="156"/>
        <v>Ok</v>
      </c>
      <c r="AE828" t="str">
        <f>IF(AND(Audit_Data[[#This Row],[Year_Birth]]&gt;=1900,Audit_Data[[#This Row],[Year_Birth]]&lt;=2010),"OK","Invalid")</f>
        <v>OK</v>
      </c>
      <c r="AF828" t="str">
        <f t="shared" si="157"/>
        <v>Valid</v>
      </c>
      <c r="AG828" t="str">
        <f t="shared" si="158"/>
        <v>Valid</v>
      </c>
      <c r="AH828" t="str">
        <f t="shared" si="159"/>
        <v>Valid</v>
      </c>
      <c r="AI828" t="str">
        <f t="shared" si="160"/>
        <v>Valid</v>
      </c>
      <c r="AJ828" t="str">
        <f t="shared" si="161"/>
        <v>Valid</v>
      </c>
      <c r="AK828" t="str">
        <f t="shared" si="168"/>
        <v xml:space="preserve">Valid </v>
      </c>
      <c r="AL828" t="str">
        <f>IF(AND(Audit_Data[[#This Row],[Recency]]&gt;=0,Audit_Data[[#This Row],[Recency]]&lt;=100),"Valid","Invalid")</f>
        <v>Valid</v>
      </c>
      <c r="AM828" t="str">
        <f t="shared" si="162"/>
        <v>Valid</v>
      </c>
      <c r="AN828" t="str">
        <f t="shared" si="163"/>
        <v>Valid</v>
      </c>
      <c r="AO828" t="str">
        <f t="shared" si="164"/>
        <v>Valid</v>
      </c>
      <c r="AP828" t="str">
        <f t="shared" si="165"/>
        <v>Valid</v>
      </c>
      <c r="AQ828" t="str">
        <f>IF(Audit_Data[[#This Row],[Z_CostContact]]=3,"Valid","Invalid")</f>
        <v>Valid</v>
      </c>
      <c r="AR828" t="str">
        <f t="shared" si="166"/>
        <v>Valid</v>
      </c>
      <c r="AS828" t="str">
        <f t="shared" si="167"/>
        <v>Valid</v>
      </c>
    </row>
    <row r="829" spans="1:45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 t="str">
        <f t="shared" si="156"/>
        <v>Ok</v>
      </c>
      <c r="AE829" t="str">
        <f>IF(AND(Audit_Data[[#This Row],[Year_Birth]]&gt;=1900,Audit_Data[[#This Row],[Year_Birth]]&lt;=2010),"OK","Invalid")</f>
        <v>OK</v>
      </c>
      <c r="AF829" t="str">
        <f t="shared" si="157"/>
        <v>Valid</v>
      </c>
      <c r="AG829" t="str">
        <f t="shared" si="158"/>
        <v>Valid</v>
      </c>
      <c r="AH829" t="str">
        <f t="shared" si="159"/>
        <v>Valid</v>
      </c>
      <c r="AI829" t="str">
        <f t="shared" si="160"/>
        <v>Valid</v>
      </c>
      <c r="AJ829" t="str">
        <f t="shared" si="161"/>
        <v>Valid</v>
      </c>
      <c r="AK829" t="str">
        <f t="shared" si="168"/>
        <v xml:space="preserve">Valid </v>
      </c>
      <c r="AL829" t="str">
        <f>IF(AND(Audit_Data[[#This Row],[Recency]]&gt;=0,Audit_Data[[#This Row],[Recency]]&lt;=100),"Valid","Invalid")</f>
        <v>Valid</v>
      </c>
      <c r="AM829" t="str">
        <f t="shared" si="162"/>
        <v>Valid</v>
      </c>
      <c r="AN829" t="str">
        <f t="shared" si="163"/>
        <v>Valid</v>
      </c>
      <c r="AO829" t="str">
        <f t="shared" si="164"/>
        <v>Valid</v>
      </c>
      <c r="AP829" t="str">
        <f t="shared" si="165"/>
        <v>Valid</v>
      </c>
      <c r="AQ829" t="str">
        <f>IF(Audit_Data[[#This Row],[Z_CostContact]]=3,"Valid","Invalid")</f>
        <v>Valid</v>
      </c>
      <c r="AR829" t="str">
        <f t="shared" si="166"/>
        <v>Valid</v>
      </c>
      <c r="AS829" t="str">
        <f t="shared" si="167"/>
        <v>Valid</v>
      </c>
    </row>
    <row r="830" spans="1:45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 t="str">
        <f t="shared" si="156"/>
        <v>Ok</v>
      </c>
      <c r="AE830" t="str">
        <f>IF(AND(Audit_Data[[#This Row],[Year_Birth]]&gt;=1900,Audit_Data[[#This Row],[Year_Birth]]&lt;=2010),"OK","Invalid")</f>
        <v>OK</v>
      </c>
      <c r="AF830" t="str">
        <f t="shared" si="157"/>
        <v>Valid</v>
      </c>
      <c r="AG830" t="str">
        <f t="shared" si="158"/>
        <v>Valid</v>
      </c>
      <c r="AH830" t="str">
        <f t="shared" si="159"/>
        <v>Valid</v>
      </c>
      <c r="AI830" t="str">
        <f t="shared" si="160"/>
        <v>Valid</v>
      </c>
      <c r="AJ830" t="str">
        <f t="shared" si="161"/>
        <v>Valid</v>
      </c>
      <c r="AK830" t="str">
        <f t="shared" si="168"/>
        <v xml:space="preserve">Valid </v>
      </c>
      <c r="AL830" t="str">
        <f>IF(AND(Audit_Data[[#This Row],[Recency]]&gt;=0,Audit_Data[[#This Row],[Recency]]&lt;=100),"Valid","Invalid")</f>
        <v>Valid</v>
      </c>
      <c r="AM830" t="str">
        <f t="shared" si="162"/>
        <v>Valid</v>
      </c>
      <c r="AN830" t="str">
        <f t="shared" si="163"/>
        <v>Valid</v>
      </c>
      <c r="AO830" t="str">
        <f t="shared" si="164"/>
        <v>Valid</v>
      </c>
      <c r="AP830" t="str">
        <f t="shared" si="165"/>
        <v>Valid</v>
      </c>
      <c r="AQ830" t="str">
        <f>IF(Audit_Data[[#This Row],[Z_CostContact]]=3,"Valid","Invalid")</f>
        <v>Valid</v>
      </c>
      <c r="AR830" t="str">
        <f t="shared" si="166"/>
        <v>Valid</v>
      </c>
      <c r="AS830" t="str">
        <f t="shared" si="167"/>
        <v>Valid</v>
      </c>
    </row>
    <row r="831" spans="1:45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 t="str">
        <f t="shared" si="156"/>
        <v>Ok</v>
      </c>
      <c r="AE831" t="str">
        <f>IF(AND(Audit_Data[[#This Row],[Year_Birth]]&gt;=1900,Audit_Data[[#This Row],[Year_Birth]]&lt;=2010),"OK","Invalid")</f>
        <v>OK</v>
      </c>
      <c r="AF831" t="str">
        <f t="shared" si="157"/>
        <v>Valid</v>
      </c>
      <c r="AG831" t="str">
        <f t="shared" si="158"/>
        <v>Valid</v>
      </c>
      <c r="AH831" t="str">
        <f t="shared" si="159"/>
        <v>Valid</v>
      </c>
      <c r="AI831" t="str">
        <f t="shared" si="160"/>
        <v>Valid</v>
      </c>
      <c r="AJ831" t="str">
        <f t="shared" si="161"/>
        <v>Valid</v>
      </c>
      <c r="AK831" t="str">
        <f t="shared" si="168"/>
        <v xml:space="preserve">Valid </v>
      </c>
      <c r="AL831" t="str">
        <f>IF(AND(Audit_Data[[#This Row],[Recency]]&gt;=0,Audit_Data[[#This Row],[Recency]]&lt;=100),"Valid","Invalid")</f>
        <v>Valid</v>
      </c>
      <c r="AM831" t="str">
        <f t="shared" si="162"/>
        <v>Valid</v>
      </c>
      <c r="AN831" t="str">
        <f t="shared" si="163"/>
        <v>Valid</v>
      </c>
      <c r="AO831" t="str">
        <f t="shared" si="164"/>
        <v>Valid</v>
      </c>
      <c r="AP831" t="str">
        <f t="shared" si="165"/>
        <v>Valid</v>
      </c>
      <c r="AQ831" t="str">
        <f>IF(Audit_Data[[#This Row],[Z_CostContact]]=3,"Valid","Invalid")</f>
        <v>Valid</v>
      </c>
      <c r="AR831" t="str">
        <f t="shared" si="166"/>
        <v>Valid</v>
      </c>
      <c r="AS831" t="str">
        <f t="shared" si="167"/>
        <v>Valid</v>
      </c>
    </row>
    <row r="832" spans="1:45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 t="str">
        <f t="shared" si="156"/>
        <v>Ok</v>
      </c>
      <c r="AE832" t="str">
        <f>IF(AND(Audit_Data[[#This Row],[Year_Birth]]&gt;=1900,Audit_Data[[#This Row],[Year_Birth]]&lt;=2010),"OK","Invalid")</f>
        <v>OK</v>
      </c>
      <c r="AF832" t="str">
        <f t="shared" si="157"/>
        <v>Valid</v>
      </c>
      <c r="AG832" t="str">
        <f t="shared" si="158"/>
        <v>Valid</v>
      </c>
      <c r="AH832" t="str">
        <f t="shared" si="159"/>
        <v>Valid</v>
      </c>
      <c r="AI832" t="str">
        <f t="shared" si="160"/>
        <v>Valid</v>
      </c>
      <c r="AJ832" t="str">
        <f t="shared" si="161"/>
        <v>Valid</v>
      </c>
      <c r="AK832" t="str">
        <f t="shared" si="168"/>
        <v xml:space="preserve">Valid </v>
      </c>
      <c r="AL832" t="str">
        <f>IF(AND(Audit_Data[[#This Row],[Recency]]&gt;=0,Audit_Data[[#This Row],[Recency]]&lt;=100),"Valid","Invalid")</f>
        <v>Valid</v>
      </c>
      <c r="AM832" t="str">
        <f t="shared" si="162"/>
        <v>Valid</v>
      </c>
      <c r="AN832" t="str">
        <f t="shared" si="163"/>
        <v>Valid</v>
      </c>
      <c r="AO832" t="str">
        <f t="shared" si="164"/>
        <v>Valid</v>
      </c>
      <c r="AP832" t="str">
        <f t="shared" si="165"/>
        <v>Valid</v>
      </c>
      <c r="AQ832" t="str">
        <f>IF(Audit_Data[[#This Row],[Z_CostContact]]=3,"Valid","Invalid")</f>
        <v>Valid</v>
      </c>
      <c r="AR832" t="str">
        <f t="shared" si="166"/>
        <v>Valid</v>
      </c>
      <c r="AS832" t="str">
        <f t="shared" si="167"/>
        <v>Valid</v>
      </c>
    </row>
    <row r="833" spans="1:45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 t="str">
        <f t="shared" si="156"/>
        <v>Ok</v>
      </c>
      <c r="AE833" t="str">
        <f>IF(AND(Audit_Data[[#This Row],[Year_Birth]]&gt;=1900,Audit_Data[[#This Row],[Year_Birth]]&lt;=2010),"OK","Invalid")</f>
        <v>OK</v>
      </c>
      <c r="AF833" t="str">
        <f t="shared" si="157"/>
        <v>Valid</v>
      </c>
      <c r="AG833" t="str">
        <f t="shared" si="158"/>
        <v>Valid</v>
      </c>
      <c r="AH833" t="str">
        <f t="shared" si="159"/>
        <v>Valid</v>
      </c>
      <c r="AI833" t="str">
        <f t="shared" si="160"/>
        <v>Valid</v>
      </c>
      <c r="AJ833" t="str">
        <f t="shared" si="161"/>
        <v>Valid</v>
      </c>
      <c r="AK833" t="str">
        <f t="shared" si="168"/>
        <v xml:space="preserve">Valid </v>
      </c>
      <c r="AL833" t="str">
        <f>IF(AND(Audit_Data[[#This Row],[Recency]]&gt;=0,Audit_Data[[#This Row],[Recency]]&lt;=100),"Valid","Invalid")</f>
        <v>Valid</v>
      </c>
      <c r="AM833" t="str">
        <f t="shared" si="162"/>
        <v>Valid</v>
      </c>
      <c r="AN833" t="str">
        <f t="shared" si="163"/>
        <v>Valid</v>
      </c>
      <c r="AO833" t="str">
        <f t="shared" si="164"/>
        <v>Valid</v>
      </c>
      <c r="AP833" t="str">
        <f t="shared" si="165"/>
        <v>Valid</v>
      </c>
      <c r="AQ833" t="str">
        <f>IF(Audit_Data[[#This Row],[Z_CostContact]]=3,"Valid","Invalid")</f>
        <v>Valid</v>
      </c>
      <c r="AR833" t="str">
        <f t="shared" si="166"/>
        <v>Valid</v>
      </c>
      <c r="AS833" t="str">
        <f t="shared" si="167"/>
        <v>Valid</v>
      </c>
    </row>
    <row r="834" spans="1:45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 t="str">
        <f t="shared" ref="AD834:AD897" si="169">IF(COUNTIF(A:A,A834)&gt;1,"Duplicate","Ok")</f>
        <v>Ok</v>
      </c>
      <c r="AE834" t="str">
        <f>IF(AND(Audit_Data[[#This Row],[Year_Birth]]&gt;=1900,Audit_Data[[#This Row],[Year_Birth]]&lt;=2010),"OK","Invalid")</f>
        <v>OK</v>
      </c>
      <c r="AF834" t="str">
        <f t="shared" ref="AF834:AF897" si="170">IF(OR(C834="Graduation",C834="phD",C834="Master",C834="Basic",C834="2n Cycle"),"Valid","Invalid")</f>
        <v>Valid</v>
      </c>
      <c r="AG834" t="str">
        <f t="shared" ref="AG834:AG897" si="171">IF(OR(D834="Single",D834="Married",D834="Divorced",D834="Together",D834="Widow",D834="Alone"),"Valid","Invalid")</f>
        <v>Valid</v>
      </c>
      <c r="AH834" t="str">
        <f t="shared" ref="AH834:AH897" si="172">IF(AND(ISNUMBER(E834),E834&lt;&gt;""),"Valid","Invalid")</f>
        <v>Valid</v>
      </c>
      <c r="AI834" t="str">
        <f t="shared" ref="AI834:AI897" si="173">IF(AND(F834&gt;=0,F834&lt;=2),"Valid","Invalid")</f>
        <v>Valid</v>
      </c>
      <c r="AJ834" t="str">
        <f t="shared" ref="AJ834:AJ897" si="174">IF(AND(G834&gt;=0,G834&lt;=2),"Valid","Invalid")</f>
        <v>Valid</v>
      </c>
      <c r="AK834" t="str">
        <f t="shared" si="168"/>
        <v xml:space="preserve">Valid </v>
      </c>
      <c r="AL834" t="str">
        <f>IF(AND(Audit_Data[[#This Row],[Recency]]&gt;=0,Audit_Data[[#This Row],[Recency]]&lt;=100),"Valid","Invalid")</f>
        <v>Valid</v>
      </c>
      <c r="AM834" t="str">
        <f t="shared" ref="AM834:AM897" si="175">IF(AND(ISNUMBER(J834),J834&gt;=0,ISNUMBER(K834),K834&gt;=0,ISNUMBER(L834),L834&gt;=0,ISNUMBER(M834),M834&gt;=0,ISNUMBER(N834),N834&gt;=0,ISNUMBER(O834),O834&gt;=0),"Valid","Invalid")</f>
        <v>Valid</v>
      </c>
      <c r="AN834" t="str">
        <f t="shared" ref="AN834:AN897" si="176">IF(AND(ISNUMBER(P834),P834&gt;=0,ISNUMBER(Q834),Q834&gt;=0,ISNUMBER(R834),R834&gt;=0,ISNUMBER(S834),S834&gt;=0,ISNUMBER(T834),T834&gt;=0),"Valid","Invalid")</f>
        <v>Valid</v>
      </c>
      <c r="AO834" t="str">
        <f t="shared" ref="AO834:AO897" si="177">IF(AND(U834&lt;=1,V834&lt;=1,W834&lt;=1,X834&lt;=1,Y834&lt;=1),"Valid","Invalid")</f>
        <v>Valid</v>
      </c>
      <c r="AP834" t="str">
        <f t="shared" ref="AP834:AP897" si="178">IF(OR(Z834=0,Z834=1),"Valid","Invalid")</f>
        <v>Valid</v>
      </c>
      <c r="AQ834" t="str">
        <f>IF(Audit_Data[[#This Row],[Z_CostContact]]=3,"Valid","Invalid")</f>
        <v>Valid</v>
      </c>
      <c r="AR834" t="str">
        <f t="shared" ref="AR834:AR897" si="179">IF(AB834=11,"Valid","Invalid")</f>
        <v>Valid</v>
      </c>
      <c r="AS834" t="str">
        <f t="shared" ref="AS834:AS897" si="180">IF(OR(AC834=0,AC834=1),"Valid","Invalid")</f>
        <v>Valid</v>
      </c>
    </row>
    <row r="835" spans="1:45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 t="str">
        <f t="shared" si="169"/>
        <v>Ok</v>
      </c>
      <c r="AE835" t="str">
        <f>IF(AND(Audit_Data[[#This Row],[Year_Birth]]&gt;=1900,Audit_Data[[#This Row],[Year_Birth]]&lt;=2010),"OK","Invalid")</f>
        <v>OK</v>
      </c>
      <c r="AF835" t="str">
        <f t="shared" si="170"/>
        <v>Valid</v>
      </c>
      <c r="AG835" t="str">
        <f t="shared" si="171"/>
        <v>Valid</v>
      </c>
      <c r="AH835" t="str">
        <f t="shared" si="172"/>
        <v>Valid</v>
      </c>
      <c r="AI835" t="str">
        <f t="shared" si="173"/>
        <v>Valid</v>
      </c>
      <c r="AJ835" t="str">
        <f t="shared" si="174"/>
        <v>Valid</v>
      </c>
      <c r="AK835" t="str">
        <f t="shared" ref="AK835:AK898" si="181">IF(AND(ISNUMBER(H835),H835&gt;=DATE(2012,1,1),H835&lt;=DATE(2014,12,31)),"Valid ","Invalid")</f>
        <v xml:space="preserve">Valid </v>
      </c>
      <c r="AL835" t="str">
        <f>IF(AND(Audit_Data[[#This Row],[Recency]]&gt;=0,Audit_Data[[#This Row],[Recency]]&lt;=100),"Valid","Invalid")</f>
        <v>Valid</v>
      </c>
      <c r="AM835" t="str">
        <f t="shared" si="175"/>
        <v>Valid</v>
      </c>
      <c r="AN835" t="str">
        <f t="shared" si="176"/>
        <v>Valid</v>
      </c>
      <c r="AO835" t="str">
        <f t="shared" si="177"/>
        <v>Valid</v>
      </c>
      <c r="AP835" t="str">
        <f t="shared" si="178"/>
        <v>Valid</v>
      </c>
      <c r="AQ835" t="str">
        <f>IF(Audit_Data[[#This Row],[Z_CostContact]]=3,"Valid","Invalid")</f>
        <v>Valid</v>
      </c>
      <c r="AR835" t="str">
        <f t="shared" si="179"/>
        <v>Valid</v>
      </c>
      <c r="AS835" t="str">
        <f t="shared" si="180"/>
        <v>Valid</v>
      </c>
    </row>
    <row r="836" spans="1:45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 t="str">
        <f t="shared" si="169"/>
        <v>Ok</v>
      </c>
      <c r="AE836" t="str">
        <f>IF(AND(Audit_Data[[#This Row],[Year_Birth]]&gt;=1900,Audit_Data[[#This Row],[Year_Birth]]&lt;=2010),"OK","Invalid")</f>
        <v>OK</v>
      </c>
      <c r="AF836" t="str">
        <f t="shared" si="170"/>
        <v>Valid</v>
      </c>
      <c r="AG836" t="str">
        <f t="shared" si="171"/>
        <v>Valid</v>
      </c>
      <c r="AH836" t="str">
        <f t="shared" si="172"/>
        <v>Valid</v>
      </c>
      <c r="AI836" t="str">
        <f t="shared" si="173"/>
        <v>Valid</v>
      </c>
      <c r="AJ836" t="str">
        <f t="shared" si="174"/>
        <v>Valid</v>
      </c>
      <c r="AK836" t="str">
        <f t="shared" si="181"/>
        <v xml:space="preserve">Valid </v>
      </c>
      <c r="AL836" t="str">
        <f>IF(AND(Audit_Data[[#This Row],[Recency]]&gt;=0,Audit_Data[[#This Row],[Recency]]&lt;=100),"Valid","Invalid")</f>
        <v>Valid</v>
      </c>
      <c r="AM836" t="str">
        <f t="shared" si="175"/>
        <v>Valid</v>
      </c>
      <c r="AN836" t="str">
        <f t="shared" si="176"/>
        <v>Valid</v>
      </c>
      <c r="AO836" t="str">
        <f t="shared" si="177"/>
        <v>Valid</v>
      </c>
      <c r="AP836" t="str">
        <f t="shared" si="178"/>
        <v>Valid</v>
      </c>
      <c r="AQ836" t="str">
        <f>IF(Audit_Data[[#This Row],[Z_CostContact]]=3,"Valid","Invalid")</f>
        <v>Valid</v>
      </c>
      <c r="AR836" t="str">
        <f t="shared" si="179"/>
        <v>Valid</v>
      </c>
      <c r="AS836" t="str">
        <f t="shared" si="180"/>
        <v>Valid</v>
      </c>
    </row>
    <row r="837" spans="1:45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 t="str">
        <f t="shared" si="169"/>
        <v>Ok</v>
      </c>
      <c r="AE837" t="str">
        <f>IF(AND(Audit_Data[[#This Row],[Year_Birth]]&gt;=1900,Audit_Data[[#This Row],[Year_Birth]]&lt;=2010),"OK","Invalid")</f>
        <v>OK</v>
      </c>
      <c r="AF837" t="str">
        <f t="shared" si="170"/>
        <v>Valid</v>
      </c>
      <c r="AG837" t="str">
        <f t="shared" si="171"/>
        <v>Valid</v>
      </c>
      <c r="AH837" t="str">
        <f t="shared" si="172"/>
        <v>Valid</v>
      </c>
      <c r="AI837" t="str">
        <f t="shared" si="173"/>
        <v>Valid</v>
      </c>
      <c r="AJ837" t="str">
        <f t="shared" si="174"/>
        <v>Valid</v>
      </c>
      <c r="AK837" t="str">
        <f t="shared" si="181"/>
        <v xml:space="preserve">Valid </v>
      </c>
      <c r="AL837" t="str">
        <f>IF(AND(Audit_Data[[#This Row],[Recency]]&gt;=0,Audit_Data[[#This Row],[Recency]]&lt;=100),"Valid","Invalid")</f>
        <v>Valid</v>
      </c>
      <c r="AM837" t="str">
        <f t="shared" si="175"/>
        <v>Valid</v>
      </c>
      <c r="AN837" t="str">
        <f t="shared" si="176"/>
        <v>Valid</v>
      </c>
      <c r="AO837" t="str">
        <f t="shared" si="177"/>
        <v>Valid</v>
      </c>
      <c r="AP837" t="str">
        <f t="shared" si="178"/>
        <v>Valid</v>
      </c>
      <c r="AQ837" t="str">
        <f>IF(Audit_Data[[#This Row],[Z_CostContact]]=3,"Valid","Invalid")</f>
        <v>Valid</v>
      </c>
      <c r="AR837" t="str">
        <f t="shared" si="179"/>
        <v>Valid</v>
      </c>
      <c r="AS837" t="str">
        <f t="shared" si="180"/>
        <v>Valid</v>
      </c>
    </row>
    <row r="838" spans="1:45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 t="str">
        <f t="shared" si="169"/>
        <v>Ok</v>
      </c>
      <c r="AE838" t="str">
        <f>IF(AND(Audit_Data[[#This Row],[Year_Birth]]&gt;=1900,Audit_Data[[#This Row],[Year_Birth]]&lt;=2010),"OK","Invalid")</f>
        <v>OK</v>
      </c>
      <c r="AF838" t="str">
        <f t="shared" si="170"/>
        <v>Valid</v>
      </c>
      <c r="AG838" t="str">
        <f t="shared" si="171"/>
        <v>Valid</v>
      </c>
      <c r="AH838" t="str">
        <f t="shared" si="172"/>
        <v>Valid</v>
      </c>
      <c r="AI838" t="str">
        <f t="shared" si="173"/>
        <v>Valid</v>
      </c>
      <c r="AJ838" t="str">
        <f t="shared" si="174"/>
        <v>Valid</v>
      </c>
      <c r="AK838" t="str">
        <f t="shared" si="181"/>
        <v xml:space="preserve">Valid </v>
      </c>
      <c r="AL838" t="str">
        <f>IF(AND(Audit_Data[[#This Row],[Recency]]&gt;=0,Audit_Data[[#This Row],[Recency]]&lt;=100),"Valid","Invalid")</f>
        <v>Valid</v>
      </c>
      <c r="AM838" t="str">
        <f t="shared" si="175"/>
        <v>Valid</v>
      </c>
      <c r="AN838" t="str">
        <f t="shared" si="176"/>
        <v>Valid</v>
      </c>
      <c r="AO838" t="str">
        <f t="shared" si="177"/>
        <v>Valid</v>
      </c>
      <c r="AP838" t="str">
        <f t="shared" si="178"/>
        <v>Valid</v>
      </c>
      <c r="AQ838" t="str">
        <f>IF(Audit_Data[[#This Row],[Z_CostContact]]=3,"Valid","Invalid")</f>
        <v>Valid</v>
      </c>
      <c r="AR838" t="str">
        <f t="shared" si="179"/>
        <v>Valid</v>
      </c>
      <c r="AS838" t="str">
        <f t="shared" si="180"/>
        <v>Valid</v>
      </c>
    </row>
    <row r="839" spans="1:45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 t="str">
        <f t="shared" si="169"/>
        <v>Ok</v>
      </c>
      <c r="AE839" t="str">
        <f>IF(AND(Audit_Data[[#This Row],[Year_Birth]]&gt;=1900,Audit_Data[[#This Row],[Year_Birth]]&lt;=2010),"OK","Invalid")</f>
        <v>OK</v>
      </c>
      <c r="AF839" t="str">
        <f t="shared" si="170"/>
        <v>Valid</v>
      </c>
      <c r="AG839" t="str">
        <f t="shared" si="171"/>
        <v>Valid</v>
      </c>
      <c r="AH839" t="str">
        <f t="shared" si="172"/>
        <v>Valid</v>
      </c>
      <c r="AI839" t="str">
        <f t="shared" si="173"/>
        <v>Valid</v>
      </c>
      <c r="AJ839" t="str">
        <f t="shared" si="174"/>
        <v>Valid</v>
      </c>
      <c r="AK839" t="str">
        <f t="shared" si="181"/>
        <v xml:space="preserve">Valid </v>
      </c>
      <c r="AL839" t="str">
        <f>IF(AND(Audit_Data[[#This Row],[Recency]]&gt;=0,Audit_Data[[#This Row],[Recency]]&lt;=100),"Valid","Invalid")</f>
        <v>Valid</v>
      </c>
      <c r="AM839" t="str">
        <f t="shared" si="175"/>
        <v>Valid</v>
      </c>
      <c r="AN839" t="str">
        <f t="shared" si="176"/>
        <v>Valid</v>
      </c>
      <c r="AO839" t="str">
        <f t="shared" si="177"/>
        <v>Valid</v>
      </c>
      <c r="AP839" t="str">
        <f t="shared" si="178"/>
        <v>Valid</v>
      </c>
      <c r="AQ839" t="str">
        <f>IF(Audit_Data[[#This Row],[Z_CostContact]]=3,"Valid","Invalid")</f>
        <v>Valid</v>
      </c>
      <c r="AR839" t="str">
        <f t="shared" si="179"/>
        <v>Valid</v>
      </c>
      <c r="AS839" t="str">
        <f t="shared" si="180"/>
        <v>Valid</v>
      </c>
    </row>
    <row r="840" spans="1:45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 t="str">
        <f t="shared" si="169"/>
        <v>Ok</v>
      </c>
      <c r="AE840" t="str">
        <f>IF(AND(Audit_Data[[#This Row],[Year_Birth]]&gt;=1900,Audit_Data[[#This Row],[Year_Birth]]&lt;=2010),"OK","Invalid")</f>
        <v>OK</v>
      </c>
      <c r="AF840" t="str">
        <f t="shared" si="170"/>
        <v>Valid</v>
      </c>
      <c r="AG840" t="str">
        <f t="shared" si="171"/>
        <v>Valid</v>
      </c>
      <c r="AH840" t="str">
        <f t="shared" si="172"/>
        <v>Valid</v>
      </c>
      <c r="AI840" t="str">
        <f t="shared" si="173"/>
        <v>Valid</v>
      </c>
      <c r="AJ840" t="str">
        <f t="shared" si="174"/>
        <v>Valid</v>
      </c>
      <c r="AK840" t="str">
        <f t="shared" si="181"/>
        <v xml:space="preserve">Valid </v>
      </c>
      <c r="AL840" t="str">
        <f>IF(AND(Audit_Data[[#This Row],[Recency]]&gt;=0,Audit_Data[[#This Row],[Recency]]&lt;=100),"Valid","Invalid")</f>
        <v>Valid</v>
      </c>
      <c r="AM840" t="str">
        <f t="shared" si="175"/>
        <v>Valid</v>
      </c>
      <c r="AN840" t="str">
        <f t="shared" si="176"/>
        <v>Valid</v>
      </c>
      <c r="AO840" t="str">
        <f t="shared" si="177"/>
        <v>Valid</v>
      </c>
      <c r="AP840" t="str">
        <f t="shared" si="178"/>
        <v>Valid</v>
      </c>
      <c r="AQ840" t="str">
        <f>IF(Audit_Data[[#This Row],[Z_CostContact]]=3,"Valid","Invalid")</f>
        <v>Valid</v>
      </c>
      <c r="AR840" t="str">
        <f t="shared" si="179"/>
        <v>Valid</v>
      </c>
      <c r="AS840" t="str">
        <f t="shared" si="180"/>
        <v>Valid</v>
      </c>
    </row>
    <row r="841" spans="1:45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 t="str">
        <f t="shared" si="169"/>
        <v>Ok</v>
      </c>
      <c r="AE841" t="str">
        <f>IF(AND(Audit_Data[[#This Row],[Year_Birth]]&gt;=1900,Audit_Data[[#This Row],[Year_Birth]]&lt;=2010),"OK","Invalid")</f>
        <v>OK</v>
      </c>
      <c r="AF841" t="str">
        <f t="shared" si="170"/>
        <v>Valid</v>
      </c>
      <c r="AG841" t="str">
        <f t="shared" si="171"/>
        <v>Valid</v>
      </c>
      <c r="AH841" t="str">
        <f t="shared" si="172"/>
        <v>Valid</v>
      </c>
      <c r="AI841" t="str">
        <f t="shared" si="173"/>
        <v>Valid</v>
      </c>
      <c r="AJ841" t="str">
        <f t="shared" si="174"/>
        <v>Valid</v>
      </c>
      <c r="AK841" t="str">
        <f t="shared" si="181"/>
        <v xml:space="preserve">Valid </v>
      </c>
      <c r="AL841" t="str">
        <f>IF(AND(Audit_Data[[#This Row],[Recency]]&gt;=0,Audit_Data[[#This Row],[Recency]]&lt;=100),"Valid","Invalid")</f>
        <v>Valid</v>
      </c>
      <c r="AM841" t="str">
        <f t="shared" si="175"/>
        <v>Valid</v>
      </c>
      <c r="AN841" t="str">
        <f t="shared" si="176"/>
        <v>Valid</v>
      </c>
      <c r="AO841" t="str">
        <f t="shared" si="177"/>
        <v>Valid</v>
      </c>
      <c r="AP841" t="str">
        <f t="shared" si="178"/>
        <v>Valid</v>
      </c>
      <c r="AQ841" t="str">
        <f>IF(Audit_Data[[#This Row],[Z_CostContact]]=3,"Valid","Invalid")</f>
        <v>Valid</v>
      </c>
      <c r="AR841" t="str">
        <f t="shared" si="179"/>
        <v>Valid</v>
      </c>
      <c r="AS841" t="str">
        <f t="shared" si="180"/>
        <v>Valid</v>
      </c>
    </row>
    <row r="842" spans="1:45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 t="str">
        <f t="shared" si="169"/>
        <v>Ok</v>
      </c>
      <c r="AE842" t="str">
        <f>IF(AND(Audit_Data[[#This Row],[Year_Birth]]&gt;=1900,Audit_Data[[#This Row],[Year_Birth]]&lt;=2010),"OK","Invalid")</f>
        <v>OK</v>
      </c>
      <c r="AF842" t="str">
        <f t="shared" si="170"/>
        <v>Valid</v>
      </c>
      <c r="AG842" t="str">
        <f t="shared" si="171"/>
        <v>Valid</v>
      </c>
      <c r="AH842" t="str">
        <f t="shared" si="172"/>
        <v>Valid</v>
      </c>
      <c r="AI842" t="str">
        <f t="shared" si="173"/>
        <v>Valid</v>
      </c>
      <c r="AJ842" t="str">
        <f t="shared" si="174"/>
        <v>Valid</v>
      </c>
      <c r="AK842" t="str">
        <f t="shared" si="181"/>
        <v xml:space="preserve">Valid </v>
      </c>
      <c r="AL842" t="str">
        <f>IF(AND(Audit_Data[[#This Row],[Recency]]&gt;=0,Audit_Data[[#This Row],[Recency]]&lt;=100),"Valid","Invalid")</f>
        <v>Valid</v>
      </c>
      <c r="AM842" t="str">
        <f t="shared" si="175"/>
        <v>Valid</v>
      </c>
      <c r="AN842" t="str">
        <f t="shared" si="176"/>
        <v>Valid</v>
      </c>
      <c r="AO842" t="str">
        <f t="shared" si="177"/>
        <v>Valid</v>
      </c>
      <c r="AP842" t="str">
        <f t="shared" si="178"/>
        <v>Valid</v>
      </c>
      <c r="AQ842" t="str">
        <f>IF(Audit_Data[[#This Row],[Z_CostContact]]=3,"Valid","Invalid")</f>
        <v>Valid</v>
      </c>
      <c r="AR842" t="str">
        <f t="shared" si="179"/>
        <v>Valid</v>
      </c>
      <c r="AS842" t="str">
        <f t="shared" si="180"/>
        <v>Valid</v>
      </c>
    </row>
    <row r="843" spans="1:45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 t="str">
        <f t="shared" si="169"/>
        <v>Ok</v>
      </c>
      <c r="AE843" t="str">
        <f>IF(AND(Audit_Data[[#This Row],[Year_Birth]]&gt;=1900,Audit_Data[[#This Row],[Year_Birth]]&lt;=2010),"OK","Invalid")</f>
        <v>OK</v>
      </c>
      <c r="AF843" t="str">
        <f t="shared" si="170"/>
        <v>Valid</v>
      </c>
      <c r="AG843" t="str">
        <f t="shared" si="171"/>
        <v>Valid</v>
      </c>
      <c r="AH843" t="str">
        <f t="shared" si="172"/>
        <v>Valid</v>
      </c>
      <c r="AI843" t="str">
        <f t="shared" si="173"/>
        <v>Valid</v>
      </c>
      <c r="AJ843" t="str">
        <f t="shared" si="174"/>
        <v>Valid</v>
      </c>
      <c r="AK843" t="str">
        <f t="shared" si="181"/>
        <v xml:space="preserve">Valid </v>
      </c>
      <c r="AL843" t="str">
        <f>IF(AND(Audit_Data[[#This Row],[Recency]]&gt;=0,Audit_Data[[#This Row],[Recency]]&lt;=100),"Valid","Invalid")</f>
        <v>Valid</v>
      </c>
      <c r="AM843" t="str">
        <f t="shared" si="175"/>
        <v>Valid</v>
      </c>
      <c r="AN843" t="str">
        <f t="shared" si="176"/>
        <v>Valid</v>
      </c>
      <c r="AO843" t="str">
        <f t="shared" si="177"/>
        <v>Valid</v>
      </c>
      <c r="AP843" t="str">
        <f t="shared" si="178"/>
        <v>Valid</v>
      </c>
      <c r="AQ843" t="str">
        <f>IF(Audit_Data[[#This Row],[Z_CostContact]]=3,"Valid","Invalid")</f>
        <v>Valid</v>
      </c>
      <c r="AR843" t="str">
        <f t="shared" si="179"/>
        <v>Valid</v>
      </c>
      <c r="AS843" t="str">
        <f t="shared" si="180"/>
        <v>Valid</v>
      </c>
    </row>
    <row r="844" spans="1:45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 t="str">
        <f t="shared" si="169"/>
        <v>Ok</v>
      </c>
      <c r="AE844" t="str">
        <f>IF(AND(Audit_Data[[#This Row],[Year_Birth]]&gt;=1900,Audit_Data[[#This Row],[Year_Birth]]&lt;=2010),"OK","Invalid")</f>
        <v>OK</v>
      </c>
      <c r="AF844" t="str">
        <f t="shared" si="170"/>
        <v>Valid</v>
      </c>
      <c r="AG844" t="str">
        <f t="shared" si="171"/>
        <v>Valid</v>
      </c>
      <c r="AH844" t="str">
        <f t="shared" si="172"/>
        <v>Valid</v>
      </c>
      <c r="AI844" t="str">
        <f t="shared" si="173"/>
        <v>Valid</v>
      </c>
      <c r="AJ844" t="str">
        <f t="shared" si="174"/>
        <v>Valid</v>
      </c>
      <c r="AK844" t="str">
        <f t="shared" si="181"/>
        <v xml:space="preserve">Valid </v>
      </c>
      <c r="AL844" t="str">
        <f>IF(AND(Audit_Data[[#This Row],[Recency]]&gt;=0,Audit_Data[[#This Row],[Recency]]&lt;=100),"Valid","Invalid")</f>
        <v>Valid</v>
      </c>
      <c r="AM844" t="str">
        <f t="shared" si="175"/>
        <v>Valid</v>
      </c>
      <c r="AN844" t="str">
        <f t="shared" si="176"/>
        <v>Valid</v>
      </c>
      <c r="AO844" t="str">
        <f t="shared" si="177"/>
        <v>Valid</v>
      </c>
      <c r="AP844" t="str">
        <f t="shared" si="178"/>
        <v>Valid</v>
      </c>
      <c r="AQ844" t="str">
        <f>IF(Audit_Data[[#This Row],[Z_CostContact]]=3,"Valid","Invalid")</f>
        <v>Valid</v>
      </c>
      <c r="AR844" t="str">
        <f t="shared" si="179"/>
        <v>Valid</v>
      </c>
      <c r="AS844" t="str">
        <f t="shared" si="180"/>
        <v>Valid</v>
      </c>
    </row>
    <row r="845" spans="1:45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 t="str">
        <f t="shared" si="169"/>
        <v>Ok</v>
      </c>
      <c r="AE845" t="str">
        <f>IF(AND(Audit_Data[[#This Row],[Year_Birth]]&gt;=1900,Audit_Data[[#This Row],[Year_Birth]]&lt;=2010),"OK","Invalid")</f>
        <v>OK</v>
      </c>
      <c r="AF845" t="str">
        <f t="shared" si="170"/>
        <v>Valid</v>
      </c>
      <c r="AG845" t="str">
        <f t="shared" si="171"/>
        <v>Valid</v>
      </c>
      <c r="AH845" t="str">
        <f t="shared" si="172"/>
        <v>Valid</v>
      </c>
      <c r="AI845" t="str">
        <f t="shared" si="173"/>
        <v>Valid</v>
      </c>
      <c r="AJ845" t="str">
        <f t="shared" si="174"/>
        <v>Valid</v>
      </c>
      <c r="AK845" t="str">
        <f t="shared" si="181"/>
        <v xml:space="preserve">Valid </v>
      </c>
      <c r="AL845" t="str">
        <f>IF(AND(Audit_Data[[#This Row],[Recency]]&gt;=0,Audit_Data[[#This Row],[Recency]]&lt;=100),"Valid","Invalid")</f>
        <v>Valid</v>
      </c>
      <c r="AM845" t="str">
        <f t="shared" si="175"/>
        <v>Valid</v>
      </c>
      <c r="AN845" t="str">
        <f t="shared" si="176"/>
        <v>Valid</v>
      </c>
      <c r="AO845" t="str">
        <f t="shared" si="177"/>
        <v>Valid</v>
      </c>
      <c r="AP845" t="str">
        <f t="shared" si="178"/>
        <v>Valid</v>
      </c>
      <c r="AQ845" t="str">
        <f>IF(Audit_Data[[#This Row],[Z_CostContact]]=3,"Valid","Invalid")</f>
        <v>Valid</v>
      </c>
      <c r="AR845" t="str">
        <f t="shared" si="179"/>
        <v>Valid</v>
      </c>
      <c r="AS845" t="str">
        <f t="shared" si="180"/>
        <v>Valid</v>
      </c>
    </row>
    <row r="846" spans="1:45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 t="str">
        <f t="shared" si="169"/>
        <v>Ok</v>
      </c>
      <c r="AE846" t="str">
        <f>IF(AND(Audit_Data[[#This Row],[Year_Birth]]&gt;=1900,Audit_Data[[#This Row],[Year_Birth]]&lt;=2010),"OK","Invalid")</f>
        <v>OK</v>
      </c>
      <c r="AF846" t="str">
        <f t="shared" si="170"/>
        <v>Valid</v>
      </c>
      <c r="AG846" t="str">
        <f t="shared" si="171"/>
        <v>Valid</v>
      </c>
      <c r="AH846" t="str">
        <f t="shared" si="172"/>
        <v>Valid</v>
      </c>
      <c r="AI846" t="str">
        <f t="shared" si="173"/>
        <v>Valid</v>
      </c>
      <c r="AJ846" t="str">
        <f t="shared" si="174"/>
        <v>Valid</v>
      </c>
      <c r="AK846" t="str">
        <f t="shared" si="181"/>
        <v xml:space="preserve">Valid </v>
      </c>
      <c r="AL846" t="str">
        <f>IF(AND(Audit_Data[[#This Row],[Recency]]&gt;=0,Audit_Data[[#This Row],[Recency]]&lt;=100),"Valid","Invalid")</f>
        <v>Valid</v>
      </c>
      <c r="AM846" t="str">
        <f t="shared" si="175"/>
        <v>Valid</v>
      </c>
      <c r="AN846" t="str">
        <f t="shared" si="176"/>
        <v>Valid</v>
      </c>
      <c r="AO846" t="str">
        <f t="shared" si="177"/>
        <v>Valid</v>
      </c>
      <c r="AP846" t="str">
        <f t="shared" si="178"/>
        <v>Valid</v>
      </c>
      <c r="AQ846" t="str">
        <f>IF(Audit_Data[[#This Row],[Z_CostContact]]=3,"Valid","Invalid")</f>
        <v>Valid</v>
      </c>
      <c r="AR846" t="str">
        <f t="shared" si="179"/>
        <v>Valid</v>
      </c>
      <c r="AS846" t="str">
        <f t="shared" si="180"/>
        <v>Valid</v>
      </c>
    </row>
    <row r="847" spans="1:45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 t="str">
        <f t="shared" si="169"/>
        <v>Ok</v>
      </c>
      <c r="AE847" t="str">
        <f>IF(AND(Audit_Data[[#This Row],[Year_Birth]]&gt;=1900,Audit_Data[[#This Row],[Year_Birth]]&lt;=2010),"OK","Invalid")</f>
        <v>OK</v>
      </c>
      <c r="AF847" t="str">
        <f t="shared" si="170"/>
        <v>Valid</v>
      </c>
      <c r="AG847" t="str">
        <f t="shared" si="171"/>
        <v>Valid</v>
      </c>
      <c r="AH847" t="str">
        <f t="shared" si="172"/>
        <v>Valid</v>
      </c>
      <c r="AI847" t="str">
        <f t="shared" si="173"/>
        <v>Valid</v>
      </c>
      <c r="AJ847" t="str">
        <f t="shared" si="174"/>
        <v>Valid</v>
      </c>
      <c r="AK847" t="str">
        <f t="shared" si="181"/>
        <v xml:space="preserve">Valid </v>
      </c>
      <c r="AL847" t="str">
        <f>IF(AND(Audit_Data[[#This Row],[Recency]]&gt;=0,Audit_Data[[#This Row],[Recency]]&lt;=100),"Valid","Invalid")</f>
        <v>Valid</v>
      </c>
      <c r="AM847" t="str">
        <f t="shared" si="175"/>
        <v>Valid</v>
      </c>
      <c r="AN847" t="str">
        <f t="shared" si="176"/>
        <v>Valid</v>
      </c>
      <c r="AO847" t="str">
        <f t="shared" si="177"/>
        <v>Valid</v>
      </c>
      <c r="AP847" t="str">
        <f t="shared" si="178"/>
        <v>Valid</v>
      </c>
      <c r="AQ847" t="str">
        <f>IF(Audit_Data[[#This Row],[Z_CostContact]]=3,"Valid","Invalid")</f>
        <v>Valid</v>
      </c>
      <c r="AR847" t="str">
        <f t="shared" si="179"/>
        <v>Valid</v>
      </c>
      <c r="AS847" t="str">
        <f t="shared" si="180"/>
        <v>Valid</v>
      </c>
    </row>
    <row r="848" spans="1:45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 t="str">
        <f t="shared" si="169"/>
        <v>Ok</v>
      </c>
      <c r="AE848" t="str">
        <f>IF(AND(Audit_Data[[#This Row],[Year_Birth]]&gt;=1900,Audit_Data[[#This Row],[Year_Birth]]&lt;=2010),"OK","Invalid")</f>
        <v>OK</v>
      </c>
      <c r="AF848" t="str">
        <f t="shared" si="170"/>
        <v>Valid</v>
      </c>
      <c r="AG848" t="str">
        <f t="shared" si="171"/>
        <v>Valid</v>
      </c>
      <c r="AH848" t="str">
        <f t="shared" si="172"/>
        <v>Valid</v>
      </c>
      <c r="AI848" t="str">
        <f t="shared" si="173"/>
        <v>Valid</v>
      </c>
      <c r="AJ848" t="str">
        <f t="shared" si="174"/>
        <v>Valid</v>
      </c>
      <c r="AK848" t="str">
        <f t="shared" si="181"/>
        <v xml:space="preserve">Valid </v>
      </c>
      <c r="AL848" t="str">
        <f>IF(AND(Audit_Data[[#This Row],[Recency]]&gt;=0,Audit_Data[[#This Row],[Recency]]&lt;=100),"Valid","Invalid")</f>
        <v>Valid</v>
      </c>
      <c r="AM848" t="str">
        <f t="shared" si="175"/>
        <v>Valid</v>
      </c>
      <c r="AN848" t="str">
        <f t="shared" si="176"/>
        <v>Valid</v>
      </c>
      <c r="AO848" t="str">
        <f t="shared" si="177"/>
        <v>Valid</v>
      </c>
      <c r="AP848" t="str">
        <f t="shared" si="178"/>
        <v>Valid</v>
      </c>
      <c r="AQ848" t="str">
        <f>IF(Audit_Data[[#This Row],[Z_CostContact]]=3,"Valid","Invalid")</f>
        <v>Valid</v>
      </c>
      <c r="AR848" t="str">
        <f t="shared" si="179"/>
        <v>Valid</v>
      </c>
      <c r="AS848" t="str">
        <f t="shared" si="180"/>
        <v>Valid</v>
      </c>
    </row>
    <row r="849" spans="1:45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 t="str">
        <f t="shared" si="169"/>
        <v>Ok</v>
      </c>
      <c r="AE849" t="str">
        <f>IF(AND(Audit_Data[[#This Row],[Year_Birth]]&gt;=1900,Audit_Data[[#This Row],[Year_Birth]]&lt;=2010),"OK","Invalid")</f>
        <v>OK</v>
      </c>
      <c r="AF849" t="str">
        <f t="shared" si="170"/>
        <v>Valid</v>
      </c>
      <c r="AG849" t="str">
        <f t="shared" si="171"/>
        <v>Valid</v>
      </c>
      <c r="AH849" t="str">
        <f t="shared" si="172"/>
        <v>Valid</v>
      </c>
      <c r="AI849" t="str">
        <f t="shared" si="173"/>
        <v>Valid</v>
      </c>
      <c r="AJ849" t="str">
        <f t="shared" si="174"/>
        <v>Valid</v>
      </c>
      <c r="AK849" t="str">
        <f t="shared" si="181"/>
        <v xml:space="preserve">Valid </v>
      </c>
      <c r="AL849" t="str">
        <f>IF(AND(Audit_Data[[#This Row],[Recency]]&gt;=0,Audit_Data[[#This Row],[Recency]]&lt;=100),"Valid","Invalid")</f>
        <v>Valid</v>
      </c>
      <c r="AM849" t="str">
        <f t="shared" si="175"/>
        <v>Valid</v>
      </c>
      <c r="AN849" t="str">
        <f t="shared" si="176"/>
        <v>Valid</v>
      </c>
      <c r="AO849" t="str">
        <f t="shared" si="177"/>
        <v>Valid</v>
      </c>
      <c r="AP849" t="str">
        <f t="shared" si="178"/>
        <v>Valid</v>
      </c>
      <c r="AQ849" t="str">
        <f>IF(Audit_Data[[#This Row],[Z_CostContact]]=3,"Valid","Invalid")</f>
        <v>Valid</v>
      </c>
      <c r="AR849" t="str">
        <f t="shared" si="179"/>
        <v>Valid</v>
      </c>
      <c r="AS849" t="str">
        <f t="shared" si="180"/>
        <v>Valid</v>
      </c>
    </row>
    <row r="850" spans="1:45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 t="str">
        <f t="shared" si="169"/>
        <v>Ok</v>
      </c>
      <c r="AE850" t="str">
        <f>IF(AND(Audit_Data[[#This Row],[Year_Birth]]&gt;=1900,Audit_Data[[#This Row],[Year_Birth]]&lt;=2010),"OK","Invalid")</f>
        <v>OK</v>
      </c>
      <c r="AF850" t="str">
        <f t="shared" si="170"/>
        <v>Valid</v>
      </c>
      <c r="AG850" t="str">
        <f t="shared" si="171"/>
        <v>Valid</v>
      </c>
      <c r="AH850" t="str">
        <f t="shared" si="172"/>
        <v>Valid</v>
      </c>
      <c r="AI850" t="str">
        <f t="shared" si="173"/>
        <v>Valid</v>
      </c>
      <c r="AJ850" t="str">
        <f t="shared" si="174"/>
        <v>Valid</v>
      </c>
      <c r="AK850" t="str">
        <f t="shared" si="181"/>
        <v xml:space="preserve">Valid </v>
      </c>
      <c r="AL850" t="str">
        <f>IF(AND(Audit_Data[[#This Row],[Recency]]&gt;=0,Audit_Data[[#This Row],[Recency]]&lt;=100),"Valid","Invalid")</f>
        <v>Valid</v>
      </c>
      <c r="AM850" t="str">
        <f t="shared" si="175"/>
        <v>Valid</v>
      </c>
      <c r="AN850" t="str">
        <f t="shared" si="176"/>
        <v>Valid</v>
      </c>
      <c r="AO850" t="str">
        <f t="shared" si="177"/>
        <v>Valid</v>
      </c>
      <c r="AP850" t="str">
        <f t="shared" si="178"/>
        <v>Valid</v>
      </c>
      <c r="AQ850" t="str">
        <f>IF(Audit_Data[[#This Row],[Z_CostContact]]=3,"Valid","Invalid")</f>
        <v>Valid</v>
      </c>
      <c r="AR850" t="str">
        <f t="shared" si="179"/>
        <v>Valid</v>
      </c>
      <c r="AS850" t="str">
        <f t="shared" si="180"/>
        <v>Valid</v>
      </c>
    </row>
    <row r="851" spans="1:45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 t="str">
        <f t="shared" si="169"/>
        <v>Ok</v>
      </c>
      <c r="AE851" t="str">
        <f>IF(AND(Audit_Data[[#This Row],[Year_Birth]]&gt;=1900,Audit_Data[[#This Row],[Year_Birth]]&lt;=2010),"OK","Invalid")</f>
        <v>OK</v>
      </c>
      <c r="AF851" t="str">
        <f t="shared" si="170"/>
        <v>Valid</v>
      </c>
      <c r="AG851" t="str">
        <f t="shared" si="171"/>
        <v>Valid</v>
      </c>
      <c r="AH851" t="str">
        <f t="shared" si="172"/>
        <v>Valid</v>
      </c>
      <c r="AI851" t="str">
        <f t="shared" si="173"/>
        <v>Valid</v>
      </c>
      <c r="AJ851" t="str">
        <f t="shared" si="174"/>
        <v>Valid</v>
      </c>
      <c r="AK851" t="str">
        <f t="shared" si="181"/>
        <v xml:space="preserve">Valid </v>
      </c>
      <c r="AL851" t="str">
        <f>IF(AND(Audit_Data[[#This Row],[Recency]]&gt;=0,Audit_Data[[#This Row],[Recency]]&lt;=100),"Valid","Invalid")</f>
        <v>Valid</v>
      </c>
      <c r="AM851" t="str">
        <f t="shared" si="175"/>
        <v>Valid</v>
      </c>
      <c r="AN851" t="str">
        <f t="shared" si="176"/>
        <v>Valid</v>
      </c>
      <c r="AO851" t="str">
        <f t="shared" si="177"/>
        <v>Valid</v>
      </c>
      <c r="AP851" t="str">
        <f t="shared" si="178"/>
        <v>Valid</v>
      </c>
      <c r="AQ851" t="str">
        <f>IF(Audit_Data[[#This Row],[Z_CostContact]]=3,"Valid","Invalid")</f>
        <v>Valid</v>
      </c>
      <c r="AR851" t="str">
        <f t="shared" si="179"/>
        <v>Valid</v>
      </c>
      <c r="AS851" t="str">
        <f t="shared" si="180"/>
        <v>Valid</v>
      </c>
    </row>
    <row r="852" spans="1:45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 t="str">
        <f t="shared" si="169"/>
        <v>Ok</v>
      </c>
      <c r="AE852" t="str">
        <f>IF(AND(Audit_Data[[#This Row],[Year_Birth]]&gt;=1900,Audit_Data[[#This Row],[Year_Birth]]&lt;=2010),"OK","Invalid")</f>
        <v>OK</v>
      </c>
      <c r="AF852" t="str">
        <f t="shared" si="170"/>
        <v>Valid</v>
      </c>
      <c r="AG852" t="str">
        <f t="shared" si="171"/>
        <v>Valid</v>
      </c>
      <c r="AH852" t="str">
        <f t="shared" si="172"/>
        <v>Valid</v>
      </c>
      <c r="AI852" t="str">
        <f t="shared" si="173"/>
        <v>Valid</v>
      </c>
      <c r="AJ852" t="str">
        <f t="shared" si="174"/>
        <v>Valid</v>
      </c>
      <c r="AK852" t="str">
        <f t="shared" si="181"/>
        <v xml:space="preserve">Valid </v>
      </c>
      <c r="AL852" t="str">
        <f>IF(AND(Audit_Data[[#This Row],[Recency]]&gt;=0,Audit_Data[[#This Row],[Recency]]&lt;=100),"Valid","Invalid")</f>
        <v>Valid</v>
      </c>
      <c r="AM852" t="str">
        <f t="shared" si="175"/>
        <v>Valid</v>
      </c>
      <c r="AN852" t="str">
        <f t="shared" si="176"/>
        <v>Valid</v>
      </c>
      <c r="AO852" t="str">
        <f t="shared" si="177"/>
        <v>Valid</v>
      </c>
      <c r="AP852" t="str">
        <f t="shared" si="178"/>
        <v>Valid</v>
      </c>
      <c r="AQ852" t="str">
        <f>IF(Audit_Data[[#This Row],[Z_CostContact]]=3,"Valid","Invalid")</f>
        <v>Valid</v>
      </c>
      <c r="AR852" t="str">
        <f t="shared" si="179"/>
        <v>Valid</v>
      </c>
      <c r="AS852" t="str">
        <f t="shared" si="180"/>
        <v>Valid</v>
      </c>
    </row>
    <row r="853" spans="1:45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 t="str">
        <f t="shared" si="169"/>
        <v>Ok</v>
      </c>
      <c r="AE853" t="str">
        <f>IF(AND(Audit_Data[[#This Row],[Year_Birth]]&gt;=1900,Audit_Data[[#This Row],[Year_Birth]]&lt;=2010),"OK","Invalid")</f>
        <v>OK</v>
      </c>
      <c r="AF853" t="str">
        <f t="shared" si="170"/>
        <v>Valid</v>
      </c>
      <c r="AG853" t="str">
        <f t="shared" si="171"/>
        <v>Valid</v>
      </c>
      <c r="AH853" t="str">
        <f t="shared" si="172"/>
        <v>Valid</v>
      </c>
      <c r="AI853" t="str">
        <f t="shared" si="173"/>
        <v>Valid</v>
      </c>
      <c r="AJ853" t="str">
        <f t="shared" si="174"/>
        <v>Valid</v>
      </c>
      <c r="AK853" t="str">
        <f t="shared" si="181"/>
        <v xml:space="preserve">Valid </v>
      </c>
      <c r="AL853" t="str">
        <f>IF(AND(Audit_Data[[#This Row],[Recency]]&gt;=0,Audit_Data[[#This Row],[Recency]]&lt;=100),"Valid","Invalid")</f>
        <v>Valid</v>
      </c>
      <c r="AM853" t="str">
        <f t="shared" si="175"/>
        <v>Valid</v>
      </c>
      <c r="AN853" t="str">
        <f t="shared" si="176"/>
        <v>Valid</v>
      </c>
      <c r="AO853" t="str">
        <f t="shared" si="177"/>
        <v>Valid</v>
      </c>
      <c r="AP853" t="str">
        <f t="shared" si="178"/>
        <v>Valid</v>
      </c>
      <c r="AQ853" t="str">
        <f>IF(Audit_Data[[#This Row],[Z_CostContact]]=3,"Valid","Invalid")</f>
        <v>Valid</v>
      </c>
      <c r="AR853" t="str">
        <f t="shared" si="179"/>
        <v>Valid</v>
      </c>
      <c r="AS853" t="str">
        <f t="shared" si="180"/>
        <v>Valid</v>
      </c>
    </row>
    <row r="854" spans="1:45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 t="str">
        <f t="shared" si="169"/>
        <v>Ok</v>
      </c>
      <c r="AE854" t="str">
        <f>IF(AND(Audit_Data[[#This Row],[Year_Birth]]&gt;=1900,Audit_Data[[#This Row],[Year_Birth]]&lt;=2010),"OK","Invalid")</f>
        <v>OK</v>
      </c>
      <c r="AF854" t="str">
        <f t="shared" si="170"/>
        <v>Valid</v>
      </c>
      <c r="AG854" t="str">
        <f t="shared" si="171"/>
        <v>Valid</v>
      </c>
      <c r="AH854" t="str">
        <f t="shared" si="172"/>
        <v>Valid</v>
      </c>
      <c r="AI854" t="str">
        <f t="shared" si="173"/>
        <v>Valid</v>
      </c>
      <c r="AJ854" t="str">
        <f t="shared" si="174"/>
        <v>Valid</v>
      </c>
      <c r="AK854" t="str">
        <f t="shared" si="181"/>
        <v xml:space="preserve">Valid </v>
      </c>
      <c r="AL854" t="str">
        <f>IF(AND(Audit_Data[[#This Row],[Recency]]&gt;=0,Audit_Data[[#This Row],[Recency]]&lt;=100),"Valid","Invalid")</f>
        <v>Valid</v>
      </c>
      <c r="AM854" t="str">
        <f t="shared" si="175"/>
        <v>Valid</v>
      </c>
      <c r="AN854" t="str">
        <f t="shared" si="176"/>
        <v>Valid</v>
      </c>
      <c r="AO854" t="str">
        <f t="shared" si="177"/>
        <v>Valid</v>
      </c>
      <c r="AP854" t="str">
        <f t="shared" si="178"/>
        <v>Valid</v>
      </c>
      <c r="AQ854" t="str">
        <f>IF(Audit_Data[[#This Row],[Z_CostContact]]=3,"Valid","Invalid")</f>
        <v>Valid</v>
      </c>
      <c r="AR854" t="str">
        <f t="shared" si="179"/>
        <v>Valid</v>
      </c>
      <c r="AS854" t="str">
        <f t="shared" si="180"/>
        <v>Valid</v>
      </c>
    </row>
    <row r="855" spans="1:45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 t="str">
        <f t="shared" si="169"/>
        <v>Ok</v>
      </c>
      <c r="AE855" t="str">
        <f>IF(AND(Audit_Data[[#This Row],[Year_Birth]]&gt;=1900,Audit_Data[[#This Row],[Year_Birth]]&lt;=2010),"OK","Invalid")</f>
        <v>OK</v>
      </c>
      <c r="AF855" t="str">
        <f t="shared" si="170"/>
        <v>Valid</v>
      </c>
      <c r="AG855" t="str">
        <f t="shared" si="171"/>
        <v>Valid</v>
      </c>
      <c r="AH855" t="str">
        <f t="shared" si="172"/>
        <v>Valid</v>
      </c>
      <c r="AI855" t="str">
        <f t="shared" si="173"/>
        <v>Valid</v>
      </c>
      <c r="AJ855" t="str">
        <f t="shared" si="174"/>
        <v>Valid</v>
      </c>
      <c r="AK855" t="str">
        <f t="shared" si="181"/>
        <v xml:space="preserve">Valid </v>
      </c>
      <c r="AL855" t="str">
        <f>IF(AND(Audit_Data[[#This Row],[Recency]]&gt;=0,Audit_Data[[#This Row],[Recency]]&lt;=100),"Valid","Invalid")</f>
        <v>Valid</v>
      </c>
      <c r="AM855" t="str">
        <f t="shared" si="175"/>
        <v>Valid</v>
      </c>
      <c r="AN855" t="str">
        <f t="shared" si="176"/>
        <v>Valid</v>
      </c>
      <c r="AO855" t="str">
        <f t="shared" si="177"/>
        <v>Valid</v>
      </c>
      <c r="AP855" t="str">
        <f t="shared" si="178"/>
        <v>Valid</v>
      </c>
      <c r="AQ855" t="str">
        <f>IF(Audit_Data[[#This Row],[Z_CostContact]]=3,"Valid","Invalid")</f>
        <v>Valid</v>
      </c>
      <c r="AR855" t="str">
        <f t="shared" si="179"/>
        <v>Valid</v>
      </c>
      <c r="AS855" t="str">
        <f t="shared" si="180"/>
        <v>Valid</v>
      </c>
    </row>
    <row r="856" spans="1:45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 t="str">
        <f t="shared" si="169"/>
        <v>Ok</v>
      </c>
      <c r="AE856" t="str">
        <f>IF(AND(Audit_Data[[#This Row],[Year_Birth]]&gt;=1900,Audit_Data[[#This Row],[Year_Birth]]&lt;=2010),"OK","Invalid")</f>
        <v>OK</v>
      </c>
      <c r="AF856" t="str">
        <f t="shared" si="170"/>
        <v>Valid</v>
      </c>
      <c r="AG856" t="str">
        <f t="shared" si="171"/>
        <v>Valid</v>
      </c>
      <c r="AH856" t="str">
        <f t="shared" si="172"/>
        <v>Valid</v>
      </c>
      <c r="AI856" t="str">
        <f t="shared" si="173"/>
        <v>Valid</v>
      </c>
      <c r="AJ856" t="str">
        <f t="shared" si="174"/>
        <v>Valid</v>
      </c>
      <c r="AK856" t="str">
        <f t="shared" si="181"/>
        <v xml:space="preserve">Valid </v>
      </c>
      <c r="AL856" t="str">
        <f>IF(AND(Audit_Data[[#This Row],[Recency]]&gt;=0,Audit_Data[[#This Row],[Recency]]&lt;=100),"Valid","Invalid")</f>
        <v>Valid</v>
      </c>
      <c r="AM856" t="str">
        <f t="shared" si="175"/>
        <v>Valid</v>
      </c>
      <c r="AN856" t="str">
        <f t="shared" si="176"/>
        <v>Valid</v>
      </c>
      <c r="AO856" t="str">
        <f t="shared" si="177"/>
        <v>Valid</v>
      </c>
      <c r="AP856" t="str">
        <f t="shared" si="178"/>
        <v>Valid</v>
      </c>
      <c r="AQ856" t="str">
        <f>IF(Audit_Data[[#This Row],[Z_CostContact]]=3,"Valid","Invalid")</f>
        <v>Valid</v>
      </c>
      <c r="AR856" t="str">
        <f t="shared" si="179"/>
        <v>Valid</v>
      </c>
      <c r="AS856" t="str">
        <f t="shared" si="180"/>
        <v>Valid</v>
      </c>
    </row>
    <row r="857" spans="1:45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 t="str">
        <f t="shared" si="169"/>
        <v>Ok</v>
      </c>
      <c r="AE857" t="str">
        <f>IF(AND(Audit_Data[[#This Row],[Year_Birth]]&gt;=1900,Audit_Data[[#This Row],[Year_Birth]]&lt;=2010),"OK","Invalid")</f>
        <v>OK</v>
      </c>
      <c r="AF857" t="str">
        <f t="shared" si="170"/>
        <v>Valid</v>
      </c>
      <c r="AG857" t="str">
        <f t="shared" si="171"/>
        <v>Valid</v>
      </c>
      <c r="AH857" t="str">
        <f t="shared" si="172"/>
        <v>Valid</v>
      </c>
      <c r="AI857" t="str">
        <f t="shared" si="173"/>
        <v>Valid</v>
      </c>
      <c r="AJ857" t="str">
        <f t="shared" si="174"/>
        <v>Valid</v>
      </c>
      <c r="AK857" t="str">
        <f t="shared" si="181"/>
        <v xml:space="preserve">Valid </v>
      </c>
      <c r="AL857" t="str">
        <f>IF(AND(Audit_Data[[#This Row],[Recency]]&gt;=0,Audit_Data[[#This Row],[Recency]]&lt;=100),"Valid","Invalid")</f>
        <v>Valid</v>
      </c>
      <c r="AM857" t="str">
        <f t="shared" si="175"/>
        <v>Valid</v>
      </c>
      <c r="AN857" t="str">
        <f t="shared" si="176"/>
        <v>Valid</v>
      </c>
      <c r="AO857" t="str">
        <f t="shared" si="177"/>
        <v>Valid</v>
      </c>
      <c r="AP857" t="str">
        <f t="shared" si="178"/>
        <v>Valid</v>
      </c>
      <c r="AQ857" t="str">
        <f>IF(Audit_Data[[#This Row],[Z_CostContact]]=3,"Valid","Invalid")</f>
        <v>Valid</v>
      </c>
      <c r="AR857" t="str">
        <f t="shared" si="179"/>
        <v>Valid</v>
      </c>
      <c r="AS857" t="str">
        <f t="shared" si="180"/>
        <v>Valid</v>
      </c>
    </row>
    <row r="858" spans="1:45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 t="str">
        <f t="shared" si="169"/>
        <v>Ok</v>
      </c>
      <c r="AE858" t="str">
        <f>IF(AND(Audit_Data[[#This Row],[Year_Birth]]&gt;=1900,Audit_Data[[#This Row],[Year_Birth]]&lt;=2010),"OK","Invalid")</f>
        <v>OK</v>
      </c>
      <c r="AF858" t="str">
        <f t="shared" si="170"/>
        <v>Valid</v>
      </c>
      <c r="AG858" t="str">
        <f t="shared" si="171"/>
        <v>Valid</v>
      </c>
      <c r="AH858" t="str">
        <f t="shared" si="172"/>
        <v>Valid</v>
      </c>
      <c r="AI858" t="str">
        <f t="shared" si="173"/>
        <v>Valid</v>
      </c>
      <c r="AJ858" t="str">
        <f t="shared" si="174"/>
        <v>Valid</v>
      </c>
      <c r="AK858" t="str">
        <f t="shared" si="181"/>
        <v xml:space="preserve">Valid </v>
      </c>
      <c r="AL858" t="str">
        <f>IF(AND(Audit_Data[[#This Row],[Recency]]&gt;=0,Audit_Data[[#This Row],[Recency]]&lt;=100),"Valid","Invalid")</f>
        <v>Valid</v>
      </c>
      <c r="AM858" t="str">
        <f t="shared" si="175"/>
        <v>Valid</v>
      </c>
      <c r="AN858" t="str">
        <f t="shared" si="176"/>
        <v>Valid</v>
      </c>
      <c r="AO858" t="str">
        <f t="shared" si="177"/>
        <v>Valid</v>
      </c>
      <c r="AP858" t="str">
        <f t="shared" si="178"/>
        <v>Valid</v>
      </c>
      <c r="AQ858" t="str">
        <f>IF(Audit_Data[[#This Row],[Z_CostContact]]=3,"Valid","Invalid")</f>
        <v>Valid</v>
      </c>
      <c r="AR858" t="str">
        <f t="shared" si="179"/>
        <v>Valid</v>
      </c>
      <c r="AS858" t="str">
        <f t="shared" si="180"/>
        <v>Valid</v>
      </c>
    </row>
    <row r="859" spans="1:45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 t="str">
        <f t="shared" si="169"/>
        <v>Ok</v>
      </c>
      <c r="AE859" t="str">
        <f>IF(AND(Audit_Data[[#This Row],[Year_Birth]]&gt;=1900,Audit_Data[[#This Row],[Year_Birth]]&lt;=2010),"OK","Invalid")</f>
        <v>OK</v>
      </c>
      <c r="AF859" t="str">
        <f t="shared" si="170"/>
        <v>Valid</v>
      </c>
      <c r="AG859" t="str">
        <f t="shared" si="171"/>
        <v>Valid</v>
      </c>
      <c r="AH859" t="str">
        <f t="shared" si="172"/>
        <v>Valid</v>
      </c>
      <c r="AI859" t="str">
        <f t="shared" si="173"/>
        <v>Valid</v>
      </c>
      <c r="AJ859" t="str">
        <f t="shared" si="174"/>
        <v>Valid</v>
      </c>
      <c r="AK859" t="str">
        <f t="shared" si="181"/>
        <v xml:space="preserve">Valid </v>
      </c>
      <c r="AL859" t="str">
        <f>IF(AND(Audit_Data[[#This Row],[Recency]]&gt;=0,Audit_Data[[#This Row],[Recency]]&lt;=100),"Valid","Invalid")</f>
        <v>Valid</v>
      </c>
      <c r="AM859" t="str">
        <f t="shared" si="175"/>
        <v>Valid</v>
      </c>
      <c r="AN859" t="str">
        <f t="shared" si="176"/>
        <v>Valid</v>
      </c>
      <c r="AO859" t="str">
        <f t="shared" si="177"/>
        <v>Valid</v>
      </c>
      <c r="AP859" t="str">
        <f t="shared" si="178"/>
        <v>Valid</v>
      </c>
      <c r="AQ859" t="str">
        <f>IF(Audit_Data[[#This Row],[Z_CostContact]]=3,"Valid","Invalid")</f>
        <v>Valid</v>
      </c>
      <c r="AR859" t="str">
        <f t="shared" si="179"/>
        <v>Valid</v>
      </c>
      <c r="AS859" t="str">
        <f t="shared" si="180"/>
        <v>Valid</v>
      </c>
    </row>
    <row r="860" spans="1:45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 t="str">
        <f t="shared" si="169"/>
        <v>Ok</v>
      </c>
      <c r="AE860" t="str">
        <f>IF(AND(Audit_Data[[#This Row],[Year_Birth]]&gt;=1900,Audit_Data[[#This Row],[Year_Birth]]&lt;=2010),"OK","Invalid")</f>
        <v>OK</v>
      </c>
      <c r="AF860" t="str">
        <f t="shared" si="170"/>
        <v>Valid</v>
      </c>
      <c r="AG860" t="str">
        <f t="shared" si="171"/>
        <v>Valid</v>
      </c>
      <c r="AH860" t="str">
        <f t="shared" si="172"/>
        <v>Valid</v>
      </c>
      <c r="AI860" t="str">
        <f t="shared" si="173"/>
        <v>Valid</v>
      </c>
      <c r="AJ860" t="str">
        <f t="shared" si="174"/>
        <v>Valid</v>
      </c>
      <c r="AK860" t="str">
        <f t="shared" si="181"/>
        <v xml:space="preserve">Valid </v>
      </c>
      <c r="AL860" t="str">
        <f>IF(AND(Audit_Data[[#This Row],[Recency]]&gt;=0,Audit_Data[[#This Row],[Recency]]&lt;=100),"Valid","Invalid")</f>
        <v>Valid</v>
      </c>
      <c r="AM860" t="str">
        <f t="shared" si="175"/>
        <v>Valid</v>
      </c>
      <c r="AN860" t="str">
        <f t="shared" si="176"/>
        <v>Valid</v>
      </c>
      <c r="AO860" t="str">
        <f t="shared" si="177"/>
        <v>Valid</v>
      </c>
      <c r="AP860" t="str">
        <f t="shared" si="178"/>
        <v>Valid</v>
      </c>
      <c r="AQ860" t="str">
        <f>IF(Audit_Data[[#This Row],[Z_CostContact]]=3,"Valid","Invalid")</f>
        <v>Valid</v>
      </c>
      <c r="AR860" t="str">
        <f t="shared" si="179"/>
        <v>Valid</v>
      </c>
      <c r="AS860" t="str">
        <f t="shared" si="180"/>
        <v>Valid</v>
      </c>
    </row>
    <row r="861" spans="1:45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 t="str">
        <f t="shared" si="169"/>
        <v>Ok</v>
      </c>
      <c r="AE861" t="str">
        <f>IF(AND(Audit_Data[[#This Row],[Year_Birth]]&gt;=1900,Audit_Data[[#This Row],[Year_Birth]]&lt;=2010),"OK","Invalid")</f>
        <v>OK</v>
      </c>
      <c r="AF861" t="str">
        <f t="shared" si="170"/>
        <v>Valid</v>
      </c>
      <c r="AG861" t="str">
        <f t="shared" si="171"/>
        <v>Valid</v>
      </c>
      <c r="AH861" t="str">
        <f t="shared" si="172"/>
        <v>Valid</v>
      </c>
      <c r="AI861" t="str">
        <f t="shared" si="173"/>
        <v>Valid</v>
      </c>
      <c r="AJ861" t="str">
        <f t="shared" si="174"/>
        <v>Valid</v>
      </c>
      <c r="AK861" t="str">
        <f t="shared" si="181"/>
        <v xml:space="preserve">Valid </v>
      </c>
      <c r="AL861" t="str">
        <f>IF(AND(Audit_Data[[#This Row],[Recency]]&gt;=0,Audit_Data[[#This Row],[Recency]]&lt;=100),"Valid","Invalid")</f>
        <v>Valid</v>
      </c>
      <c r="AM861" t="str">
        <f t="shared" si="175"/>
        <v>Valid</v>
      </c>
      <c r="AN861" t="str">
        <f t="shared" si="176"/>
        <v>Valid</v>
      </c>
      <c r="AO861" t="str">
        <f t="shared" si="177"/>
        <v>Valid</v>
      </c>
      <c r="AP861" t="str">
        <f t="shared" si="178"/>
        <v>Valid</v>
      </c>
      <c r="AQ861" t="str">
        <f>IF(Audit_Data[[#This Row],[Z_CostContact]]=3,"Valid","Invalid")</f>
        <v>Valid</v>
      </c>
      <c r="AR861" t="str">
        <f t="shared" si="179"/>
        <v>Valid</v>
      </c>
      <c r="AS861" t="str">
        <f t="shared" si="180"/>
        <v>Valid</v>
      </c>
    </row>
    <row r="862" spans="1:45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 t="str">
        <f t="shared" si="169"/>
        <v>Ok</v>
      </c>
      <c r="AE862" t="str">
        <f>IF(AND(Audit_Data[[#This Row],[Year_Birth]]&gt;=1900,Audit_Data[[#This Row],[Year_Birth]]&lt;=2010),"OK","Invalid")</f>
        <v>OK</v>
      </c>
      <c r="AF862" t="str">
        <f t="shared" si="170"/>
        <v>Valid</v>
      </c>
      <c r="AG862" t="str">
        <f t="shared" si="171"/>
        <v>Valid</v>
      </c>
      <c r="AH862" t="str">
        <f t="shared" si="172"/>
        <v>Valid</v>
      </c>
      <c r="AI862" t="str">
        <f t="shared" si="173"/>
        <v>Valid</v>
      </c>
      <c r="AJ862" t="str">
        <f t="shared" si="174"/>
        <v>Valid</v>
      </c>
      <c r="AK862" t="str">
        <f t="shared" si="181"/>
        <v xml:space="preserve">Valid </v>
      </c>
      <c r="AL862" t="str">
        <f>IF(AND(Audit_Data[[#This Row],[Recency]]&gt;=0,Audit_Data[[#This Row],[Recency]]&lt;=100),"Valid","Invalid")</f>
        <v>Valid</v>
      </c>
      <c r="AM862" t="str">
        <f t="shared" si="175"/>
        <v>Valid</v>
      </c>
      <c r="AN862" t="str">
        <f t="shared" si="176"/>
        <v>Valid</v>
      </c>
      <c r="AO862" t="str">
        <f t="shared" si="177"/>
        <v>Valid</v>
      </c>
      <c r="AP862" t="str">
        <f t="shared" si="178"/>
        <v>Valid</v>
      </c>
      <c r="AQ862" t="str">
        <f>IF(Audit_Data[[#This Row],[Z_CostContact]]=3,"Valid","Invalid")</f>
        <v>Valid</v>
      </c>
      <c r="AR862" t="str">
        <f t="shared" si="179"/>
        <v>Valid</v>
      </c>
      <c r="AS862" t="str">
        <f t="shared" si="180"/>
        <v>Valid</v>
      </c>
    </row>
    <row r="863" spans="1:45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 t="str">
        <f t="shared" si="169"/>
        <v>Ok</v>
      </c>
      <c r="AE863" t="str">
        <f>IF(AND(Audit_Data[[#This Row],[Year_Birth]]&gt;=1900,Audit_Data[[#This Row],[Year_Birth]]&lt;=2010),"OK","Invalid")</f>
        <v>OK</v>
      </c>
      <c r="AF863" t="str">
        <f t="shared" si="170"/>
        <v>Valid</v>
      </c>
      <c r="AG863" t="str">
        <f t="shared" si="171"/>
        <v>Valid</v>
      </c>
      <c r="AH863" t="str">
        <f t="shared" si="172"/>
        <v>Valid</v>
      </c>
      <c r="AI863" t="str">
        <f t="shared" si="173"/>
        <v>Valid</v>
      </c>
      <c r="AJ863" t="str">
        <f t="shared" si="174"/>
        <v>Valid</v>
      </c>
      <c r="AK863" t="str">
        <f t="shared" si="181"/>
        <v xml:space="preserve">Valid </v>
      </c>
      <c r="AL863" t="str">
        <f>IF(AND(Audit_Data[[#This Row],[Recency]]&gt;=0,Audit_Data[[#This Row],[Recency]]&lt;=100),"Valid","Invalid")</f>
        <v>Valid</v>
      </c>
      <c r="AM863" t="str">
        <f t="shared" si="175"/>
        <v>Valid</v>
      </c>
      <c r="AN863" t="str">
        <f t="shared" si="176"/>
        <v>Valid</v>
      </c>
      <c r="AO863" t="str">
        <f t="shared" si="177"/>
        <v>Valid</v>
      </c>
      <c r="AP863" t="str">
        <f t="shared" si="178"/>
        <v>Valid</v>
      </c>
      <c r="AQ863" t="str">
        <f>IF(Audit_Data[[#This Row],[Z_CostContact]]=3,"Valid","Invalid")</f>
        <v>Valid</v>
      </c>
      <c r="AR863" t="str">
        <f t="shared" si="179"/>
        <v>Valid</v>
      </c>
      <c r="AS863" t="str">
        <f t="shared" si="180"/>
        <v>Valid</v>
      </c>
    </row>
    <row r="864" spans="1:45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 t="str">
        <f t="shared" si="169"/>
        <v>Ok</v>
      </c>
      <c r="AE864" t="str">
        <f>IF(AND(Audit_Data[[#This Row],[Year_Birth]]&gt;=1900,Audit_Data[[#This Row],[Year_Birth]]&lt;=2010),"OK","Invalid")</f>
        <v>OK</v>
      </c>
      <c r="AF864" t="str">
        <f t="shared" si="170"/>
        <v>Valid</v>
      </c>
      <c r="AG864" t="str">
        <f t="shared" si="171"/>
        <v>Valid</v>
      </c>
      <c r="AH864" t="str">
        <f t="shared" si="172"/>
        <v>Valid</v>
      </c>
      <c r="AI864" t="str">
        <f t="shared" si="173"/>
        <v>Valid</v>
      </c>
      <c r="AJ864" t="str">
        <f t="shared" si="174"/>
        <v>Valid</v>
      </c>
      <c r="AK864" t="str">
        <f t="shared" si="181"/>
        <v xml:space="preserve">Valid </v>
      </c>
      <c r="AL864" t="str">
        <f>IF(AND(Audit_Data[[#This Row],[Recency]]&gt;=0,Audit_Data[[#This Row],[Recency]]&lt;=100),"Valid","Invalid")</f>
        <v>Valid</v>
      </c>
      <c r="AM864" t="str">
        <f t="shared" si="175"/>
        <v>Valid</v>
      </c>
      <c r="AN864" t="str">
        <f t="shared" si="176"/>
        <v>Valid</v>
      </c>
      <c r="AO864" t="str">
        <f t="shared" si="177"/>
        <v>Valid</v>
      </c>
      <c r="AP864" t="str">
        <f t="shared" si="178"/>
        <v>Valid</v>
      </c>
      <c r="AQ864" t="str">
        <f>IF(Audit_Data[[#This Row],[Z_CostContact]]=3,"Valid","Invalid")</f>
        <v>Valid</v>
      </c>
      <c r="AR864" t="str">
        <f t="shared" si="179"/>
        <v>Valid</v>
      </c>
      <c r="AS864" t="str">
        <f t="shared" si="180"/>
        <v>Valid</v>
      </c>
    </row>
    <row r="865" spans="1:45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 t="str">
        <f t="shared" si="169"/>
        <v>Ok</v>
      </c>
      <c r="AE865" t="str">
        <f>IF(AND(Audit_Data[[#This Row],[Year_Birth]]&gt;=1900,Audit_Data[[#This Row],[Year_Birth]]&lt;=2010),"OK","Invalid")</f>
        <v>OK</v>
      </c>
      <c r="AF865" t="str">
        <f t="shared" si="170"/>
        <v>Valid</v>
      </c>
      <c r="AG865" t="str">
        <f t="shared" si="171"/>
        <v>Valid</v>
      </c>
      <c r="AH865" t="str">
        <f t="shared" si="172"/>
        <v>Valid</v>
      </c>
      <c r="AI865" t="str">
        <f t="shared" si="173"/>
        <v>Valid</v>
      </c>
      <c r="AJ865" t="str">
        <f t="shared" si="174"/>
        <v>Valid</v>
      </c>
      <c r="AK865" t="str">
        <f t="shared" si="181"/>
        <v xml:space="preserve">Valid </v>
      </c>
      <c r="AL865" t="str">
        <f>IF(AND(Audit_Data[[#This Row],[Recency]]&gt;=0,Audit_Data[[#This Row],[Recency]]&lt;=100),"Valid","Invalid")</f>
        <v>Valid</v>
      </c>
      <c r="AM865" t="str">
        <f t="shared" si="175"/>
        <v>Valid</v>
      </c>
      <c r="AN865" t="str">
        <f t="shared" si="176"/>
        <v>Valid</v>
      </c>
      <c r="AO865" t="str">
        <f t="shared" si="177"/>
        <v>Valid</v>
      </c>
      <c r="AP865" t="str">
        <f t="shared" si="178"/>
        <v>Valid</v>
      </c>
      <c r="AQ865" t="str">
        <f>IF(Audit_Data[[#This Row],[Z_CostContact]]=3,"Valid","Invalid")</f>
        <v>Valid</v>
      </c>
      <c r="AR865" t="str">
        <f t="shared" si="179"/>
        <v>Valid</v>
      </c>
      <c r="AS865" t="str">
        <f t="shared" si="180"/>
        <v>Valid</v>
      </c>
    </row>
    <row r="866" spans="1:45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 t="str">
        <f t="shared" si="169"/>
        <v>Ok</v>
      </c>
      <c r="AE866" t="str">
        <f>IF(AND(Audit_Data[[#This Row],[Year_Birth]]&gt;=1900,Audit_Data[[#This Row],[Year_Birth]]&lt;=2010),"OK","Invalid")</f>
        <v>OK</v>
      </c>
      <c r="AF866" t="str">
        <f t="shared" si="170"/>
        <v>Valid</v>
      </c>
      <c r="AG866" t="str">
        <f t="shared" si="171"/>
        <v>Valid</v>
      </c>
      <c r="AH866" t="str">
        <f t="shared" si="172"/>
        <v>Valid</v>
      </c>
      <c r="AI866" t="str">
        <f t="shared" si="173"/>
        <v>Valid</v>
      </c>
      <c r="AJ866" t="str">
        <f t="shared" si="174"/>
        <v>Valid</v>
      </c>
      <c r="AK866" t="str">
        <f t="shared" si="181"/>
        <v xml:space="preserve">Valid </v>
      </c>
      <c r="AL866" t="str">
        <f>IF(AND(Audit_Data[[#This Row],[Recency]]&gt;=0,Audit_Data[[#This Row],[Recency]]&lt;=100),"Valid","Invalid")</f>
        <v>Valid</v>
      </c>
      <c r="AM866" t="str">
        <f t="shared" si="175"/>
        <v>Valid</v>
      </c>
      <c r="AN866" t="str">
        <f t="shared" si="176"/>
        <v>Valid</v>
      </c>
      <c r="AO866" t="str">
        <f t="shared" si="177"/>
        <v>Valid</v>
      </c>
      <c r="AP866" t="str">
        <f t="shared" si="178"/>
        <v>Valid</v>
      </c>
      <c r="AQ866" t="str">
        <f>IF(Audit_Data[[#This Row],[Z_CostContact]]=3,"Valid","Invalid")</f>
        <v>Valid</v>
      </c>
      <c r="AR866" t="str">
        <f t="shared" si="179"/>
        <v>Valid</v>
      </c>
      <c r="AS866" t="str">
        <f t="shared" si="180"/>
        <v>Valid</v>
      </c>
    </row>
    <row r="867" spans="1:45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 t="str">
        <f t="shared" si="169"/>
        <v>Ok</v>
      </c>
      <c r="AE867" t="str">
        <f>IF(AND(Audit_Data[[#This Row],[Year_Birth]]&gt;=1900,Audit_Data[[#This Row],[Year_Birth]]&lt;=2010),"OK","Invalid")</f>
        <v>OK</v>
      </c>
      <c r="AF867" t="str">
        <f t="shared" si="170"/>
        <v>Valid</v>
      </c>
      <c r="AG867" t="str">
        <f t="shared" si="171"/>
        <v>Valid</v>
      </c>
      <c r="AH867" t="str">
        <f t="shared" si="172"/>
        <v>Valid</v>
      </c>
      <c r="AI867" t="str">
        <f t="shared" si="173"/>
        <v>Valid</v>
      </c>
      <c r="AJ867" t="str">
        <f t="shared" si="174"/>
        <v>Valid</v>
      </c>
      <c r="AK867" t="str">
        <f t="shared" si="181"/>
        <v xml:space="preserve">Valid </v>
      </c>
      <c r="AL867" t="str">
        <f>IF(AND(Audit_Data[[#This Row],[Recency]]&gt;=0,Audit_Data[[#This Row],[Recency]]&lt;=100),"Valid","Invalid")</f>
        <v>Valid</v>
      </c>
      <c r="AM867" t="str">
        <f t="shared" si="175"/>
        <v>Valid</v>
      </c>
      <c r="AN867" t="str">
        <f t="shared" si="176"/>
        <v>Valid</v>
      </c>
      <c r="AO867" t="str">
        <f t="shared" si="177"/>
        <v>Valid</v>
      </c>
      <c r="AP867" t="str">
        <f t="shared" si="178"/>
        <v>Valid</v>
      </c>
      <c r="AQ867" t="str">
        <f>IF(Audit_Data[[#This Row],[Z_CostContact]]=3,"Valid","Invalid")</f>
        <v>Valid</v>
      </c>
      <c r="AR867" t="str">
        <f t="shared" si="179"/>
        <v>Valid</v>
      </c>
      <c r="AS867" t="str">
        <f t="shared" si="180"/>
        <v>Valid</v>
      </c>
    </row>
    <row r="868" spans="1:45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 t="str">
        <f t="shared" si="169"/>
        <v>Ok</v>
      </c>
      <c r="AE868" t="str">
        <f>IF(AND(Audit_Data[[#This Row],[Year_Birth]]&gt;=1900,Audit_Data[[#This Row],[Year_Birth]]&lt;=2010),"OK","Invalid")</f>
        <v>OK</v>
      </c>
      <c r="AF868" t="str">
        <f t="shared" si="170"/>
        <v>Valid</v>
      </c>
      <c r="AG868" t="str">
        <f t="shared" si="171"/>
        <v>Valid</v>
      </c>
      <c r="AH868" t="str">
        <f t="shared" si="172"/>
        <v>Valid</v>
      </c>
      <c r="AI868" t="str">
        <f t="shared" si="173"/>
        <v>Valid</v>
      </c>
      <c r="AJ868" t="str">
        <f t="shared" si="174"/>
        <v>Valid</v>
      </c>
      <c r="AK868" t="str">
        <f t="shared" si="181"/>
        <v xml:space="preserve">Valid </v>
      </c>
      <c r="AL868" t="str">
        <f>IF(AND(Audit_Data[[#This Row],[Recency]]&gt;=0,Audit_Data[[#This Row],[Recency]]&lt;=100),"Valid","Invalid")</f>
        <v>Valid</v>
      </c>
      <c r="AM868" t="str">
        <f t="shared" si="175"/>
        <v>Valid</v>
      </c>
      <c r="AN868" t="str">
        <f t="shared" si="176"/>
        <v>Valid</v>
      </c>
      <c r="AO868" t="str">
        <f t="shared" si="177"/>
        <v>Valid</v>
      </c>
      <c r="AP868" t="str">
        <f t="shared" si="178"/>
        <v>Valid</v>
      </c>
      <c r="AQ868" t="str">
        <f>IF(Audit_Data[[#This Row],[Z_CostContact]]=3,"Valid","Invalid")</f>
        <v>Valid</v>
      </c>
      <c r="AR868" t="str">
        <f t="shared" si="179"/>
        <v>Valid</v>
      </c>
      <c r="AS868" t="str">
        <f t="shared" si="180"/>
        <v>Valid</v>
      </c>
    </row>
    <row r="869" spans="1:45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 t="str">
        <f t="shared" si="169"/>
        <v>Ok</v>
      </c>
      <c r="AE869" t="str">
        <f>IF(AND(Audit_Data[[#This Row],[Year_Birth]]&gt;=1900,Audit_Data[[#This Row],[Year_Birth]]&lt;=2010),"OK","Invalid")</f>
        <v>OK</v>
      </c>
      <c r="AF869" t="str">
        <f t="shared" si="170"/>
        <v>Valid</v>
      </c>
      <c r="AG869" t="str">
        <f t="shared" si="171"/>
        <v>Valid</v>
      </c>
      <c r="AH869" t="str">
        <f t="shared" si="172"/>
        <v>Valid</v>
      </c>
      <c r="AI869" t="str">
        <f t="shared" si="173"/>
        <v>Valid</v>
      </c>
      <c r="AJ869" t="str">
        <f t="shared" si="174"/>
        <v>Valid</v>
      </c>
      <c r="AK869" t="str">
        <f t="shared" si="181"/>
        <v xml:space="preserve">Valid </v>
      </c>
      <c r="AL869" t="str">
        <f>IF(AND(Audit_Data[[#This Row],[Recency]]&gt;=0,Audit_Data[[#This Row],[Recency]]&lt;=100),"Valid","Invalid")</f>
        <v>Valid</v>
      </c>
      <c r="AM869" t="str">
        <f t="shared" si="175"/>
        <v>Valid</v>
      </c>
      <c r="AN869" t="str">
        <f t="shared" si="176"/>
        <v>Valid</v>
      </c>
      <c r="AO869" t="str">
        <f t="shared" si="177"/>
        <v>Valid</v>
      </c>
      <c r="AP869" t="str">
        <f t="shared" si="178"/>
        <v>Valid</v>
      </c>
      <c r="AQ869" t="str">
        <f>IF(Audit_Data[[#This Row],[Z_CostContact]]=3,"Valid","Invalid")</f>
        <v>Valid</v>
      </c>
      <c r="AR869" t="str">
        <f t="shared" si="179"/>
        <v>Valid</v>
      </c>
      <c r="AS869" t="str">
        <f t="shared" si="180"/>
        <v>Valid</v>
      </c>
    </row>
    <row r="870" spans="1:45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 t="str">
        <f t="shared" si="169"/>
        <v>Ok</v>
      </c>
      <c r="AE870" t="str">
        <f>IF(AND(Audit_Data[[#This Row],[Year_Birth]]&gt;=1900,Audit_Data[[#This Row],[Year_Birth]]&lt;=2010),"OK","Invalid")</f>
        <v>OK</v>
      </c>
      <c r="AF870" t="str">
        <f t="shared" si="170"/>
        <v>Valid</v>
      </c>
      <c r="AG870" t="str">
        <f t="shared" si="171"/>
        <v>Valid</v>
      </c>
      <c r="AH870" t="str">
        <f t="shared" si="172"/>
        <v>Valid</v>
      </c>
      <c r="AI870" t="str">
        <f t="shared" si="173"/>
        <v>Valid</v>
      </c>
      <c r="AJ870" t="str">
        <f t="shared" si="174"/>
        <v>Valid</v>
      </c>
      <c r="AK870" t="str">
        <f t="shared" si="181"/>
        <v xml:space="preserve">Valid </v>
      </c>
      <c r="AL870" t="str">
        <f>IF(AND(Audit_Data[[#This Row],[Recency]]&gt;=0,Audit_Data[[#This Row],[Recency]]&lt;=100),"Valid","Invalid")</f>
        <v>Valid</v>
      </c>
      <c r="AM870" t="str">
        <f t="shared" si="175"/>
        <v>Valid</v>
      </c>
      <c r="AN870" t="str">
        <f t="shared" si="176"/>
        <v>Valid</v>
      </c>
      <c r="AO870" t="str">
        <f t="shared" si="177"/>
        <v>Valid</v>
      </c>
      <c r="AP870" t="str">
        <f t="shared" si="178"/>
        <v>Valid</v>
      </c>
      <c r="AQ870" t="str">
        <f>IF(Audit_Data[[#This Row],[Z_CostContact]]=3,"Valid","Invalid")</f>
        <v>Valid</v>
      </c>
      <c r="AR870" t="str">
        <f t="shared" si="179"/>
        <v>Valid</v>
      </c>
      <c r="AS870" t="str">
        <f t="shared" si="180"/>
        <v>Valid</v>
      </c>
    </row>
    <row r="871" spans="1:45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 t="str">
        <f t="shared" si="169"/>
        <v>Ok</v>
      </c>
      <c r="AE871" t="str">
        <f>IF(AND(Audit_Data[[#This Row],[Year_Birth]]&gt;=1900,Audit_Data[[#This Row],[Year_Birth]]&lt;=2010),"OK","Invalid")</f>
        <v>OK</v>
      </c>
      <c r="AF871" t="str">
        <f t="shared" si="170"/>
        <v>Valid</v>
      </c>
      <c r="AG871" t="str">
        <f t="shared" si="171"/>
        <v>Valid</v>
      </c>
      <c r="AH871" t="str">
        <f t="shared" si="172"/>
        <v>Valid</v>
      </c>
      <c r="AI871" t="str">
        <f t="shared" si="173"/>
        <v>Valid</v>
      </c>
      <c r="AJ871" t="str">
        <f t="shared" si="174"/>
        <v>Valid</v>
      </c>
      <c r="AK871" t="str">
        <f t="shared" si="181"/>
        <v xml:space="preserve">Valid </v>
      </c>
      <c r="AL871" t="str">
        <f>IF(AND(Audit_Data[[#This Row],[Recency]]&gt;=0,Audit_Data[[#This Row],[Recency]]&lt;=100),"Valid","Invalid")</f>
        <v>Valid</v>
      </c>
      <c r="AM871" t="str">
        <f t="shared" si="175"/>
        <v>Valid</v>
      </c>
      <c r="AN871" t="str">
        <f t="shared" si="176"/>
        <v>Valid</v>
      </c>
      <c r="AO871" t="str">
        <f t="shared" si="177"/>
        <v>Valid</v>
      </c>
      <c r="AP871" t="str">
        <f t="shared" si="178"/>
        <v>Valid</v>
      </c>
      <c r="AQ871" t="str">
        <f>IF(Audit_Data[[#This Row],[Z_CostContact]]=3,"Valid","Invalid")</f>
        <v>Valid</v>
      </c>
      <c r="AR871" t="str">
        <f t="shared" si="179"/>
        <v>Valid</v>
      </c>
      <c r="AS871" t="str">
        <f t="shared" si="180"/>
        <v>Valid</v>
      </c>
    </row>
    <row r="872" spans="1:45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 t="str">
        <f t="shared" si="169"/>
        <v>Ok</v>
      </c>
      <c r="AE872" t="str">
        <f>IF(AND(Audit_Data[[#This Row],[Year_Birth]]&gt;=1900,Audit_Data[[#This Row],[Year_Birth]]&lt;=2010),"OK","Invalid")</f>
        <v>OK</v>
      </c>
      <c r="AF872" t="str">
        <f t="shared" si="170"/>
        <v>Valid</v>
      </c>
      <c r="AG872" t="str">
        <f t="shared" si="171"/>
        <v>Valid</v>
      </c>
      <c r="AH872" t="str">
        <f t="shared" si="172"/>
        <v>Valid</v>
      </c>
      <c r="AI872" t="str">
        <f t="shared" si="173"/>
        <v>Valid</v>
      </c>
      <c r="AJ872" t="str">
        <f t="shared" si="174"/>
        <v>Valid</v>
      </c>
      <c r="AK872" t="str">
        <f t="shared" si="181"/>
        <v xml:space="preserve">Valid </v>
      </c>
      <c r="AL872" t="str">
        <f>IF(AND(Audit_Data[[#This Row],[Recency]]&gt;=0,Audit_Data[[#This Row],[Recency]]&lt;=100),"Valid","Invalid")</f>
        <v>Valid</v>
      </c>
      <c r="AM872" t="str">
        <f t="shared" si="175"/>
        <v>Valid</v>
      </c>
      <c r="AN872" t="str">
        <f t="shared" si="176"/>
        <v>Valid</v>
      </c>
      <c r="AO872" t="str">
        <f t="shared" si="177"/>
        <v>Valid</v>
      </c>
      <c r="AP872" t="str">
        <f t="shared" si="178"/>
        <v>Valid</v>
      </c>
      <c r="AQ872" t="str">
        <f>IF(Audit_Data[[#This Row],[Z_CostContact]]=3,"Valid","Invalid")</f>
        <v>Valid</v>
      </c>
      <c r="AR872" t="str">
        <f t="shared" si="179"/>
        <v>Valid</v>
      </c>
      <c r="AS872" t="str">
        <f t="shared" si="180"/>
        <v>Valid</v>
      </c>
    </row>
    <row r="873" spans="1:45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 t="str">
        <f t="shared" si="169"/>
        <v>Ok</v>
      </c>
      <c r="AE873" t="str">
        <f>IF(AND(Audit_Data[[#This Row],[Year_Birth]]&gt;=1900,Audit_Data[[#This Row],[Year_Birth]]&lt;=2010),"OK","Invalid")</f>
        <v>OK</v>
      </c>
      <c r="AF873" t="str">
        <f t="shared" si="170"/>
        <v>Valid</v>
      </c>
      <c r="AG873" t="str">
        <f t="shared" si="171"/>
        <v>Valid</v>
      </c>
      <c r="AH873" t="str">
        <f t="shared" si="172"/>
        <v>Valid</v>
      </c>
      <c r="AI873" t="str">
        <f t="shared" si="173"/>
        <v>Valid</v>
      </c>
      <c r="AJ873" t="str">
        <f t="shared" si="174"/>
        <v>Valid</v>
      </c>
      <c r="AK873" t="str">
        <f t="shared" si="181"/>
        <v xml:space="preserve">Valid </v>
      </c>
      <c r="AL873" t="str">
        <f>IF(AND(Audit_Data[[#This Row],[Recency]]&gt;=0,Audit_Data[[#This Row],[Recency]]&lt;=100),"Valid","Invalid")</f>
        <v>Valid</v>
      </c>
      <c r="AM873" t="str">
        <f t="shared" si="175"/>
        <v>Valid</v>
      </c>
      <c r="AN873" t="str">
        <f t="shared" si="176"/>
        <v>Valid</v>
      </c>
      <c r="AO873" t="str">
        <f t="shared" si="177"/>
        <v>Valid</v>
      </c>
      <c r="AP873" t="str">
        <f t="shared" si="178"/>
        <v>Valid</v>
      </c>
      <c r="AQ873" t="str">
        <f>IF(Audit_Data[[#This Row],[Z_CostContact]]=3,"Valid","Invalid")</f>
        <v>Valid</v>
      </c>
      <c r="AR873" t="str">
        <f t="shared" si="179"/>
        <v>Valid</v>
      </c>
      <c r="AS873" t="str">
        <f t="shared" si="180"/>
        <v>Valid</v>
      </c>
    </row>
    <row r="874" spans="1:45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 t="str">
        <f t="shared" si="169"/>
        <v>Ok</v>
      </c>
      <c r="AE874" t="str">
        <f>IF(AND(Audit_Data[[#This Row],[Year_Birth]]&gt;=1900,Audit_Data[[#This Row],[Year_Birth]]&lt;=2010),"OK","Invalid")</f>
        <v>OK</v>
      </c>
      <c r="AF874" t="str">
        <f t="shared" si="170"/>
        <v>Valid</v>
      </c>
      <c r="AG874" t="str">
        <f t="shared" si="171"/>
        <v>Valid</v>
      </c>
      <c r="AH874" t="str">
        <f t="shared" si="172"/>
        <v>Valid</v>
      </c>
      <c r="AI874" t="str">
        <f t="shared" si="173"/>
        <v>Valid</v>
      </c>
      <c r="AJ874" t="str">
        <f t="shared" si="174"/>
        <v>Valid</v>
      </c>
      <c r="AK874" t="str">
        <f t="shared" si="181"/>
        <v xml:space="preserve">Valid </v>
      </c>
      <c r="AL874" t="str">
        <f>IF(AND(Audit_Data[[#This Row],[Recency]]&gt;=0,Audit_Data[[#This Row],[Recency]]&lt;=100),"Valid","Invalid")</f>
        <v>Valid</v>
      </c>
      <c r="AM874" t="str">
        <f t="shared" si="175"/>
        <v>Valid</v>
      </c>
      <c r="AN874" t="str">
        <f t="shared" si="176"/>
        <v>Valid</v>
      </c>
      <c r="AO874" t="str">
        <f t="shared" si="177"/>
        <v>Valid</v>
      </c>
      <c r="AP874" t="str">
        <f t="shared" si="178"/>
        <v>Valid</v>
      </c>
      <c r="AQ874" t="str">
        <f>IF(Audit_Data[[#This Row],[Z_CostContact]]=3,"Valid","Invalid")</f>
        <v>Valid</v>
      </c>
      <c r="AR874" t="str">
        <f t="shared" si="179"/>
        <v>Valid</v>
      </c>
      <c r="AS874" t="str">
        <f t="shared" si="180"/>
        <v>Valid</v>
      </c>
    </row>
    <row r="875" spans="1:45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 t="str">
        <f t="shared" si="169"/>
        <v>Ok</v>
      </c>
      <c r="AE875" t="str">
        <f>IF(AND(Audit_Data[[#This Row],[Year_Birth]]&gt;=1900,Audit_Data[[#This Row],[Year_Birth]]&lt;=2010),"OK","Invalid")</f>
        <v>OK</v>
      </c>
      <c r="AF875" t="str">
        <f t="shared" si="170"/>
        <v>Valid</v>
      </c>
      <c r="AG875" t="str">
        <f t="shared" si="171"/>
        <v>Valid</v>
      </c>
      <c r="AH875" t="str">
        <f t="shared" si="172"/>
        <v>Valid</v>
      </c>
      <c r="AI875" t="str">
        <f t="shared" si="173"/>
        <v>Valid</v>
      </c>
      <c r="AJ875" t="str">
        <f t="shared" si="174"/>
        <v>Valid</v>
      </c>
      <c r="AK875" t="str">
        <f t="shared" si="181"/>
        <v xml:space="preserve">Valid </v>
      </c>
      <c r="AL875" t="str">
        <f>IF(AND(Audit_Data[[#This Row],[Recency]]&gt;=0,Audit_Data[[#This Row],[Recency]]&lt;=100),"Valid","Invalid")</f>
        <v>Valid</v>
      </c>
      <c r="AM875" t="str">
        <f t="shared" si="175"/>
        <v>Valid</v>
      </c>
      <c r="AN875" t="str">
        <f t="shared" si="176"/>
        <v>Valid</v>
      </c>
      <c r="AO875" t="str">
        <f t="shared" si="177"/>
        <v>Valid</v>
      </c>
      <c r="AP875" t="str">
        <f t="shared" si="178"/>
        <v>Valid</v>
      </c>
      <c r="AQ875" t="str">
        <f>IF(Audit_Data[[#This Row],[Z_CostContact]]=3,"Valid","Invalid")</f>
        <v>Valid</v>
      </c>
      <c r="AR875" t="str">
        <f t="shared" si="179"/>
        <v>Valid</v>
      </c>
      <c r="AS875" t="str">
        <f t="shared" si="180"/>
        <v>Valid</v>
      </c>
    </row>
    <row r="876" spans="1:45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 t="str">
        <f t="shared" si="169"/>
        <v>Ok</v>
      </c>
      <c r="AE876" t="str">
        <f>IF(AND(Audit_Data[[#This Row],[Year_Birth]]&gt;=1900,Audit_Data[[#This Row],[Year_Birth]]&lt;=2010),"OK","Invalid")</f>
        <v>OK</v>
      </c>
      <c r="AF876" t="str">
        <f t="shared" si="170"/>
        <v>Valid</v>
      </c>
      <c r="AG876" t="str">
        <f t="shared" si="171"/>
        <v>Valid</v>
      </c>
      <c r="AH876" t="str">
        <f t="shared" si="172"/>
        <v>Valid</v>
      </c>
      <c r="AI876" t="str">
        <f t="shared" si="173"/>
        <v>Valid</v>
      </c>
      <c r="AJ876" t="str">
        <f t="shared" si="174"/>
        <v>Valid</v>
      </c>
      <c r="AK876" t="str">
        <f t="shared" si="181"/>
        <v xml:space="preserve">Valid </v>
      </c>
      <c r="AL876" t="str">
        <f>IF(AND(Audit_Data[[#This Row],[Recency]]&gt;=0,Audit_Data[[#This Row],[Recency]]&lt;=100),"Valid","Invalid")</f>
        <v>Valid</v>
      </c>
      <c r="AM876" t="str">
        <f t="shared" si="175"/>
        <v>Valid</v>
      </c>
      <c r="AN876" t="str">
        <f t="shared" si="176"/>
        <v>Valid</v>
      </c>
      <c r="AO876" t="str">
        <f t="shared" si="177"/>
        <v>Valid</v>
      </c>
      <c r="AP876" t="str">
        <f t="shared" si="178"/>
        <v>Valid</v>
      </c>
      <c r="AQ876" t="str">
        <f>IF(Audit_Data[[#This Row],[Z_CostContact]]=3,"Valid","Invalid")</f>
        <v>Valid</v>
      </c>
      <c r="AR876" t="str">
        <f t="shared" si="179"/>
        <v>Valid</v>
      </c>
      <c r="AS876" t="str">
        <f t="shared" si="180"/>
        <v>Valid</v>
      </c>
    </row>
    <row r="877" spans="1:45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 t="str">
        <f t="shared" si="169"/>
        <v>Ok</v>
      </c>
      <c r="AE877" t="str">
        <f>IF(AND(Audit_Data[[#This Row],[Year_Birth]]&gt;=1900,Audit_Data[[#This Row],[Year_Birth]]&lt;=2010),"OK","Invalid")</f>
        <v>OK</v>
      </c>
      <c r="AF877" t="str">
        <f t="shared" si="170"/>
        <v>Valid</v>
      </c>
      <c r="AG877" t="str">
        <f t="shared" si="171"/>
        <v>Valid</v>
      </c>
      <c r="AH877" t="str">
        <f t="shared" si="172"/>
        <v>Valid</v>
      </c>
      <c r="AI877" t="str">
        <f t="shared" si="173"/>
        <v>Valid</v>
      </c>
      <c r="AJ877" t="str">
        <f t="shared" si="174"/>
        <v>Valid</v>
      </c>
      <c r="AK877" t="str">
        <f t="shared" si="181"/>
        <v xml:space="preserve">Valid </v>
      </c>
      <c r="AL877" t="str">
        <f>IF(AND(Audit_Data[[#This Row],[Recency]]&gt;=0,Audit_Data[[#This Row],[Recency]]&lt;=100),"Valid","Invalid")</f>
        <v>Valid</v>
      </c>
      <c r="AM877" t="str">
        <f t="shared" si="175"/>
        <v>Valid</v>
      </c>
      <c r="AN877" t="str">
        <f t="shared" si="176"/>
        <v>Valid</v>
      </c>
      <c r="AO877" t="str">
        <f t="shared" si="177"/>
        <v>Valid</v>
      </c>
      <c r="AP877" t="str">
        <f t="shared" si="178"/>
        <v>Valid</v>
      </c>
      <c r="AQ877" t="str">
        <f>IF(Audit_Data[[#This Row],[Z_CostContact]]=3,"Valid","Invalid")</f>
        <v>Valid</v>
      </c>
      <c r="AR877" t="str">
        <f t="shared" si="179"/>
        <v>Valid</v>
      </c>
      <c r="AS877" t="str">
        <f t="shared" si="180"/>
        <v>Valid</v>
      </c>
    </row>
    <row r="878" spans="1:45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 t="str">
        <f t="shared" si="169"/>
        <v>Ok</v>
      </c>
      <c r="AE878" t="str">
        <f>IF(AND(Audit_Data[[#This Row],[Year_Birth]]&gt;=1900,Audit_Data[[#This Row],[Year_Birth]]&lt;=2010),"OK","Invalid")</f>
        <v>OK</v>
      </c>
      <c r="AF878" t="str">
        <f t="shared" si="170"/>
        <v>Valid</v>
      </c>
      <c r="AG878" t="str">
        <f t="shared" si="171"/>
        <v>Valid</v>
      </c>
      <c r="AH878" t="str">
        <f t="shared" si="172"/>
        <v>Valid</v>
      </c>
      <c r="AI878" t="str">
        <f t="shared" si="173"/>
        <v>Valid</v>
      </c>
      <c r="AJ878" t="str">
        <f t="shared" si="174"/>
        <v>Valid</v>
      </c>
      <c r="AK878" t="str">
        <f t="shared" si="181"/>
        <v xml:space="preserve">Valid </v>
      </c>
      <c r="AL878" t="str">
        <f>IF(AND(Audit_Data[[#This Row],[Recency]]&gt;=0,Audit_Data[[#This Row],[Recency]]&lt;=100),"Valid","Invalid")</f>
        <v>Valid</v>
      </c>
      <c r="AM878" t="str">
        <f t="shared" si="175"/>
        <v>Valid</v>
      </c>
      <c r="AN878" t="str">
        <f t="shared" si="176"/>
        <v>Valid</v>
      </c>
      <c r="AO878" t="str">
        <f t="shared" si="177"/>
        <v>Valid</v>
      </c>
      <c r="AP878" t="str">
        <f t="shared" si="178"/>
        <v>Valid</v>
      </c>
      <c r="AQ878" t="str">
        <f>IF(Audit_Data[[#This Row],[Z_CostContact]]=3,"Valid","Invalid")</f>
        <v>Valid</v>
      </c>
      <c r="AR878" t="str">
        <f t="shared" si="179"/>
        <v>Valid</v>
      </c>
      <c r="AS878" t="str">
        <f t="shared" si="180"/>
        <v>Valid</v>
      </c>
    </row>
    <row r="879" spans="1:45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 t="str">
        <f t="shared" si="169"/>
        <v>Ok</v>
      </c>
      <c r="AE879" t="str">
        <f>IF(AND(Audit_Data[[#This Row],[Year_Birth]]&gt;=1900,Audit_Data[[#This Row],[Year_Birth]]&lt;=2010),"OK","Invalid")</f>
        <v>OK</v>
      </c>
      <c r="AF879" t="str">
        <f t="shared" si="170"/>
        <v>Valid</v>
      </c>
      <c r="AG879" t="str">
        <f t="shared" si="171"/>
        <v>Valid</v>
      </c>
      <c r="AH879" t="str">
        <f t="shared" si="172"/>
        <v>Valid</v>
      </c>
      <c r="AI879" t="str">
        <f t="shared" si="173"/>
        <v>Valid</v>
      </c>
      <c r="AJ879" t="str">
        <f t="shared" si="174"/>
        <v>Valid</v>
      </c>
      <c r="AK879" t="str">
        <f t="shared" si="181"/>
        <v xml:space="preserve">Valid </v>
      </c>
      <c r="AL879" t="str">
        <f>IF(AND(Audit_Data[[#This Row],[Recency]]&gt;=0,Audit_Data[[#This Row],[Recency]]&lt;=100),"Valid","Invalid")</f>
        <v>Valid</v>
      </c>
      <c r="AM879" t="str">
        <f t="shared" si="175"/>
        <v>Valid</v>
      </c>
      <c r="AN879" t="str">
        <f t="shared" si="176"/>
        <v>Valid</v>
      </c>
      <c r="AO879" t="str">
        <f t="shared" si="177"/>
        <v>Valid</v>
      </c>
      <c r="AP879" t="str">
        <f t="shared" si="178"/>
        <v>Valid</v>
      </c>
      <c r="AQ879" t="str">
        <f>IF(Audit_Data[[#This Row],[Z_CostContact]]=3,"Valid","Invalid")</f>
        <v>Valid</v>
      </c>
      <c r="AR879" t="str">
        <f t="shared" si="179"/>
        <v>Valid</v>
      </c>
      <c r="AS879" t="str">
        <f t="shared" si="180"/>
        <v>Valid</v>
      </c>
    </row>
    <row r="880" spans="1:45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 t="str">
        <f t="shared" si="169"/>
        <v>Ok</v>
      </c>
      <c r="AE880" t="str">
        <f>IF(AND(Audit_Data[[#This Row],[Year_Birth]]&gt;=1900,Audit_Data[[#This Row],[Year_Birth]]&lt;=2010),"OK","Invalid")</f>
        <v>OK</v>
      </c>
      <c r="AF880" t="str">
        <f t="shared" si="170"/>
        <v>Valid</v>
      </c>
      <c r="AG880" t="str">
        <f t="shared" si="171"/>
        <v>Valid</v>
      </c>
      <c r="AH880" t="str">
        <f t="shared" si="172"/>
        <v>Valid</v>
      </c>
      <c r="AI880" t="str">
        <f t="shared" si="173"/>
        <v>Valid</v>
      </c>
      <c r="AJ880" t="str">
        <f t="shared" si="174"/>
        <v>Valid</v>
      </c>
      <c r="AK880" t="str">
        <f t="shared" si="181"/>
        <v xml:space="preserve">Valid </v>
      </c>
      <c r="AL880" t="str">
        <f>IF(AND(Audit_Data[[#This Row],[Recency]]&gt;=0,Audit_Data[[#This Row],[Recency]]&lt;=100),"Valid","Invalid")</f>
        <v>Valid</v>
      </c>
      <c r="AM880" t="str">
        <f t="shared" si="175"/>
        <v>Valid</v>
      </c>
      <c r="AN880" t="str">
        <f t="shared" si="176"/>
        <v>Valid</v>
      </c>
      <c r="AO880" t="str">
        <f t="shared" si="177"/>
        <v>Valid</v>
      </c>
      <c r="AP880" t="str">
        <f t="shared" si="178"/>
        <v>Valid</v>
      </c>
      <c r="AQ880" t="str">
        <f>IF(Audit_Data[[#This Row],[Z_CostContact]]=3,"Valid","Invalid")</f>
        <v>Valid</v>
      </c>
      <c r="AR880" t="str">
        <f t="shared" si="179"/>
        <v>Valid</v>
      </c>
      <c r="AS880" t="str">
        <f t="shared" si="180"/>
        <v>Valid</v>
      </c>
    </row>
    <row r="881" spans="1:45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 t="str">
        <f t="shared" si="169"/>
        <v>Ok</v>
      </c>
      <c r="AE881" t="str">
        <f>IF(AND(Audit_Data[[#This Row],[Year_Birth]]&gt;=1900,Audit_Data[[#This Row],[Year_Birth]]&lt;=2010),"OK","Invalid")</f>
        <v>OK</v>
      </c>
      <c r="AF881" t="str">
        <f t="shared" si="170"/>
        <v>Valid</v>
      </c>
      <c r="AG881" t="str">
        <f t="shared" si="171"/>
        <v>Valid</v>
      </c>
      <c r="AH881" t="str">
        <f t="shared" si="172"/>
        <v>Valid</v>
      </c>
      <c r="AI881" t="str">
        <f t="shared" si="173"/>
        <v>Valid</v>
      </c>
      <c r="AJ881" t="str">
        <f t="shared" si="174"/>
        <v>Valid</v>
      </c>
      <c r="AK881" t="str">
        <f t="shared" si="181"/>
        <v xml:space="preserve">Valid </v>
      </c>
      <c r="AL881" t="str">
        <f>IF(AND(Audit_Data[[#This Row],[Recency]]&gt;=0,Audit_Data[[#This Row],[Recency]]&lt;=100),"Valid","Invalid")</f>
        <v>Valid</v>
      </c>
      <c r="AM881" t="str">
        <f t="shared" si="175"/>
        <v>Valid</v>
      </c>
      <c r="AN881" t="str">
        <f t="shared" si="176"/>
        <v>Valid</v>
      </c>
      <c r="AO881" t="str">
        <f t="shared" si="177"/>
        <v>Valid</v>
      </c>
      <c r="AP881" t="str">
        <f t="shared" si="178"/>
        <v>Valid</v>
      </c>
      <c r="AQ881" t="str">
        <f>IF(Audit_Data[[#This Row],[Z_CostContact]]=3,"Valid","Invalid")</f>
        <v>Valid</v>
      </c>
      <c r="AR881" t="str">
        <f t="shared" si="179"/>
        <v>Valid</v>
      </c>
      <c r="AS881" t="str">
        <f t="shared" si="180"/>
        <v>Valid</v>
      </c>
    </row>
    <row r="882" spans="1:45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 t="str">
        <f t="shared" si="169"/>
        <v>Ok</v>
      </c>
      <c r="AE882" t="str">
        <f>IF(AND(Audit_Data[[#This Row],[Year_Birth]]&gt;=1900,Audit_Data[[#This Row],[Year_Birth]]&lt;=2010),"OK","Invalid")</f>
        <v>OK</v>
      </c>
      <c r="AF882" t="str">
        <f t="shared" si="170"/>
        <v>Valid</v>
      </c>
      <c r="AG882" t="str">
        <f t="shared" si="171"/>
        <v>Valid</v>
      </c>
      <c r="AH882" t="str">
        <f t="shared" si="172"/>
        <v>Valid</v>
      </c>
      <c r="AI882" t="str">
        <f t="shared" si="173"/>
        <v>Valid</v>
      </c>
      <c r="AJ882" t="str">
        <f t="shared" si="174"/>
        <v>Valid</v>
      </c>
      <c r="AK882" t="str">
        <f t="shared" si="181"/>
        <v xml:space="preserve">Valid </v>
      </c>
      <c r="AL882" t="str">
        <f>IF(AND(Audit_Data[[#This Row],[Recency]]&gt;=0,Audit_Data[[#This Row],[Recency]]&lt;=100),"Valid","Invalid")</f>
        <v>Valid</v>
      </c>
      <c r="AM882" t="str">
        <f t="shared" si="175"/>
        <v>Valid</v>
      </c>
      <c r="AN882" t="str">
        <f t="shared" si="176"/>
        <v>Valid</v>
      </c>
      <c r="AO882" t="str">
        <f t="shared" si="177"/>
        <v>Valid</v>
      </c>
      <c r="AP882" t="str">
        <f t="shared" si="178"/>
        <v>Valid</v>
      </c>
      <c r="AQ882" t="str">
        <f>IF(Audit_Data[[#This Row],[Z_CostContact]]=3,"Valid","Invalid")</f>
        <v>Valid</v>
      </c>
      <c r="AR882" t="str">
        <f t="shared" si="179"/>
        <v>Valid</v>
      </c>
      <c r="AS882" t="str">
        <f t="shared" si="180"/>
        <v>Valid</v>
      </c>
    </row>
    <row r="883" spans="1:45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 t="str">
        <f t="shared" si="169"/>
        <v>Ok</v>
      </c>
      <c r="AE883" t="str">
        <f>IF(AND(Audit_Data[[#This Row],[Year_Birth]]&gt;=1900,Audit_Data[[#This Row],[Year_Birth]]&lt;=2010),"OK","Invalid")</f>
        <v>OK</v>
      </c>
      <c r="AF883" t="str">
        <f t="shared" si="170"/>
        <v>Valid</v>
      </c>
      <c r="AG883" t="str">
        <f t="shared" si="171"/>
        <v>Valid</v>
      </c>
      <c r="AH883" t="str">
        <f t="shared" si="172"/>
        <v>Valid</v>
      </c>
      <c r="AI883" t="str">
        <f t="shared" si="173"/>
        <v>Valid</v>
      </c>
      <c r="AJ883" t="str">
        <f t="shared" si="174"/>
        <v>Valid</v>
      </c>
      <c r="AK883" t="str">
        <f t="shared" si="181"/>
        <v xml:space="preserve">Valid </v>
      </c>
      <c r="AL883" t="str">
        <f>IF(AND(Audit_Data[[#This Row],[Recency]]&gt;=0,Audit_Data[[#This Row],[Recency]]&lt;=100),"Valid","Invalid")</f>
        <v>Valid</v>
      </c>
      <c r="AM883" t="str">
        <f t="shared" si="175"/>
        <v>Valid</v>
      </c>
      <c r="AN883" t="str">
        <f t="shared" si="176"/>
        <v>Valid</v>
      </c>
      <c r="AO883" t="str">
        <f t="shared" si="177"/>
        <v>Valid</v>
      </c>
      <c r="AP883" t="str">
        <f t="shared" si="178"/>
        <v>Valid</v>
      </c>
      <c r="AQ883" t="str">
        <f>IF(Audit_Data[[#This Row],[Z_CostContact]]=3,"Valid","Invalid")</f>
        <v>Valid</v>
      </c>
      <c r="AR883" t="str">
        <f t="shared" si="179"/>
        <v>Valid</v>
      </c>
      <c r="AS883" t="str">
        <f t="shared" si="180"/>
        <v>Valid</v>
      </c>
    </row>
    <row r="884" spans="1:45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 t="str">
        <f t="shared" si="169"/>
        <v>Ok</v>
      </c>
      <c r="AE884" t="str">
        <f>IF(AND(Audit_Data[[#This Row],[Year_Birth]]&gt;=1900,Audit_Data[[#This Row],[Year_Birth]]&lt;=2010),"OK","Invalid")</f>
        <v>OK</v>
      </c>
      <c r="AF884" t="str">
        <f t="shared" si="170"/>
        <v>Valid</v>
      </c>
      <c r="AG884" t="str">
        <f t="shared" si="171"/>
        <v>Valid</v>
      </c>
      <c r="AH884" t="str">
        <f t="shared" si="172"/>
        <v>Valid</v>
      </c>
      <c r="AI884" t="str">
        <f t="shared" si="173"/>
        <v>Valid</v>
      </c>
      <c r="AJ884" t="str">
        <f t="shared" si="174"/>
        <v>Valid</v>
      </c>
      <c r="AK884" t="str">
        <f t="shared" si="181"/>
        <v xml:space="preserve">Valid </v>
      </c>
      <c r="AL884" t="str">
        <f>IF(AND(Audit_Data[[#This Row],[Recency]]&gt;=0,Audit_Data[[#This Row],[Recency]]&lt;=100),"Valid","Invalid")</f>
        <v>Valid</v>
      </c>
      <c r="AM884" t="str">
        <f t="shared" si="175"/>
        <v>Valid</v>
      </c>
      <c r="AN884" t="str">
        <f t="shared" si="176"/>
        <v>Valid</v>
      </c>
      <c r="AO884" t="str">
        <f t="shared" si="177"/>
        <v>Valid</v>
      </c>
      <c r="AP884" t="str">
        <f t="shared" si="178"/>
        <v>Valid</v>
      </c>
      <c r="AQ884" t="str">
        <f>IF(Audit_Data[[#This Row],[Z_CostContact]]=3,"Valid","Invalid")</f>
        <v>Valid</v>
      </c>
      <c r="AR884" t="str">
        <f t="shared" si="179"/>
        <v>Valid</v>
      </c>
      <c r="AS884" t="str">
        <f t="shared" si="180"/>
        <v>Valid</v>
      </c>
    </row>
    <row r="885" spans="1:45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 t="str">
        <f t="shared" si="169"/>
        <v>Ok</v>
      </c>
      <c r="AE885" t="str">
        <f>IF(AND(Audit_Data[[#This Row],[Year_Birth]]&gt;=1900,Audit_Data[[#This Row],[Year_Birth]]&lt;=2010),"OK","Invalid")</f>
        <v>OK</v>
      </c>
      <c r="AF885" t="str">
        <f t="shared" si="170"/>
        <v>Valid</v>
      </c>
      <c r="AG885" t="str">
        <f t="shared" si="171"/>
        <v>Valid</v>
      </c>
      <c r="AH885" t="str">
        <f t="shared" si="172"/>
        <v>Valid</v>
      </c>
      <c r="AI885" t="str">
        <f t="shared" si="173"/>
        <v>Valid</v>
      </c>
      <c r="AJ885" t="str">
        <f t="shared" si="174"/>
        <v>Valid</v>
      </c>
      <c r="AK885" t="str">
        <f t="shared" si="181"/>
        <v xml:space="preserve">Valid </v>
      </c>
      <c r="AL885" t="str">
        <f>IF(AND(Audit_Data[[#This Row],[Recency]]&gt;=0,Audit_Data[[#This Row],[Recency]]&lt;=100),"Valid","Invalid")</f>
        <v>Valid</v>
      </c>
      <c r="AM885" t="str">
        <f t="shared" si="175"/>
        <v>Valid</v>
      </c>
      <c r="AN885" t="str">
        <f t="shared" si="176"/>
        <v>Valid</v>
      </c>
      <c r="AO885" t="str">
        <f t="shared" si="177"/>
        <v>Valid</v>
      </c>
      <c r="AP885" t="str">
        <f t="shared" si="178"/>
        <v>Valid</v>
      </c>
      <c r="AQ885" t="str">
        <f>IF(Audit_Data[[#This Row],[Z_CostContact]]=3,"Valid","Invalid")</f>
        <v>Valid</v>
      </c>
      <c r="AR885" t="str">
        <f t="shared" si="179"/>
        <v>Valid</v>
      </c>
      <c r="AS885" t="str">
        <f t="shared" si="180"/>
        <v>Valid</v>
      </c>
    </row>
    <row r="886" spans="1:45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 t="str">
        <f t="shared" si="169"/>
        <v>Ok</v>
      </c>
      <c r="AE886" t="str">
        <f>IF(AND(Audit_Data[[#This Row],[Year_Birth]]&gt;=1900,Audit_Data[[#This Row],[Year_Birth]]&lt;=2010),"OK","Invalid")</f>
        <v>OK</v>
      </c>
      <c r="AF886" t="str">
        <f t="shared" si="170"/>
        <v>Valid</v>
      </c>
      <c r="AG886" t="str">
        <f t="shared" si="171"/>
        <v>Valid</v>
      </c>
      <c r="AH886" t="str">
        <f t="shared" si="172"/>
        <v>Valid</v>
      </c>
      <c r="AI886" t="str">
        <f t="shared" si="173"/>
        <v>Valid</v>
      </c>
      <c r="AJ886" t="str">
        <f t="shared" si="174"/>
        <v>Valid</v>
      </c>
      <c r="AK886" t="str">
        <f t="shared" si="181"/>
        <v xml:space="preserve">Valid </v>
      </c>
      <c r="AL886" t="str">
        <f>IF(AND(Audit_Data[[#This Row],[Recency]]&gt;=0,Audit_Data[[#This Row],[Recency]]&lt;=100),"Valid","Invalid")</f>
        <v>Valid</v>
      </c>
      <c r="AM886" t="str">
        <f t="shared" si="175"/>
        <v>Valid</v>
      </c>
      <c r="AN886" t="str">
        <f t="shared" si="176"/>
        <v>Valid</v>
      </c>
      <c r="AO886" t="str">
        <f t="shared" si="177"/>
        <v>Valid</v>
      </c>
      <c r="AP886" t="str">
        <f t="shared" si="178"/>
        <v>Valid</v>
      </c>
      <c r="AQ886" t="str">
        <f>IF(Audit_Data[[#This Row],[Z_CostContact]]=3,"Valid","Invalid")</f>
        <v>Valid</v>
      </c>
      <c r="AR886" t="str">
        <f t="shared" si="179"/>
        <v>Valid</v>
      </c>
      <c r="AS886" t="str">
        <f t="shared" si="180"/>
        <v>Valid</v>
      </c>
    </row>
    <row r="887" spans="1:45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 t="str">
        <f t="shared" si="169"/>
        <v>Ok</v>
      </c>
      <c r="AE887" t="str">
        <f>IF(AND(Audit_Data[[#This Row],[Year_Birth]]&gt;=1900,Audit_Data[[#This Row],[Year_Birth]]&lt;=2010),"OK","Invalid")</f>
        <v>OK</v>
      </c>
      <c r="AF887" t="str">
        <f t="shared" si="170"/>
        <v>Valid</v>
      </c>
      <c r="AG887" t="str">
        <f t="shared" si="171"/>
        <v>Valid</v>
      </c>
      <c r="AH887" t="str">
        <f t="shared" si="172"/>
        <v>Valid</v>
      </c>
      <c r="AI887" t="str">
        <f t="shared" si="173"/>
        <v>Valid</v>
      </c>
      <c r="AJ887" t="str">
        <f t="shared" si="174"/>
        <v>Valid</v>
      </c>
      <c r="AK887" t="str">
        <f t="shared" si="181"/>
        <v xml:space="preserve">Valid </v>
      </c>
      <c r="AL887" t="str">
        <f>IF(AND(Audit_Data[[#This Row],[Recency]]&gt;=0,Audit_Data[[#This Row],[Recency]]&lt;=100),"Valid","Invalid")</f>
        <v>Valid</v>
      </c>
      <c r="AM887" t="str">
        <f t="shared" si="175"/>
        <v>Valid</v>
      </c>
      <c r="AN887" t="str">
        <f t="shared" si="176"/>
        <v>Valid</v>
      </c>
      <c r="AO887" t="str">
        <f t="shared" si="177"/>
        <v>Valid</v>
      </c>
      <c r="AP887" t="str">
        <f t="shared" si="178"/>
        <v>Valid</v>
      </c>
      <c r="AQ887" t="str">
        <f>IF(Audit_Data[[#This Row],[Z_CostContact]]=3,"Valid","Invalid")</f>
        <v>Valid</v>
      </c>
      <c r="AR887" t="str">
        <f t="shared" si="179"/>
        <v>Valid</v>
      </c>
      <c r="AS887" t="str">
        <f t="shared" si="180"/>
        <v>Valid</v>
      </c>
    </row>
    <row r="888" spans="1:45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 t="str">
        <f t="shared" si="169"/>
        <v>Ok</v>
      </c>
      <c r="AE888" t="str">
        <f>IF(AND(Audit_Data[[#This Row],[Year_Birth]]&gt;=1900,Audit_Data[[#This Row],[Year_Birth]]&lt;=2010),"OK","Invalid")</f>
        <v>OK</v>
      </c>
      <c r="AF888" t="str">
        <f t="shared" si="170"/>
        <v>Valid</v>
      </c>
      <c r="AG888" t="str">
        <f t="shared" si="171"/>
        <v>Valid</v>
      </c>
      <c r="AH888" t="str">
        <f t="shared" si="172"/>
        <v>Valid</v>
      </c>
      <c r="AI888" t="str">
        <f t="shared" si="173"/>
        <v>Valid</v>
      </c>
      <c r="AJ888" t="str">
        <f t="shared" si="174"/>
        <v>Valid</v>
      </c>
      <c r="AK888" t="str">
        <f t="shared" si="181"/>
        <v xml:space="preserve">Valid </v>
      </c>
      <c r="AL888" t="str">
        <f>IF(AND(Audit_Data[[#This Row],[Recency]]&gt;=0,Audit_Data[[#This Row],[Recency]]&lt;=100),"Valid","Invalid")</f>
        <v>Valid</v>
      </c>
      <c r="AM888" t="str">
        <f t="shared" si="175"/>
        <v>Valid</v>
      </c>
      <c r="AN888" t="str">
        <f t="shared" si="176"/>
        <v>Valid</v>
      </c>
      <c r="AO888" t="str">
        <f t="shared" si="177"/>
        <v>Valid</v>
      </c>
      <c r="AP888" t="str">
        <f t="shared" si="178"/>
        <v>Valid</v>
      </c>
      <c r="AQ888" t="str">
        <f>IF(Audit_Data[[#This Row],[Z_CostContact]]=3,"Valid","Invalid")</f>
        <v>Valid</v>
      </c>
      <c r="AR888" t="str">
        <f t="shared" si="179"/>
        <v>Valid</v>
      </c>
      <c r="AS888" t="str">
        <f t="shared" si="180"/>
        <v>Valid</v>
      </c>
    </row>
    <row r="889" spans="1:45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 t="str">
        <f t="shared" si="169"/>
        <v>Ok</v>
      </c>
      <c r="AE889" t="str">
        <f>IF(AND(Audit_Data[[#This Row],[Year_Birth]]&gt;=1900,Audit_Data[[#This Row],[Year_Birth]]&lt;=2010),"OK","Invalid")</f>
        <v>OK</v>
      </c>
      <c r="AF889" t="str">
        <f t="shared" si="170"/>
        <v>Valid</v>
      </c>
      <c r="AG889" t="str">
        <f t="shared" si="171"/>
        <v>Valid</v>
      </c>
      <c r="AH889" t="str">
        <f t="shared" si="172"/>
        <v>Valid</v>
      </c>
      <c r="AI889" t="str">
        <f t="shared" si="173"/>
        <v>Valid</v>
      </c>
      <c r="AJ889" t="str">
        <f t="shared" si="174"/>
        <v>Valid</v>
      </c>
      <c r="AK889" t="str">
        <f t="shared" si="181"/>
        <v xml:space="preserve">Valid </v>
      </c>
      <c r="AL889" t="str">
        <f>IF(AND(Audit_Data[[#This Row],[Recency]]&gt;=0,Audit_Data[[#This Row],[Recency]]&lt;=100),"Valid","Invalid")</f>
        <v>Valid</v>
      </c>
      <c r="AM889" t="str">
        <f t="shared" si="175"/>
        <v>Valid</v>
      </c>
      <c r="AN889" t="str">
        <f t="shared" si="176"/>
        <v>Valid</v>
      </c>
      <c r="AO889" t="str">
        <f t="shared" si="177"/>
        <v>Valid</v>
      </c>
      <c r="AP889" t="str">
        <f t="shared" si="178"/>
        <v>Valid</v>
      </c>
      <c r="AQ889" t="str">
        <f>IF(Audit_Data[[#This Row],[Z_CostContact]]=3,"Valid","Invalid")</f>
        <v>Valid</v>
      </c>
      <c r="AR889" t="str">
        <f t="shared" si="179"/>
        <v>Valid</v>
      </c>
      <c r="AS889" t="str">
        <f t="shared" si="180"/>
        <v>Valid</v>
      </c>
    </row>
    <row r="890" spans="1:45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 t="str">
        <f t="shared" si="169"/>
        <v>Ok</v>
      </c>
      <c r="AE890" t="str">
        <f>IF(AND(Audit_Data[[#This Row],[Year_Birth]]&gt;=1900,Audit_Data[[#This Row],[Year_Birth]]&lt;=2010),"OK","Invalid")</f>
        <v>OK</v>
      </c>
      <c r="AF890" t="str">
        <f t="shared" si="170"/>
        <v>Valid</v>
      </c>
      <c r="AG890" t="str">
        <f t="shared" si="171"/>
        <v>Valid</v>
      </c>
      <c r="AH890" t="str">
        <f t="shared" si="172"/>
        <v>Valid</v>
      </c>
      <c r="AI890" t="str">
        <f t="shared" si="173"/>
        <v>Valid</v>
      </c>
      <c r="AJ890" t="str">
        <f t="shared" si="174"/>
        <v>Valid</v>
      </c>
      <c r="AK890" t="str">
        <f t="shared" si="181"/>
        <v xml:space="preserve">Valid </v>
      </c>
      <c r="AL890" t="str">
        <f>IF(AND(Audit_Data[[#This Row],[Recency]]&gt;=0,Audit_Data[[#This Row],[Recency]]&lt;=100),"Valid","Invalid")</f>
        <v>Valid</v>
      </c>
      <c r="AM890" t="str">
        <f t="shared" si="175"/>
        <v>Valid</v>
      </c>
      <c r="AN890" t="str">
        <f t="shared" si="176"/>
        <v>Valid</v>
      </c>
      <c r="AO890" t="str">
        <f t="shared" si="177"/>
        <v>Valid</v>
      </c>
      <c r="AP890" t="str">
        <f t="shared" si="178"/>
        <v>Valid</v>
      </c>
      <c r="AQ890" t="str">
        <f>IF(Audit_Data[[#This Row],[Z_CostContact]]=3,"Valid","Invalid")</f>
        <v>Valid</v>
      </c>
      <c r="AR890" t="str">
        <f t="shared" si="179"/>
        <v>Valid</v>
      </c>
      <c r="AS890" t="str">
        <f t="shared" si="180"/>
        <v>Valid</v>
      </c>
    </row>
    <row r="891" spans="1:45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 t="str">
        <f t="shared" si="169"/>
        <v>Ok</v>
      </c>
      <c r="AE891" t="str">
        <f>IF(AND(Audit_Data[[#This Row],[Year_Birth]]&gt;=1900,Audit_Data[[#This Row],[Year_Birth]]&lt;=2010),"OK","Invalid")</f>
        <v>OK</v>
      </c>
      <c r="AF891" t="str">
        <f t="shared" si="170"/>
        <v>Valid</v>
      </c>
      <c r="AG891" t="str">
        <f t="shared" si="171"/>
        <v>Valid</v>
      </c>
      <c r="AH891" t="str">
        <f t="shared" si="172"/>
        <v>Valid</v>
      </c>
      <c r="AI891" t="str">
        <f t="shared" si="173"/>
        <v>Valid</v>
      </c>
      <c r="AJ891" t="str">
        <f t="shared" si="174"/>
        <v>Valid</v>
      </c>
      <c r="AK891" t="str">
        <f t="shared" si="181"/>
        <v xml:space="preserve">Valid </v>
      </c>
      <c r="AL891" t="str">
        <f>IF(AND(Audit_Data[[#This Row],[Recency]]&gt;=0,Audit_Data[[#This Row],[Recency]]&lt;=100),"Valid","Invalid")</f>
        <v>Valid</v>
      </c>
      <c r="AM891" t="str">
        <f t="shared" si="175"/>
        <v>Valid</v>
      </c>
      <c r="AN891" t="str">
        <f t="shared" si="176"/>
        <v>Valid</v>
      </c>
      <c r="AO891" t="str">
        <f t="shared" si="177"/>
        <v>Valid</v>
      </c>
      <c r="AP891" t="str">
        <f t="shared" si="178"/>
        <v>Valid</v>
      </c>
      <c r="AQ891" t="str">
        <f>IF(Audit_Data[[#This Row],[Z_CostContact]]=3,"Valid","Invalid")</f>
        <v>Valid</v>
      </c>
      <c r="AR891" t="str">
        <f t="shared" si="179"/>
        <v>Valid</v>
      </c>
      <c r="AS891" t="str">
        <f t="shared" si="180"/>
        <v>Valid</v>
      </c>
    </row>
    <row r="892" spans="1:45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 t="str">
        <f t="shared" si="169"/>
        <v>Ok</v>
      </c>
      <c r="AE892" t="str">
        <f>IF(AND(Audit_Data[[#This Row],[Year_Birth]]&gt;=1900,Audit_Data[[#This Row],[Year_Birth]]&lt;=2010),"OK","Invalid")</f>
        <v>OK</v>
      </c>
      <c r="AF892" t="str">
        <f t="shared" si="170"/>
        <v>Valid</v>
      </c>
      <c r="AG892" t="str">
        <f t="shared" si="171"/>
        <v>Valid</v>
      </c>
      <c r="AH892" t="str">
        <f t="shared" si="172"/>
        <v>Valid</v>
      </c>
      <c r="AI892" t="str">
        <f t="shared" si="173"/>
        <v>Valid</v>
      </c>
      <c r="AJ892" t="str">
        <f t="shared" si="174"/>
        <v>Valid</v>
      </c>
      <c r="AK892" t="str">
        <f t="shared" si="181"/>
        <v xml:space="preserve">Valid </v>
      </c>
      <c r="AL892" t="str">
        <f>IF(AND(Audit_Data[[#This Row],[Recency]]&gt;=0,Audit_Data[[#This Row],[Recency]]&lt;=100),"Valid","Invalid")</f>
        <v>Valid</v>
      </c>
      <c r="AM892" t="str">
        <f t="shared" si="175"/>
        <v>Valid</v>
      </c>
      <c r="AN892" t="str">
        <f t="shared" si="176"/>
        <v>Valid</v>
      </c>
      <c r="AO892" t="str">
        <f t="shared" si="177"/>
        <v>Valid</v>
      </c>
      <c r="AP892" t="str">
        <f t="shared" si="178"/>
        <v>Valid</v>
      </c>
      <c r="AQ892" t="str">
        <f>IF(Audit_Data[[#This Row],[Z_CostContact]]=3,"Valid","Invalid")</f>
        <v>Valid</v>
      </c>
      <c r="AR892" t="str">
        <f t="shared" si="179"/>
        <v>Valid</v>
      </c>
      <c r="AS892" t="str">
        <f t="shared" si="180"/>
        <v>Valid</v>
      </c>
    </row>
    <row r="893" spans="1:45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 t="str">
        <f t="shared" si="169"/>
        <v>Ok</v>
      </c>
      <c r="AE893" t="str">
        <f>IF(AND(Audit_Data[[#This Row],[Year_Birth]]&gt;=1900,Audit_Data[[#This Row],[Year_Birth]]&lt;=2010),"OK","Invalid")</f>
        <v>OK</v>
      </c>
      <c r="AF893" t="str">
        <f t="shared" si="170"/>
        <v>Valid</v>
      </c>
      <c r="AG893" t="str">
        <f t="shared" si="171"/>
        <v>Valid</v>
      </c>
      <c r="AH893" t="str">
        <f t="shared" si="172"/>
        <v>Valid</v>
      </c>
      <c r="AI893" t="str">
        <f t="shared" si="173"/>
        <v>Valid</v>
      </c>
      <c r="AJ893" t="str">
        <f t="shared" si="174"/>
        <v>Valid</v>
      </c>
      <c r="AK893" t="str">
        <f t="shared" si="181"/>
        <v xml:space="preserve">Valid </v>
      </c>
      <c r="AL893" t="str">
        <f>IF(AND(Audit_Data[[#This Row],[Recency]]&gt;=0,Audit_Data[[#This Row],[Recency]]&lt;=100),"Valid","Invalid")</f>
        <v>Valid</v>
      </c>
      <c r="AM893" t="str">
        <f t="shared" si="175"/>
        <v>Valid</v>
      </c>
      <c r="AN893" t="str">
        <f t="shared" si="176"/>
        <v>Valid</v>
      </c>
      <c r="AO893" t="str">
        <f t="shared" si="177"/>
        <v>Valid</v>
      </c>
      <c r="AP893" t="str">
        <f t="shared" si="178"/>
        <v>Valid</v>
      </c>
      <c r="AQ893" t="str">
        <f>IF(Audit_Data[[#This Row],[Z_CostContact]]=3,"Valid","Invalid")</f>
        <v>Valid</v>
      </c>
      <c r="AR893" t="str">
        <f t="shared" si="179"/>
        <v>Valid</v>
      </c>
      <c r="AS893" t="str">
        <f t="shared" si="180"/>
        <v>Valid</v>
      </c>
    </row>
    <row r="894" spans="1:45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 t="str">
        <f t="shared" si="169"/>
        <v>Ok</v>
      </c>
      <c r="AE894" t="str">
        <f>IF(AND(Audit_Data[[#This Row],[Year_Birth]]&gt;=1900,Audit_Data[[#This Row],[Year_Birth]]&lt;=2010),"OK","Invalid")</f>
        <v>OK</v>
      </c>
      <c r="AF894" t="str">
        <f t="shared" si="170"/>
        <v>Valid</v>
      </c>
      <c r="AG894" t="str">
        <f t="shared" si="171"/>
        <v>Valid</v>
      </c>
      <c r="AH894" t="str">
        <f t="shared" si="172"/>
        <v>Valid</v>
      </c>
      <c r="AI894" t="str">
        <f t="shared" si="173"/>
        <v>Valid</v>
      </c>
      <c r="AJ894" t="str">
        <f t="shared" si="174"/>
        <v>Valid</v>
      </c>
      <c r="AK894" t="str">
        <f t="shared" si="181"/>
        <v xml:space="preserve">Valid </v>
      </c>
      <c r="AL894" t="str">
        <f>IF(AND(Audit_Data[[#This Row],[Recency]]&gt;=0,Audit_Data[[#This Row],[Recency]]&lt;=100),"Valid","Invalid")</f>
        <v>Valid</v>
      </c>
      <c r="AM894" t="str">
        <f t="shared" si="175"/>
        <v>Valid</v>
      </c>
      <c r="AN894" t="str">
        <f t="shared" si="176"/>
        <v>Valid</v>
      </c>
      <c r="AO894" t="str">
        <f t="shared" si="177"/>
        <v>Valid</v>
      </c>
      <c r="AP894" t="str">
        <f t="shared" si="178"/>
        <v>Valid</v>
      </c>
      <c r="AQ894" t="str">
        <f>IF(Audit_Data[[#This Row],[Z_CostContact]]=3,"Valid","Invalid")</f>
        <v>Valid</v>
      </c>
      <c r="AR894" t="str">
        <f t="shared" si="179"/>
        <v>Valid</v>
      </c>
      <c r="AS894" t="str">
        <f t="shared" si="180"/>
        <v>Valid</v>
      </c>
    </row>
    <row r="895" spans="1:45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 t="str">
        <f t="shared" si="169"/>
        <v>Ok</v>
      </c>
      <c r="AE895" t="str">
        <f>IF(AND(Audit_Data[[#This Row],[Year_Birth]]&gt;=1900,Audit_Data[[#This Row],[Year_Birth]]&lt;=2010),"OK","Invalid")</f>
        <v>OK</v>
      </c>
      <c r="AF895" t="str">
        <f t="shared" si="170"/>
        <v>Valid</v>
      </c>
      <c r="AG895" t="str">
        <f t="shared" si="171"/>
        <v>Valid</v>
      </c>
      <c r="AH895" t="str">
        <f t="shared" si="172"/>
        <v>Valid</v>
      </c>
      <c r="AI895" t="str">
        <f t="shared" si="173"/>
        <v>Valid</v>
      </c>
      <c r="AJ895" t="str">
        <f t="shared" si="174"/>
        <v>Valid</v>
      </c>
      <c r="AK895" t="str">
        <f t="shared" si="181"/>
        <v xml:space="preserve">Valid </v>
      </c>
      <c r="AL895" t="str">
        <f>IF(AND(Audit_Data[[#This Row],[Recency]]&gt;=0,Audit_Data[[#This Row],[Recency]]&lt;=100),"Valid","Invalid")</f>
        <v>Valid</v>
      </c>
      <c r="AM895" t="str">
        <f t="shared" si="175"/>
        <v>Valid</v>
      </c>
      <c r="AN895" t="str">
        <f t="shared" si="176"/>
        <v>Valid</v>
      </c>
      <c r="AO895" t="str">
        <f t="shared" si="177"/>
        <v>Valid</v>
      </c>
      <c r="AP895" t="str">
        <f t="shared" si="178"/>
        <v>Valid</v>
      </c>
      <c r="AQ895" t="str">
        <f>IF(Audit_Data[[#This Row],[Z_CostContact]]=3,"Valid","Invalid")</f>
        <v>Valid</v>
      </c>
      <c r="AR895" t="str">
        <f t="shared" si="179"/>
        <v>Valid</v>
      </c>
      <c r="AS895" t="str">
        <f t="shared" si="180"/>
        <v>Valid</v>
      </c>
    </row>
    <row r="896" spans="1:45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 t="str">
        <f t="shared" si="169"/>
        <v>Ok</v>
      </c>
      <c r="AE896" t="str">
        <f>IF(AND(Audit_Data[[#This Row],[Year_Birth]]&gt;=1900,Audit_Data[[#This Row],[Year_Birth]]&lt;=2010),"OK","Invalid")</f>
        <v>OK</v>
      </c>
      <c r="AF896" t="str">
        <f t="shared" si="170"/>
        <v>Valid</v>
      </c>
      <c r="AG896" t="str">
        <f t="shared" si="171"/>
        <v>Valid</v>
      </c>
      <c r="AH896" t="str">
        <f t="shared" si="172"/>
        <v>Valid</v>
      </c>
      <c r="AI896" t="str">
        <f t="shared" si="173"/>
        <v>Valid</v>
      </c>
      <c r="AJ896" t="str">
        <f t="shared" si="174"/>
        <v>Valid</v>
      </c>
      <c r="AK896" t="str">
        <f t="shared" si="181"/>
        <v xml:space="preserve">Valid </v>
      </c>
      <c r="AL896" t="str">
        <f>IF(AND(Audit_Data[[#This Row],[Recency]]&gt;=0,Audit_Data[[#This Row],[Recency]]&lt;=100),"Valid","Invalid")</f>
        <v>Valid</v>
      </c>
      <c r="AM896" t="str">
        <f t="shared" si="175"/>
        <v>Valid</v>
      </c>
      <c r="AN896" t="str">
        <f t="shared" si="176"/>
        <v>Valid</v>
      </c>
      <c r="AO896" t="str">
        <f t="shared" si="177"/>
        <v>Valid</v>
      </c>
      <c r="AP896" t="str">
        <f t="shared" si="178"/>
        <v>Valid</v>
      </c>
      <c r="AQ896" t="str">
        <f>IF(Audit_Data[[#This Row],[Z_CostContact]]=3,"Valid","Invalid")</f>
        <v>Valid</v>
      </c>
      <c r="AR896" t="str">
        <f t="shared" si="179"/>
        <v>Valid</v>
      </c>
      <c r="AS896" t="str">
        <f t="shared" si="180"/>
        <v>Valid</v>
      </c>
    </row>
    <row r="897" spans="1:45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 t="str">
        <f t="shared" si="169"/>
        <v>Ok</v>
      </c>
      <c r="AE897" t="str">
        <f>IF(AND(Audit_Data[[#This Row],[Year_Birth]]&gt;=1900,Audit_Data[[#This Row],[Year_Birth]]&lt;=2010),"OK","Invalid")</f>
        <v>OK</v>
      </c>
      <c r="AF897" t="str">
        <f t="shared" si="170"/>
        <v>Valid</v>
      </c>
      <c r="AG897" t="str">
        <f t="shared" si="171"/>
        <v>Valid</v>
      </c>
      <c r="AH897" t="str">
        <f t="shared" si="172"/>
        <v>Valid</v>
      </c>
      <c r="AI897" t="str">
        <f t="shared" si="173"/>
        <v>Valid</v>
      </c>
      <c r="AJ897" t="str">
        <f t="shared" si="174"/>
        <v>Valid</v>
      </c>
      <c r="AK897" t="str">
        <f t="shared" si="181"/>
        <v xml:space="preserve">Valid </v>
      </c>
      <c r="AL897" t="str">
        <f>IF(AND(Audit_Data[[#This Row],[Recency]]&gt;=0,Audit_Data[[#This Row],[Recency]]&lt;=100),"Valid","Invalid")</f>
        <v>Valid</v>
      </c>
      <c r="AM897" t="str">
        <f t="shared" si="175"/>
        <v>Valid</v>
      </c>
      <c r="AN897" t="str">
        <f t="shared" si="176"/>
        <v>Valid</v>
      </c>
      <c r="AO897" t="str">
        <f t="shared" si="177"/>
        <v>Valid</v>
      </c>
      <c r="AP897" t="str">
        <f t="shared" si="178"/>
        <v>Valid</v>
      </c>
      <c r="AQ897" t="str">
        <f>IF(Audit_Data[[#This Row],[Z_CostContact]]=3,"Valid","Invalid")</f>
        <v>Valid</v>
      </c>
      <c r="AR897" t="str">
        <f t="shared" si="179"/>
        <v>Valid</v>
      </c>
      <c r="AS897" t="str">
        <f t="shared" si="180"/>
        <v>Valid</v>
      </c>
    </row>
    <row r="898" spans="1:45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 t="str">
        <f t="shared" ref="AD898:AD961" si="182">IF(COUNTIF(A:A,A898)&gt;1,"Duplicate","Ok")</f>
        <v>Ok</v>
      </c>
      <c r="AE898" t="str">
        <f>IF(AND(Audit_Data[[#This Row],[Year_Birth]]&gt;=1900,Audit_Data[[#This Row],[Year_Birth]]&lt;=2010),"OK","Invalid")</f>
        <v>OK</v>
      </c>
      <c r="AF898" t="str">
        <f t="shared" ref="AF898:AF961" si="183">IF(OR(C898="Graduation",C898="phD",C898="Master",C898="Basic",C898="2n Cycle"),"Valid","Invalid")</f>
        <v>Valid</v>
      </c>
      <c r="AG898" t="str">
        <f t="shared" ref="AG898:AG961" si="184">IF(OR(D898="Single",D898="Married",D898="Divorced",D898="Together",D898="Widow",D898="Alone"),"Valid","Invalid")</f>
        <v>Valid</v>
      </c>
      <c r="AH898" t="str">
        <f t="shared" ref="AH898:AH961" si="185">IF(AND(ISNUMBER(E898),E898&lt;&gt;""),"Valid","Invalid")</f>
        <v>Valid</v>
      </c>
      <c r="AI898" t="str">
        <f t="shared" ref="AI898:AI961" si="186">IF(AND(F898&gt;=0,F898&lt;=2),"Valid","Invalid")</f>
        <v>Valid</v>
      </c>
      <c r="AJ898" t="str">
        <f t="shared" ref="AJ898:AJ961" si="187">IF(AND(G898&gt;=0,G898&lt;=2),"Valid","Invalid")</f>
        <v>Valid</v>
      </c>
      <c r="AK898" t="str">
        <f t="shared" si="181"/>
        <v xml:space="preserve">Valid </v>
      </c>
      <c r="AL898" t="str">
        <f>IF(AND(Audit_Data[[#This Row],[Recency]]&gt;=0,Audit_Data[[#This Row],[Recency]]&lt;=100),"Valid","Invalid")</f>
        <v>Valid</v>
      </c>
      <c r="AM898" t="str">
        <f t="shared" ref="AM898:AM961" si="188">IF(AND(ISNUMBER(J898),J898&gt;=0,ISNUMBER(K898),K898&gt;=0,ISNUMBER(L898),L898&gt;=0,ISNUMBER(M898),M898&gt;=0,ISNUMBER(N898),N898&gt;=0,ISNUMBER(O898),O898&gt;=0),"Valid","Invalid")</f>
        <v>Valid</v>
      </c>
      <c r="AN898" t="str">
        <f t="shared" ref="AN898:AN961" si="189">IF(AND(ISNUMBER(P898),P898&gt;=0,ISNUMBER(Q898),Q898&gt;=0,ISNUMBER(R898),R898&gt;=0,ISNUMBER(S898),S898&gt;=0,ISNUMBER(T898),T898&gt;=0),"Valid","Invalid")</f>
        <v>Valid</v>
      </c>
      <c r="AO898" t="str">
        <f t="shared" ref="AO898:AO961" si="190">IF(AND(U898&lt;=1,V898&lt;=1,W898&lt;=1,X898&lt;=1,Y898&lt;=1),"Valid","Invalid")</f>
        <v>Valid</v>
      </c>
      <c r="AP898" t="str">
        <f t="shared" ref="AP898:AP961" si="191">IF(OR(Z898=0,Z898=1),"Valid","Invalid")</f>
        <v>Valid</v>
      </c>
      <c r="AQ898" t="str">
        <f>IF(Audit_Data[[#This Row],[Z_CostContact]]=3,"Valid","Invalid")</f>
        <v>Valid</v>
      </c>
      <c r="AR898" t="str">
        <f t="shared" ref="AR898:AR961" si="192">IF(AB898=11,"Valid","Invalid")</f>
        <v>Valid</v>
      </c>
      <c r="AS898" t="str">
        <f t="shared" ref="AS898:AS961" si="193">IF(OR(AC898=0,AC898=1),"Valid","Invalid")</f>
        <v>Valid</v>
      </c>
    </row>
    <row r="899" spans="1:45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 t="str">
        <f t="shared" si="182"/>
        <v>Ok</v>
      </c>
      <c r="AE899" t="str">
        <f>IF(AND(Audit_Data[[#This Row],[Year_Birth]]&gt;=1900,Audit_Data[[#This Row],[Year_Birth]]&lt;=2010),"OK","Invalid")</f>
        <v>OK</v>
      </c>
      <c r="AF899" t="str">
        <f t="shared" si="183"/>
        <v>Valid</v>
      </c>
      <c r="AG899" t="str">
        <f t="shared" si="184"/>
        <v>Valid</v>
      </c>
      <c r="AH899" t="str">
        <f t="shared" si="185"/>
        <v>Valid</v>
      </c>
      <c r="AI899" t="str">
        <f t="shared" si="186"/>
        <v>Valid</v>
      </c>
      <c r="AJ899" t="str">
        <f t="shared" si="187"/>
        <v>Valid</v>
      </c>
      <c r="AK899" t="str">
        <f t="shared" ref="AK899:AK962" si="194">IF(AND(ISNUMBER(H899),H899&gt;=DATE(2012,1,1),H899&lt;=DATE(2014,12,31)),"Valid ","Invalid")</f>
        <v xml:space="preserve">Valid </v>
      </c>
      <c r="AL899" t="str">
        <f>IF(AND(Audit_Data[[#This Row],[Recency]]&gt;=0,Audit_Data[[#This Row],[Recency]]&lt;=100),"Valid","Invalid")</f>
        <v>Valid</v>
      </c>
      <c r="AM899" t="str">
        <f t="shared" si="188"/>
        <v>Valid</v>
      </c>
      <c r="AN899" t="str">
        <f t="shared" si="189"/>
        <v>Valid</v>
      </c>
      <c r="AO899" t="str">
        <f t="shared" si="190"/>
        <v>Valid</v>
      </c>
      <c r="AP899" t="str">
        <f t="shared" si="191"/>
        <v>Valid</v>
      </c>
      <c r="AQ899" t="str">
        <f>IF(Audit_Data[[#This Row],[Z_CostContact]]=3,"Valid","Invalid")</f>
        <v>Valid</v>
      </c>
      <c r="AR899" t="str">
        <f t="shared" si="192"/>
        <v>Valid</v>
      </c>
      <c r="AS899" t="str">
        <f t="shared" si="193"/>
        <v>Valid</v>
      </c>
    </row>
    <row r="900" spans="1:45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 t="str">
        <f t="shared" si="182"/>
        <v>Ok</v>
      </c>
      <c r="AE900" t="str">
        <f>IF(AND(Audit_Data[[#This Row],[Year_Birth]]&gt;=1900,Audit_Data[[#This Row],[Year_Birth]]&lt;=2010),"OK","Invalid")</f>
        <v>OK</v>
      </c>
      <c r="AF900" t="str">
        <f t="shared" si="183"/>
        <v>Valid</v>
      </c>
      <c r="AG900" t="str">
        <f t="shared" si="184"/>
        <v>Valid</v>
      </c>
      <c r="AH900" t="str">
        <f t="shared" si="185"/>
        <v>Valid</v>
      </c>
      <c r="AI900" t="str">
        <f t="shared" si="186"/>
        <v>Valid</v>
      </c>
      <c r="AJ900" t="str">
        <f t="shared" si="187"/>
        <v>Valid</v>
      </c>
      <c r="AK900" t="str">
        <f t="shared" si="194"/>
        <v xml:space="preserve">Valid </v>
      </c>
      <c r="AL900" t="str">
        <f>IF(AND(Audit_Data[[#This Row],[Recency]]&gt;=0,Audit_Data[[#This Row],[Recency]]&lt;=100),"Valid","Invalid")</f>
        <v>Valid</v>
      </c>
      <c r="AM900" t="str">
        <f t="shared" si="188"/>
        <v>Valid</v>
      </c>
      <c r="AN900" t="str">
        <f t="shared" si="189"/>
        <v>Valid</v>
      </c>
      <c r="AO900" t="str">
        <f t="shared" si="190"/>
        <v>Valid</v>
      </c>
      <c r="AP900" t="str">
        <f t="shared" si="191"/>
        <v>Valid</v>
      </c>
      <c r="AQ900" t="str">
        <f>IF(Audit_Data[[#This Row],[Z_CostContact]]=3,"Valid","Invalid")</f>
        <v>Valid</v>
      </c>
      <c r="AR900" t="str">
        <f t="shared" si="192"/>
        <v>Valid</v>
      </c>
      <c r="AS900" t="str">
        <f t="shared" si="193"/>
        <v>Valid</v>
      </c>
    </row>
    <row r="901" spans="1:45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 t="str">
        <f t="shared" si="182"/>
        <v>Ok</v>
      </c>
      <c r="AE901" t="str">
        <f>IF(AND(Audit_Data[[#This Row],[Year_Birth]]&gt;=1900,Audit_Data[[#This Row],[Year_Birth]]&lt;=2010),"OK","Invalid")</f>
        <v>OK</v>
      </c>
      <c r="AF901" t="str">
        <f t="shared" si="183"/>
        <v>Valid</v>
      </c>
      <c r="AG901" t="str">
        <f t="shared" si="184"/>
        <v>Valid</v>
      </c>
      <c r="AH901" t="str">
        <f t="shared" si="185"/>
        <v>Valid</v>
      </c>
      <c r="AI901" t="str">
        <f t="shared" si="186"/>
        <v>Valid</v>
      </c>
      <c r="AJ901" t="str">
        <f t="shared" si="187"/>
        <v>Valid</v>
      </c>
      <c r="AK901" t="str">
        <f t="shared" si="194"/>
        <v xml:space="preserve">Valid </v>
      </c>
      <c r="AL901" t="str">
        <f>IF(AND(Audit_Data[[#This Row],[Recency]]&gt;=0,Audit_Data[[#This Row],[Recency]]&lt;=100),"Valid","Invalid")</f>
        <v>Valid</v>
      </c>
      <c r="AM901" t="str">
        <f t="shared" si="188"/>
        <v>Valid</v>
      </c>
      <c r="AN901" t="str">
        <f t="shared" si="189"/>
        <v>Valid</v>
      </c>
      <c r="AO901" t="str">
        <f t="shared" si="190"/>
        <v>Valid</v>
      </c>
      <c r="AP901" t="str">
        <f t="shared" si="191"/>
        <v>Valid</v>
      </c>
      <c r="AQ901" t="str">
        <f>IF(Audit_Data[[#This Row],[Z_CostContact]]=3,"Valid","Invalid")</f>
        <v>Valid</v>
      </c>
      <c r="AR901" t="str">
        <f t="shared" si="192"/>
        <v>Valid</v>
      </c>
      <c r="AS901" t="str">
        <f t="shared" si="193"/>
        <v>Valid</v>
      </c>
    </row>
    <row r="902" spans="1:45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 t="str">
        <f t="shared" si="182"/>
        <v>Ok</v>
      </c>
      <c r="AE902" t="str">
        <f>IF(AND(Audit_Data[[#This Row],[Year_Birth]]&gt;=1900,Audit_Data[[#This Row],[Year_Birth]]&lt;=2010),"OK","Invalid")</f>
        <v>OK</v>
      </c>
      <c r="AF902" t="str">
        <f t="shared" si="183"/>
        <v>Valid</v>
      </c>
      <c r="AG902" t="str">
        <f t="shared" si="184"/>
        <v>Valid</v>
      </c>
      <c r="AH902" t="str">
        <f t="shared" si="185"/>
        <v>Valid</v>
      </c>
      <c r="AI902" t="str">
        <f t="shared" si="186"/>
        <v>Valid</v>
      </c>
      <c r="AJ902" t="str">
        <f t="shared" si="187"/>
        <v>Valid</v>
      </c>
      <c r="AK902" t="str">
        <f t="shared" si="194"/>
        <v xml:space="preserve">Valid </v>
      </c>
      <c r="AL902" t="str">
        <f>IF(AND(Audit_Data[[#This Row],[Recency]]&gt;=0,Audit_Data[[#This Row],[Recency]]&lt;=100),"Valid","Invalid")</f>
        <v>Valid</v>
      </c>
      <c r="AM902" t="str">
        <f t="shared" si="188"/>
        <v>Valid</v>
      </c>
      <c r="AN902" t="str">
        <f t="shared" si="189"/>
        <v>Valid</v>
      </c>
      <c r="AO902" t="str">
        <f t="shared" si="190"/>
        <v>Valid</v>
      </c>
      <c r="AP902" t="str">
        <f t="shared" si="191"/>
        <v>Valid</v>
      </c>
      <c r="AQ902" t="str">
        <f>IF(Audit_Data[[#This Row],[Z_CostContact]]=3,"Valid","Invalid")</f>
        <v>Valid</v>
      </c>
      <c r="AR902" t="str">
        <f t="shared" si="192"/>
        <v>Valid</v>
      </c>
      <c r="AS902" t="str">
        <f t="shared" si="193"/>
        <v>Valid</v>
      </c>
    </row>
    <row r="903" spans="1:45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 t="str">
        <f t="shared" si="182"/>
        <v>Ok</v>
      </c>
      <c r="AE903" t="str">
        <f>IF(AND(Audit_Data[[#This Row],[Year_Birth]]&gt;=1900,Audit_Data[[#This Row],[Year_Birth]]&lt;=2010),"OK","Invalid")</f>
        <v>OK</v>
      </c>
      <c r="AF903" t="str">
        <f t="shared" si="183"/>
        <v>Valid</v>
      </c>
      <c r="AG903" t="str">
        <f t="shared" si="184"/>
        <v>Valid</v>
      </c>
      <c r="AH903" t="str">
        <f t="shared" si="185"/>
        <v>Valid</v>
      </c>
      <c r="AI903" t="str">
        <f t="shared" si="186"/>
        <v>Valid</v>
      </c>
      <c r="AJ903" t="str">
        <f t="shared" si="187"/>
        <v>Valid</v>
      </c>
      <c r="AK903" t="str">
        <f t="shared" si="194"/>
        <v xml:space="preserve">Valid </v>
      </c>
      <c r="AL903" t="str">
        <f>IF(AND(Audit_Data[[#This Row],[Recency]]&gt;=0,Audit_Data[[#This Row],[Recency]]&lt;=100),"Valid","Invalid")</f>
        <v>Valid</v>
      </c>
      <c r="AM903" t="str">
        <f t="shared" si="188"/>
        <v>Valid</v>
      </c>
      <c r="AN903" t="str">
        <f t="shared" si="189"/>
        <v>Valid</v>
      </c>
      <c r="AO903" t="str">
        <f t="shared" si="190"/>
        <v>Valid</v>
      </c>
      <c r="AP903" t="str">
        <f t="shared" si="191"/>
        <v>Valid</v>
      </c>
      <c r="AQ903" t="str">
        <f>IF(Audit_Data[[#This Row],[Z_CostContact]]=3,"Valid","Invalid")</f>
        <v>Valid</v>
      </c>
      <c r="AR903" t="str">
        <f t="shared" si="192"/>
        <v>Valid</v>
      </c>
      <c r="AS903" t="str">
        <f t="shared" si="193"/>
        <v>Valid</v>
      </c>
    </row>
    <row r="904" spans="1:45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 t="str">
        <f t="shared" si="182"/>
        <v>Ok</v>
      </c>
      <c r="AE904" t="str">
        <f>IF(AND(Audit_Data[[#This Row],[Year_Birth]]&gt;=1900,Audit_Data[[#This Row],[Year_Birth]]&lt;=2010),"OK","Invalid")</f>
        <v>OK</v>
      </c>
      <c r="AF904" t="str">
        <f t="shared" si="183"/>
        <v>Valid</v>
      </c>
      <c r="AG904" t="str">
        <f t="shared" si="184"/>
        <v>Valid</v>
      </c>
      <c r="AH904" t="str">
        <f t="shared" si="185"/>
        <v>Valid</v>
      </c>
      <c r="AI904" t="str">
        <f t="shared" si="186"/>
        <v>Valid</v>
      </c>
      <c r="AJ904" t="str">
        <f t="shared" si="187"/>
        <v>Valid</v>
      </c>
      <c r="AK904" t="str">
        <f t="shared" si="194"/>
        <v xml:space="preserve">Valid </v>
      </c>
      <c r="AL904" t="str">
        <f>IF(AND(Audit_Data[[#This Row],[Recency]]&gt;=0,Audit_Data[[#This Row],[Recency]]&lt;=100),"Valid","Invalid")</f>
        <v>Valid</v>
      </c>
      <c r="AM904" t="str">
        <f t="shared" si="188"/>
        <v>Valid</v>
      </c>
      <c r="AN904" t="str">
        <f t="shared" si="189"/>
        <v>Valid</v>
      </c>
      <c r="AO904" t="str">
        <f t="shared" si="190"/>
        <v>Valid</v>
      </c>
      <c r="AP904" t="str">
        <f t="shared" si="191"/>
        <v>Valid</v>
      </c>
      <c r="AQ904" t="str">
        <f>IF(Audit_Data[[#This Row],[Z_CostContact]]=3,"Valid","Invalid")</f>
        <v>Valid</v>
      </c>
      <c r="AR904" t="str">
        <f t="shared" si="192"/>
        <v>Valid</v>
      </c>
      <c r="AS904" t="str">
        <f t="shared" si="193"/>
        <v>Valid</v>
      </c>
    </row>
    <row r="905" spans="1:45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 t="str">
        <f t="shared" si="182"/>
        <v>Ok</v>
      </c>
      <c r="AE905" t="str">
        <f>IF(AND(Audit_Data[[#This Row],[Year_Birth]]&gt;=1900,Audit_Data[[#This Row],[Year_Birth]]&lt;=2010),"OK","Invalid")</f>
        <v>OK</v>
      </c>
      <c r="AF905" t="str">
        <f t="shared" si="183"/>
        <v>Valid</v>
      </c>
      <c r="AG905" t="str">
        <f t="shared" si="184"/>
        <v>Valid</v>
      </c>
      <c r="AH905" t="str">
        <f t="shared" si="185"/>
        <v>Valid</v>
      </c>
      <c r="AI905" t="str">
        <f t="shared" si="186"/>
        <v>Valid</v>
      </c>
      <c r="AJ905" t="str">
        <f t="shared" si="187"/>
        <v>Valid</v>
      </c>
      <c r="AK905" t="str">
        <f t="shared" si="194"/>
        <v xml:space="preserve">Valid </v>
      </c>
      <c r="AL905" t="str">
        <f>IF(AND(Audit_Data[[#This Row],[Recency]]&gt;=0,Audit_Data[[#This Row],[Recency]]&lt;=100),"Valid","Invalid")</f>
        <v>Valid</v>
      </c>
      <c r="AM905" t="str">
        <f t="shared" si="188"/>
        <v>Valid</v>
      </c>
      <c r="AN905" t="str">
        <f t="shared" si="189"/>
        <v>Valid</v>
      </c>
      <c r="AO905" t="str">
        <f t="shared" si="190"/>
        <v>Valid</v>
      </c>
      <c r="AP905" t="str">
        <f t="shared" si="191"/>
        <v>Valid</v>
      </c>
      <c r="AQ905" t="str">
        <f>IF(Audit_Data[[#This Row],[Z_CostContact]]=3,"Valid","Invalid")</f>
        <v>Valid</v>
      </c>
      <c r="AR905" t="str">
        <f t="shared" si="192"/>
        <v>Valid</v>
      </c>
      <c r="AS905" t="str">
        <f t="shared" si="193"/>
        <v>Valid</v>
      </c>
    </row>
    <row r="906" spans="1:45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 t="str">
        <f t="shared" si="182"/>
        <v>Ok</v>
      </c>
      <c r="AE906" t="str">
        <f>IF(AND(Audit_Data[[#This Row],[Year_Birth]]&gt;=1900,Audit_Data[[#This Row],[Year_Birth]]&lt;=2010),"OK","Invalid")</f>
        <v>OK</v>
      </c>
      <c r="AF906" t="str">
        <f t="shared" si="183"/>
        <v>Valid</v>
      </c>
      <c r="AG906" t="str">
        <f t="shared" si="184"/>
        <v>Valid</v>
      </c>
      <c r="AH906" t="str">
        <f t="shared" si="185"/>
        <v>Valid</v>
      </c>
      <c r="AI906" t="str">
        <f t="shared" si="186"/>
        <v>Valid</v>
      </c>
      <c r="AJ906" t="str">
        <f t="shared" si="187"/>
        <v>Valid</v>
      </c>
      <c r="AK906" t="str">
        <f t="shared" si="194"/>
        <v xml:space="preserve">Valid </v>
      </c>
      <c r="AL906" t="str">
        <f>IF(AND(Audit_Data[[#This Row],[Recency]]&gt;=0,Audit_Data[[#This Row],[Recency]]&lt;=100),"Valid","Invalid")</f>
        <v>Valid</v>
      </c>
      <c r="AM906" t="str">
        <f t="shared" si="188"/>
        <v>Valid</v>
      </c>
      <c r="AN906" t="str">
        <f t="shared" si="189"/>
        <v>Valid</v>
      </c>
      <c r="AO906" t="str">
        <f t="shared" si="190"/>
        <v>Valid</v>
      </c>
      <c r="AP906" t="str">
        <f t="shared" si="191"/>
        <v>Valid</v>
      </c>
      <c r="AQ906" t="str">
        <f>IF(Audit_Data[[#This Row],[Z_CostContact]]=3,"Valid","Invalid")</f>
        <v>Valid</v>
      </c>
      <c r="AR906" t="str">
        <f t="shared" si="192"/>
        <v>Valid</v>
      </c>
      <c r="AS906" t="str">
        <f t="shared" si="193"/>
        <v>Valid</v>
      </c>
    </row>
    <row r="907" spans="1:45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 t="str">
        <f t="shared" si="182"/>
        <v>Ok</v>
      </c>
      <c r="AE907" t="str">
        <f>IF(AND(Audit_Data[[#This Row],[Year_Birth]]&gt;=1900,Audit_Data[[#This Row],[Year_Birth]]&lt;=2010),"OK","Invalid")</f>
        <v>OK</v>
      </c>
      <c r="AF907" t="str">
        <f t="shared" si="183"/>
        <v>Valid</v>
      </c>
      <c r="AG907" t="str">
        <f t="shared" si="184"/>
        <v>Valid</v>
      </c>
      <c r="AH907" t="str">
        <f t="shared" si="185"/>
        <v>Valid</v>
      </c>
      <c r="AI907" t="str">
        <f t="shared" si="186"/>
        <v>Valid</v>
      </c>
      <c r="AJ907" t="str">
        <f t="shared" si="187"/>
        <v>Valid</v>
      </c>
      <c r="AK907" t="str">
        <f t="shared" si="194"/>
        <v xml:space="preserve">Valid </v>
      </c>
      <c r="AL907" t="str">
        <f>IF(AND(Audit_Data[[#This Row],[Recency]]&gt;=0,Audit_Data[[#This Row],[Recency]]&lt;=100),"Valid","Invalid")</f>
        <v>Valid</v>
      </c>
      <c r="AM907" t="str">
        <f t="shared" si="188"/>
        <v>Valid</v>
      </c>
      <c r="AN907" t="str">
        <f t="shared" si="189"/>
        <v>Valid</v>
      </c>
      <c r="AO907" t="str">
        <f t="shared" si="190"/>
        <v>Valid</v>
      </c>
      <c r="AP907" t="str">
        <f t="shared" si="191"/>
        <v>Valid</v>
      </c>
      <c r="AQ907" t="str">
        <f>IF(Audit_Data[[#This Row],[Z_CostContact]]=3,"Valid","Invalid")</f>
        <v>Valid</v>
      </c>
      <c r="AR907" t="str">
        <f t="shared" si="192"/>
        <v>Valid</v>
      </c>
      <c r="AS907" t="str">
        <f t="shared" si="193"/>
        <v>Valid</v>
      </c>
    </row>
    <row r="908" spans="1:45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 t="str">
        <f t="shared" si="182"/>
        <v>Ok</v>
      </c>
      <c r="AE908" t="str">
        <f>IF(AND(Audit_Data[[#This Row],[Year_Birth]]&gt;=1900,Audit_Data[[#This Row],[Year_Birth]]&lt;=2010),"OK","Invalid")</f>
        <v>OK</v>
      </c>
      <c r="AF908" t="str">
        <f t="shared" si="183"/>
        <v>Valid</v>
      </c>
      <c r="AG908" t="str">
        <f t="shared" si="184"/>
        <v>Valid</v>
      </c>
      <c r="AH908" t="str">
        <f t="shared" si="185"/>
        <v>Valid</v>
      </c>
      <c r="AI908" t="str">
        <f t="shared" si="186"/>
        <v>Valid</v>
      </c>
      <c r="AJ908" t="str">
        <f t="shared" si="187"/>
        <v>Valid</v>
      </c>
      <c r="AK908" t="str">
        <f t="shared" si="194"/>
        <v xml:space="preserve">Valid </v>
      </c>
      <c r="AL908" t="str">
        <f>IF(AND(Audit_Data[[#This Row],[Recency]]&gt;=0,Audit_Data[[#This Row],[Recency]]&lt;=100),"Valid","Invalid")</f>
        <v>Valid</v>
      </c>
      <c r="AM908" t="str">
        <f t="shared" si="188"/>
        <v>Valid</v>
      </c>
      <c r="AN908" t="str">
        <f t="shared" si="189"/>
        <v>Valid</v>
      </c>
      <c r="AO908" t="str">
        <f t="shared" si="190"/>
        <v>Valid</v>
      </c>
      <c r="AP908" t="str">
        <f t="shared" si="191"/>
        <v>Valid</v>
      </c>
      <c r="AQ908" t="str">
        <f>IF(Audit_Data[[#This Row],[Z_CostContact]]=3,"Valid","Invalid")</f>
        <v>Valid</v>
      </c>
      <c r="AR908" t="str">
        <f t="shared" si="192"/>
        <v>Valid</v>
      </c>
      <c r="AS908" t="str">
        <f t="shared" si="193"/>
        <v>Valid</v>
      </c>
    </row>
    <row r="909" spans="1:45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 t="str">
        <f t="shared" si="182"/>
        <v>Ok</v>
      </c>
      <c r="AE909" t="str">
        <f>IF(AND(Audit_Data[[#This Row],[Year_Birth]]&gt;=1900,Audit_Data[[#This Row],[Year_Birth]]&lt;=2010),"OK","Invalid")</f>
        <v>OK</v>
      </c>
      <c r="AF909" t="str">
        <f t="shared" si="183"/>
        <v>Valid</v>
      </c>
      <c r="AG909" t="str">
        <f t="shared" si="184"/>
        <v>Valid</v>
      </c>
      <c r="AH909" t="str">
        <f t="shared" si="185"/>
        <v>Valid</v>
      </c>
      <c r="AI909" t="str">
        <f t="shared" si="186"/>
        <v>Valid</v>
      </c>
      <c r="AJ909" t="str">
        <f t="shared" si="187"/>
        <v>Valid</v>
      </c>
      <c r="AK909" t="str">
        <f t="shared" si="194"/>
        <v xml:space="preserve">Valid </v>
      </c>
      <c r="AL909" t="str">
        <f>IF(AND(Audit_Data[[#This Row],[Recency]]&gt;=0,Audit_Data[[#This Row],[Recency]]&lt;=100),"Valid","Invalid")</f>
        <v>Valid</v>
      </c>
      <c r="AM909" t="str">
        <f t="shared" si="188"/>
        <v>Valid</v>
      </c>
      <c r="AN909" t="str">
        <f t="shared" si="189"/>
        <v>Valid</v>
      </c>
      <c r="AO909" t="str">
        <f t="shared" si="190"/>
        <v>Valid</v>
      </c>
      <c r="AP909" t="str">
        <f t="shared" si="191"/>
        <v>Valid</v>
      </c>
      <c r="AQ909" t="str">
        <f>IF(Audit_Data[[#This Row],[Z_CostContact]]=3,"Valid","Invalid")</f>
        <v>Valid</v>
      </c>
      <c r="AR909" t="str">
        <f t="shared" si="192"/>
        <v>Valid</v>
      </c>
      <c r="AS909" t="str">
        <f t="shared" si="193"/>
        <v>Valid</v>
      </c>
    </row>
    <row r="910" spans="1:45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 t="str">
        <f t="shared" si="182"/>
        <v>Ok</v>
      </c>
      <c r="AE910" t="str">
        <f>IF(AND(Audit_Data[[#This Row],[Year_Birth]]&gt;=1900,Audit_Data[[#This Row],[Year_Birth]]&lt;=2010),"OK","Invalid")</f>
        <v>OK</v>
      </c>
      <c r="AF910" t="str">
        <f t="shared" si="183"/>
        <v>Valid</v>
      </c>
      <c r="AG910" t="str">
        <f t="shared" si="184"/>
        <v>Valid</v>
      </c>
      <c r="AH910" t="str">
        <f t="shared" si="185"/>
        <v>Valid</v>
      </c>
      <c r="AI910" t="str">
        <f t="shared" si="186"/>
        <v>Valid</v>
      </c>
      <c r="AJ910" t="str">
        <f t="shared" si="187"/>
        <v>Valid</v>
      </c>
      <c r="AK910" t="str">
        <f t="shared" si="194"/>
        <v xml:space="preserve">Valid </v>
      </c>
      <c r="AL910" t="str">
        <f>IF(AND(Audit_Data[[#This Row],[Recency]]&gt;=0,Audit_Data[[#This Row],[Recency]]&lt;=100),"Valid","Invalid")</f>
        <v>Valid</v>
      </c>
      <c r="AM910" t="str">
        <f t="shared" si="188"/>
        <v>Valid</v>
      </c>
      <c r="AN910" t="str">
        <f t="shared" si="189"/>
        <v>Valid</v>
      </c>
      <c r="AO910" t="str">
        <f t="shared" si="190"/>
        <v>Valid</v>
      </c>
      <c r="AP910" t="str">
        <f t="shared" si="191"/>
        <v>Valid</v>
      </c>
      <c r="AQ910" t="str">
        <f>IF(Audit_Data[[#This Row],[Z_CostContact]]=3,"Valid","Invalid")</f>
        <v>Valid</v>
      </c>
      <c r="AR910" t="str">
        <f t="shared" si="192"/>
        <v>Valid</v>
      </c>
      <c r="AS910" t="str">
        <f t="shared" si="193"/>
        <v>Valid</v>
      </c>
    </row>
    <row r="911" spans="1:45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 t="str">
        <f t="shared" si="182"/>
        <v>Ok</v>
      </c>
      <c r="AE911" t="str">
        <f>IF(AND(Audit_Data[[#This Row],[Year_Birth]]&gt;=1900,Audit_Data[[#This Row],[Year_Birth]]&lt;=2010),"OK","Invalid")</f>
        <v>OK</v>
      </c>
      <c r="AF911" t="str">
        <f t="shared" si="183"/>
        <v>Valid</v>
      </c>
      <c r="AG911" t="str">
        <f t="shared" si="184"/>
        <v>Valid</v>
      </c>
      <c r="AH911" t="str">
        <f t="shared" si="185"/>
        <v>Valid</v>
      </c>
      <c r="AI911" t="str">
        <f t="shared" si="186"/>
        <v>Valid</v>
      </c>
      <c r="AJ911" t="str">
        <f t="shared" si="187"/>
        <v>Valid</v>
      </c>
      <c r="AK911" t="str">
        <f t="shared" si="194"/>
        <v xml:space="preserve">Valid </v>
      </c>
      <c r="AL911" t="str">
        <f>IF(AND(Audit_Data[[#This Row],[Recency]]&gt;=0,Audit_Data[[#This Row],[Recency]]&lt;=100),"Valid","Invalid")</f>
        <v>Valid</v>
      </c>
      <c r="AM911" t="str">
        <f t="shared" si="188"/>
        <v>Valid</v>
      </c>
      <c r="AN911" t="str">
        <f t="shared" si="189"/>
        <v>Valid</v>
      </c>
      <c r="AO911" t="str">
        <f t="shared" si="190"/>
        <v>Valid</v>
      </c>
      <c r="AP911" t="str">
        <f t="shared" si="191"/>
        <v>Valid</v>
      </c>
      <c r="AQ911" t="str">
        <f>IF(Audit_Data[[#This Row],[Z_CostContact]]=3,"Valid","Invalid")</f>
        <v>Valid</v>
      </c>
      <c r="AR911" t="str">
        <f t="shared" si="192"/>
        <v>Valid</v>
      </c>
      <c r="AS911" t="str">
        <f t="shared" si="193"/>
        <v>Valid</v>
      </c>
    </row>
    <row r="912" spans="1:45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 t="str">
        <f t="shared" si="182"/>
        <v>Ok</v>
      </c>
      <c r="AE912" t="str">
        <f>IF(AND(Audit_Data[[#This Row],[Year_Birth]]&gt;=1900,Audit_Data[[#This Row],[Year_Birth]]&lt;=2010),"OK","Invalid")</f>
        <v>OK</v>
      </c>
      <c r="AF912" t="str">
        <f t="shared" si="183"/>
        <v>Valid</v>
      </c>
      <c r="AG912" t="str">
        <f t="shared" si="184"/>
        <v>Valid</v>
      </c>
      <c r="AH912" t="str">
        <f t="shared" si="185"/>
        <v>Valid</v>
      </c>
      <c r="AI912" t="str">
        <f t="shared" si="186"/>
        <v>Valid</v>
      </c>
      <c r="AJ912" t="str">
        <f t="shared" si="187"/>
        <v>Valid</v>
      </c>
      <c r="AK912" t="str">
        <f t="shared" si="194"/>
        <v xml:space="preserve">Valid </v>
      </c>
      <c r="AL912" t="str">
        <f>IF(AND(Audit_Data[[#This Row],[Recency]]&gt;=0,Audit_Data[[#This Row],[Recency]]&lt;=100),"Valid","Invalid")</f>
        <v>Valid</v>
      </c>
      <c r="AM912" t="str">
        <f t="shared" si="188"/>
        <v>Valid</v>
      </c>
      <c r="AN912" t="str">
        <f t="shared" si="189"/>
        <v>Valid</v>
      </c>
      <c r="AO912" t="str">
        <f t="shared" si="190"/>
        <v>Valid</v>
      </c>
      <c r="AP912" t="str">
        <f t="shared" si="191"/>
        <v>Valid</v>
      </c>
      <c r="AQ912" t="str">
        <f>IF(Audit_Data[[#This Row],[Z_CostContact]]=3,"Valid","Invalid")</f>
        <v>Valid</v>
      </c>
      <c r="AR912" t="str">
        <f t="shared" si="192"/>
        <v>Valid</v>
      </c>
      <c r="AS912" t="str">
        <f t="shared" si="193"/>
        <v>Valid</v>
      </c>
    </row>
    <row r="913" spans="1:45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 t="str">
        <f t="shared" si="182"/>
        <v>Ok</v>
      </c>
      <c r="AE913" t="str">
        <f>IF(AND(Audit_Data[[#This Row],[Year_Birth]]&gt;=1900,Audit_Data[[#This Row],[Year_Birth]]&lt;=2010),"OK","Invalid")</f>
        <v>OK</v>
      </c>
      <c r="AF913" t="str">
        <f t="shared" si="183"/>
        <v>Valid</v>
      </c>
      <c r="AG913" t="str">
        <f t="shared" si="184"/>
        <v>Valid</v>
      </c>
      <c r="AH913" t="str">
        <f t="shared" si="185"/>
        <v>Valid</v>
      </c>
      <c r="AI913" t="str">
        <f t="shared" si="186"/>
        <v>Valid</v>
      </c>
      <c r="AJ913" t="str">
        <f t="shared" si="187"/>
        <v>Valid</v>
      </c>
      <c r="AK913" t="str">
        <f t="shared" si="194"/>
        <v xml:space="preserve">Valid </v>
      </c>
      <c r="AL913" t="str">
        <f>IF(AND(Audit_Data[[#This Row],[Recency]]&gt;=0,Audit_Data[[#This Row],[Recency]]&lt;=100),"Valid","Invalid")</f>
        <v>Valid</v>
      </c>
      <c r="AM913" t="str">
        <f t="shared" si="188"/>
        <v>Valid</v>
      </c>
      <c r="AN913" t="str">
        <f t="shared" si="189"/>
        <v>Valid</v>
      </c>
      <c r="AO913" t="str">
        <f t="shared" si="190"/>
        <v>Valid</v>
      </c>
      <c r="AP913" t="str">
        <f t="shared" si="191"/>
        <v>Valid</v>
      </c>
      <c r="AQ913" t="str">
        <f>IF(Audit_Data[[#This Row],[Z_CostContact]]=3,"Valid","Invalid")</f>
        <v>Valid</v>
      </c>
      <c r="AR913" t="str">
        <f t="shared" si="192"/>
        <v>Valid</v>
      </c>
      <c r="AS913" t="str">
        <f t="shared" si="193"/>
        <v>Valid</v>
      </c>
    </row>
    <row r="914" spans="1:45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 t="str">
        <f t="shared" si="182"/>
        <v>Ok</v>
      </c>
      <c r="AE914" t="str">
        <f>IF(AND(Audit_Data[[#This Row],[Year_Birth]]&gt;=1900,Audit_Data[[#This Row],[Year_Birth]]&lt;=2010),"OK","Invalid")</f>
        <v>OK</v>
      </c>
      <c r="AF914" t="str">
        <f t="shared" si="183"/>
        <v>Valid</v>
      </c>
      <c r="AG914" t="str">
        <f t="shared" si="184"/>
        <v>Valid</v>
      </c>
      <c r="AH914" t="str">
        <f t="shared" si="185"/>
        <v>Valid</v>
      </c>
      <c r="AI914" t="str">
        <f t="shared" si="186"/>
        <v>Valid</v>
      </c>
      <c r="AJ914" t="str">
        <f t="shared" si="187"/>
        <v>Valid</v>
      </c>
      <c r="AK914" t="str">
        <f t="shared" si="194"/>
        <v xml:space="preserve">Valid </v>
      </c>
      <c r="AL914" t="str">
        <f>IF(AND(Audit_Data[[#This Row],[Recency]]&gt;=0,Audit_Data[[#This Row],[Recency]]&lt;=100),"Valid","Invalid")</f>
        <v>Valid</v>
      </c>
      <c r="AM914" t="str">
        <f t="shared" si="188"/>
        <v>Valid</v>
      </c>
      <c r="AN914" t="str">
        <f t="shared" si="189"/>
        <v>Valid</v>
      </c>
      <c r="AO914" t="str">
        <f t="shared" si="190"/>
        <v>Valid</v>
      </c>
      <c r="AP914" t="str">
        <f t="shared" si="191"/>
        <v>Valid</v>
      </c>
      <c r="AQ914" t="str">
        <f>IF(Audit_Data[[#This Row],[Z_CostContact]]=3,"Valid","Invalid")</f>
        <v>Valid</v>
      </c>
      <c r="AR914" t="str">
        <f t="shared" si="192"/>
        <v>Valid</v>
      </c>
      <c r="AS914" t="str">
        <f t="shared" si="193"/>
        <v>Valid</v>
      </c>
    </row>
    <row r="915" spans="1:45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 t="str">
        <f t="shared" si="182"/>
        <v>Ok</v>
      </c>
      <c r="AE915" t="str">
        <f>IF(AND(Audit_Data[[#This Row],[Year_Birth]]&gt;=1900,Audit_Data[[#This Row],[Year_Birth]]&lt;=2010),"OK","Invalid")</f>
        <v>OK</v>
      </c>
      <c r="AF915" t="str">
        <f t="shared" si="183"/>
        <v>Valid</v>
      </c>
      <c r="AG915" t="str">
        <f t="shared" si="184"/>
        <v>Valid</v>
      </c>
      <c r="AH915" t="str">
        <f t="shared" si="185"/>
        <v>Valid</v>
      </c>
      <c r="AI915" t="str">
        <f t="shared" si="186"/>
        <v>Valid</v>
      </c>
      <c r="AJ915" t="str">
        <f t="shared" si="187"/>
        <v>Valid</v>
      </c>
      <c r="AK915" t="str">
        <f t="shared" si="194"/>
        <v xml:space="preserve">Valid </v>
      </c>
      <c r="AL915" t="str">
        <f>IF(AND(Audit_Data[[#This Row],[Recency]]&gt;=0,Audit_Data[[#This Row],[Recency]]&lt;=100),"Valid","Invalid")</f>
        <v>Valid</v>
      </c>
      <c r="AM915" t="str">
        <f t="shared" si="188"/>
        <v>Valid</v>
      </c>
      <c r="AN915" t="str">
        <f t="shared" si="189"/>
        <v>Valid</v>
      </c>
      <c r="AO915" t="str">
        <f t="shared" si="190"/>
        <v>Valid</v>
      </c>
      <c r="AP915" t="str">
        <f t="shared" si="191"/>
        <v>Valid</v>
      </c>
      <c r="AQ915" t="str">
        <f>IF(Audit_Data[[#This Row],[Z_CostContact]]=3,"Valid","Invalid")</f>
        <v>Valid</v>
      </c>
      <c r="AR915" t="str">
        <f t="shared" si="192"/>
        <v>Valid</v>
      </c>
      <c r="AS915" t="str">
        <f t="shared" si="193"/>
        <v>Valid</v>
      </c>
    </row>
    <row r="916" spans="1:45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 t="str">
        <f t="shared" si="182"/>
        <v>Ok</v>
      </c>
      <c r="AE916" t="str">
        <f>IF(AND(Audit_Data[[#This Row],[Year_Birth]]&gt;=1900,Audit_Data[[#This Row],[Year_Birth]]&lt;=2010),"OK","Invalid")</f>
        <v>OK</v>
      </c>
      <c r="AF916" t="str">
        <f t="shared" si="183"/>
        <v>Valid</v>
      </c>
      <c r="AG916" t="str">
        <f t="shared" si="184"/>
        <v>Valid</v>
      </c>
      <c r="AH916" t="str">
        <f t="shared" si="185"/>
        <v>Valid</v>
      </c>
      <c r="AI916" t="str">
        <f t="shared" si="186"/>
        <v>Valid</v>
      </c>
      <c r="AJ916" t="str">
        <f t="shared" si="187"/>
        <v>Valid</v>
      </c>
      <c r="AK916" t="str">
        <f t="shared" si="194"/>
        <v xml:space="preserve">Valid </v>
      </c>
      <c r="AL916" t="str">
        <f>IF(AND(Audit_Data[[#This Row],[Recency]]&gt;=0,Audit_Data[[#This Row],[Recency]]&lt;=100),"Valid","Invalid")</f>
        <v>Valid</v>
      </c>
      <c r="AM916" t="str">
        <f t="shared" si="188"/>
        <v>Valid</v>
      </c>
      <c r="AN916" t="str">
        <f t="shared" si="189"/>
        <v>Valid</v>
      </c>
      <c r="AO916" t="str">
        <f t="shared" si="190"/>
        <v>Valid</v>
      </c>
      <c r="AP916" t="str">
        <f t="shared" si="191"/>
        <v>Valid</v>
      </c>
      <c r="AQ916" t="str">
        <f>IF(Audit_Data[[#This Row],[Z_CostContact]]=3,"Valid","Invalid")</f>
        <v>Valid</v>
      </c>
      <c r="AR916" t="str">
        <f t="shared" si="192"/>
        <v>Valid</v>
      </c>
      <c r="AS916" t="str">
        <f t="shared" si="193"/>
        <v>Valid</v>
      </c>
    </row>
    <row r="917" spans="1:45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 t="str">
        <f t="shared" si="182"/>
        <v>Ok</v>
      </c>
      <c r="AE917" t="str">
        <f>IF(AND(Audit_Data[[#This Row],[Year_Birth]]&gt;=1900,Audit_Data[[#This Row],[Year_Birth]]&lt;=2010),"OK","Invalid")</f>
        <v>OK</v>
      </c>
      <c r="AF917" t="str">
        <f t="shared" si="183"/>
        <v>Valid</v>
      </c>
      <c r="AG917" t="str">
        <f t="shared" si="184"/>
        <v>Valid</v>
      </c>
      <c r="AH917" t="str">
        <f t="shared" si="185"/>
        <v>Valid</v>
      </c>
      <c r="AI917" t="str">
        <f t="shared" si="186"/>
        <v>Valid</v>
      </c>
      <c r="AJ917" t="str">
        <f t="shared" si="187"/>
        <v>Valid</v>
      </c>
      <c r="AK917" t="str">
        <f t="shared" si="194"/>
        <v xml:space="preserve">Valid </v>
      </c>
      <c r="AL917" t="str">
        <f>IF(AND(Audit_Data[[#This Row],[Recency]]&gt;=0,Audit_Data[[#This Row],[Recency]]&lt;=100),"Valid","Invalid")</f>
        <v>Valid</v>
      </c>
      <c r="AM917" t="str">
        <f t="shared" si="188"/>
        <v>Valid</v>
      </c>
      <c r="AN917" t="str">
        <f t="shared" si="189"/>
        <v>Valid</v>
      </c>
      <c r="AO917" t="str">
        <f t="shared" si="190"/>
        <v>Valid</v>
      </c>
      <c r="AP917" t="str">
        <f t="shared" si="191"/>
        <v>Valid</v>
      </c>
      <c r="AQ917" t="str">
        <f>IF(Audit_Data[[#This Row],[Z_CostContact]]=3,"Valid","Invalid")</f>
        <v>Valid</v>
      </c>
      <c r="AR917" t="str">
        <f t="shared" si="192"/>
        <v>Valid</v>
      </c>
      <c r="AS917" t="str">
        <f t="shared" si="193"/>
        <v>Valid</v>
      </c>
    </row>
    <row r="918" spans="1:45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 t="str">
        <f t="shared" si="182"/>
        <v>Ok</v>
      </c>
      <c r="AE918" t="str">
        <f>IF(AND(Audit_Data[[#This Row],[Year_Birth]]&gt;=1900,Audit_Data[[#This Row],[Year_Birth]]&lt;=2010),"OK","Invalid")</f>
        <v>OK</v>
      </c>
      <c r="AF918" t="str">
        <f t="shared" si="183"/>
        <v>Valid</v>
      </c>
      <c r="AG918" t="str">
        <f t="shared" si="184"/>
        <v>Valid</v>
      </c>
      <c r="AH918" t="str">
        <f t="shared" si="185"/>
        <v>Valid</v>
      </c>
      <c r="AI918" t="str">
        <f t="shared" si="186"/>
        <v>Valid</v>
      </c>
      <c r="AJ918" t="str">
        <f t="shared" si="187"/>
        <v>Valid</v>
      </c>
      <c r="AK918" t="str">
        <f t="shared" si="194"/>
        <v xml:space="preserve">Valid </v>
      </c>
      <c r="AL918" t="str">
        <f>IF(AND(Audit_Data[[#This Row],[Recency]]&gt;=0,Audit_Data[[#This Row],[Recency]]&lt;=100),"Valid","Invalid")</f>
        <v>Valid</v>
      </c>
      <c r="AM918" t="str">
        <f t="shared" si="188"/>
        <v>Valid</v>
      </c>
      <c r="AN918" t="str">
        <f t="shared" si="189"/>
        <v>Valid</v>
      </c>
      <c r="AO918" t="str">
        <f t="shared" si="190"/>
        <v>Valid</v>
      </c>
      <c r="AP918" t="str">
        <f t="shared" si="191"/>
        <v>Valid</v>
      </c>
      <c r="AQ918" t="str">
        <f>IF(Audit_Data[[#This Row],[Z_CostContact]]=3,"Valid","Invalid")</f>
        <v>Valid</v>
      </c>
      <c r="AR918" t="str">
        <f t="shared" si="192"/>
        <v>Valid</v>
      </c>
      <c r="AS918" t="str">
        <f t="shared" si="193"/>
        <v>Valid</v>
      </c>
    </row>
    <row r="919" spans="1:45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 t="str">
        <f t="shared" si="182"/>
        <v>Ok</v>
      </c>
      <c r="AE919" t="str">
        <f>IF(AND(Audit_Data[[#This Row],[Year_Birth]]&gt;=1900,Audit_Data[[#This Row],[Year_Birth]]&lt;=2010),"OK","Invalid")</f>
        <v>OK</v>
      </c>
      <c r="AF919" t="str">
        <f t="shared" si="183"/>
        <v>Valid</v>
      </c>
      <c r="AG919" t="str">
        <f t="shared" si="184"/>
        <v>Valid</v>
      </c>
      <c r="AH919" t="str">
        <f t="shared" si="185"/>
        <v>Valid</v>
      </c>
      <c r="AI919" t="str">
        <f t="shared" si="186"/>
        <v>Valid</v>
      </c>
      <c r="AJ919" t="str">
        <f t="shared" si="187"/>
        <v>Valid</v>
      </c>
      <c r="AK919" t="str">
        <f t="shared" si="194"/>
        <v xml:space="preserve">Valid </v>
      </c>
      <c r="AL919" t="str">
        <f>IF(AND(Audit_Data[[#This Row],[Recency]]&gt;=0,Audit_Data[[#This Row],[Recency]]&lt;=100),"Valid","Invalid")</f>
        <v>Valid</v>
      </c>
      <c r="AM919" t="str">
        <f t="shared" si="188"/>
        <v>Valid</v>
      </c>
      <c r="AN919" t="str">
        <f t="shared" si="189"/>
        <v>Valid</v>
      </c>
      <c r="AO919" t="str">
        <f t="shared" si="190"/>
        <v>Valid</v>
      </c>
      <c r="AP919" t="str">
        <f t="shared" si="191"/>
        <v>Valid</v>
      </c>
      <c r="AQ919" t="str">
        <f>IF(Audit_Data[[#This Row],[Z_CostContact]]=3,"Valid","Invalid")</f>
        <v>Valid</v>
      </c>
      <c r="AR919" t="str">
        <f t="shared" si="192"/>
        <v>Valid</v>
      </c>
      <c r="AS919" t="str">
        <f t="shared" si="193"/>
        <v>Valid</v>
      </c>
    </row>
    <row r="920" spans="1:45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 t="str">
        <f t="shared" si="182"/>
        <v>Ok</v>
      </c>
      <c r="AE920" t="str">
        <f>IF(AND(Audit_Data[[#This Row],[Year_Birth]]&gt;=1900,Audit_Data[[#This Row],[Year_Birth]]&lt;=2010),"OK","Invalid")</f>
        <v>OK</v>
      </c>
      <c r="AF920" t="str">
        <f t="shared" si="183"/>
        <v>Valid</v>
      </c>
      <c r="AG920" t="str">
        <f t="shared" si="184"/>
        <v>Valid</v>
      </c>
      <c r="AH920" t="str">
        <f t="shared" si="185"/>
        <v>Valid</v>
      </c>
      <c r="AI920" t="str">
        <f t="shared" si="186"/>
        <v>Valid</v>
      </c>
      <c r="AJ920" t="str">
        <f t="shared" si="187"/>
        <v>Valid</v>
      </c>
      <c r="AK920" t="str">
        <f t="shared" si="194"/>
        <v xml:space="preserve">Valid </v>
      </c>
      <c r="AL920" t="str">
        <f>IF(AND(Audit_Data[[#This Row],[Recency]]&gt;=0,Audit_Data[[#This Row],[Recency]]&lt;=100),"Valid","Invalid")</f>
        <v>Valid</v>
      </c>
      <c r="AM920" t="str">
        <f t="shared" si="188"/>
        <v>Valid</v>
      </c>
      <c r="AN920" t="str">
        <f t="shared" si="189"/>
        <v>Valid</v>
      </c>
      <c r="AO920" t="str">
        <f t="shared" si="190"/>
        <v>Valid</v>
      </c>
      <c r="AP920" t="str">
        <f t="shared" si="191"/>
        <v>Valid</v>
      </c>
      <c r="AQ920" t="str">
        <f>IF(Audit_Data[[#This Row],[Z_CostContact]]=3,"Valid","Invalid")</f>
        <v>Valid</v>
      </c>
      <c r="AR920" t="str">
        <f t="shared" si="192"/>
        <v>Valid</v>
      </c>
      <c r="AS920" t="str">
        <f t="shared" si="193"/>
        <v>Valid</v>
      </c>
    </row>
    <row r="921" spans="1:45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 t="str">
        <f t="shared" si="182"/>
        <v>Ok</v>
      </c>
      <c r="AE921" t="str">
        <f>IF(AND(Audit_Data[[#This Row],[Year_Birth]]&gt;=1900,Audit_Data[[#This Row],[Year_Birth]]&lt;=2010),"OK","Invalid")</f>
        <v>OK</v>
      </c>
      <c r="AF921" t="str">
        <f t="shared" si="183"/>
        <v>Valid</v>
      </c>
      <c r="AG921" t="str">
        <f t="shared" si="184"/>
        <v>Valid</v>
      </c>
      <c r="AH921" t="str">
        <f t="shared" si="185"/>
        <v>Valid</v>
      </c>
      <c r="AI921" t="str">
        <f t="shared" si="186"/>
        <v>Valid</v>
      </c>
      <c r="AJ921" t="str">
        <f t="shared" si="187"/>
        <v>Valid</v>
      </c>
      <c r="AK921" t="str">
        <f t="shared" si="194"/>
        <v xml:space="preserve">Valid </v>
      </c>
      <c r="AL921" t="str">
        <f>IF(AND(Audit_Data[[#This Row],[Recency]]&gt;=0,Audit_Data[[#This Row],[Recency]]&lt;=100),"Valid","Invalid")</f>
        <v>Valid</v>
      </c>
      <c r="AM921" t="str">
        <f t="shared" si="188"/>
        <v>Valid</v>
      </c>
      <c r="AN921" t="str">
        <f t="shared" si="189"/>
        <v>Valid</v>
      </c>
      <c r="AO921" t="str">
        <f t="shared" si="190"/>
        <v>Valid</v>
      </c>
      <c r="AP921" t="str">
        <f t="shared" si="191"/>
        <v>Valid</v>
      </c>
      <c r="AQ921" t="str">
        <f>IF(Audit_Data[[#This Row],[Z_CostContact]]=3,"Valid","Invalid")</f>
        <v>Valid</v>
      </c>
      <c r="AR921" t="str">
        <f t="shared" si="192"/>
        <v>Valid</v>
      </c>
      <c r="AS921" t="str">
        <f t="shared" si="193"/>
        <v>Valid</v>
      </c>
    </row>
    <row r="922" spans="1:45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 t="str">
        <f t="shared" si="182"/>
        <v>Ok</v>
      </c>
      <c r="AE922" t="str">
        <f>IF(AND(Audit_Data[[#This Row],[Year_Birth]]&gt;=1900,Audit_Data[[#This Row],[Year_Birth]]&lt;=2010),"OK","Invalid")</f>
        <v>OK</v>
      </c>
      <c r="AF922" t="str">
        <f t="shared" si="183"/>
        <v>Valid</v>
      </c>
      <c r="AG922" t="str">
        <f t="shared" si="184"/>
        <v>Valid</v>
      </c>
      <c r="AH922" t="str">
        <f t="shared" si="185"/>
        <v>Valid</v>
      </c>
      <c r="AI922" t="str">
        <f t="shared" si="186"/>
        <v>Valid</v>
      </c>
      <c r="AJ922" t="str">
        <f t="shared" si="187"/>
        <v>Valid</v>
      </c>
      <c r="AK922" t="str">
        <f t="shared" si="194"/>
        <v xml:space="preserve">Valid </v>
      </c>
      <c r="AL922" t="str">
        <f>IF(AND(Audit_Data[[#This Row],[Recency]]&gt;=0,Audit_Data[[#This Row],[Recency]]&lt;=100),"Valid","Invalid")</f>
        <v>Valid</v>
      </c>
      <c r="AM922" t="str">
        <f t="shared" si="188"/>
        <v>Valid</v>
      </c>
      <c r="AN922" t="str">
        <f t="shared" si="189"/>
        <v>Valid</v>
      </c>
      <c r="AO922" t="str">
        <f t="shared" si="190"/>
        <v>Valid</v>
      </c>
      <c r="AP922" t="str">
        <f t="shared" si="191"/>
        <v>Valid</v>
      </c>
      <c r="AQ922" t="str">
        <f>IF(Audit_Data[[#This Row],[Z_CostContact]]=3,"Valid","Invalid")</f>
        <v>Valid</v>
      </c>
      <c r="AR922" t="str">
        <f t="shared" si="192"/>
        <v>Valid</v>
      </c>
      <c r="AS922" t="str">
        <f t="shared" si="193"/>
        <v>Valid</v>
      </c>
    </row>
    <row r="923" spans="1:45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 t="str">
        <f t="shared" si="182"/>
        <v>Ok</v>
      </c>
      <c r="AE923" t="str">
        <f>IF(AND(Audit_Data[[#This Row],[Year_Birth]]&gt;=1900,Audit_Data[[#This Row],[Year_Birth]]&lt;=2010),"OK","Invalid")</f>
        <v>OK</v>
      </c>
      <c r="AF923" t="str">
        <f t="shared" si="183"/>
        <v>Valid</v>
      </c>
      <c r="AG923" t="str">
        <f t="shared" si="184"/>
        <v>Valid</v>
      </c>
      <c r="AH923" t="str">
        <f t="shared" si="185"/>
        <v>Valid</v>
      </c>
      <c r="AI923" t="str">
        <f t="shared" si="186"/>
        <v>Valid</v>
      </c>
      <c r="AJ923" t="str">
        <f t="shared" si="187"/>
        <v>Valid</v>
      </c>
      <c r="AK923" t="str">
        <f t="shared" si="194"/>
        <v xml:space="preserve">Valid </v>
      </c>
      <c r="AL923" t="str">
        <f>IF(AND(Audit_Data[[#This Row],[Recency]]&gt;=0,Audit_Data[[#This Row],[Recency]]&lt;=100),"Valid","Invalid")</f>
        <v>Valid</v>
      </c>
      <c r="AM923" t="str">
        <f t="shared" si="188"/>
        <v>Valid</v>
      </c>
      <c r="AN923" t="str">
        <f t="shared" si="189"/>
        <v>Valid</v>
      </c>
      <c r="AO923" t="str">
        <f t="shared" si="190"/>
        <v>Valid</v>
      </c>
      <c r="AP923" t="str">
        <f t="shared" si="191"/>
        <v>Valid</v>
      </c>
      <c r="AQ923" t="str">
        <f>IF(Audit_Data[[#This Row],[Z_CostContact]]=3,"Valid","Invalid")</f>
        <v>Valid</v>
      </c>
      <c r="AR923" t="str">
        <f t="shared" si="192"/>
        <v>Valid</v>
      </c>
      <c r="AS923" t="str">
        <f t="shared" si="193"/>
        <v>Valid</v>
      </c>
    </row>
    <row r="924" spans="1:45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 t="str">
        <f t="shared" si="182"/>
        <v>Ok</v>
      </c>
      <c r="AE924" t="str">
        <f>IF(AND(Audit_Data[[#This Row],[Year_Birth]]&gt;=1900,Audit_Data[[#This Row],[Year_Birth]]&lt;=2010),"OK","Invalid")</f>
        <v>OK</v>
      </c>
      <c r="AF924" t="str">
        <f t="shared" si="183"/>
        <v>Valid</v>
      </c>
      <c r="AG924" t="str">
        <f t="shared" si="184"/>
        <v>Valid</v>
      </c>
      <c r="AH924" t="str">
        <f t="shared" si="185"/>
        <v>Valid</v>
      </c>
      <c r="AI924" t="str">
        <f t="shared" si="186"/>
        <v>Valid</v>
      </c>
      <c r="AJ924" t="str">
        <f t="shared" si="187"/>
        <v>Valid</v>
      </c>
      <c r="AK924" t="str">
        <f t="shared" si="194"/>
        <v xml:space="preserve">Valid </v>
      </c>
      <c r="AL924" t="str">
        <f>IF(AND(Audit_Data[[#This Row],[Recency]]&gt;=0,Audit_Data[[#This Row],[Recency]]&lt;=100),"Valid","Invalid")</f>
        <v>Valid</v>
      </c>
      <c r="AM924" t="str">
        <f t="shared" si="188"/>
        <v>Valid</v>
      </c>
      <c r="AN924" t="str">
        <f t="shared" si="189"/>
        <v>Valid</v>
      </c>
      <c r="AO924" t="str">
        <f t="shared" si="190"/>
        <v>Valid</v>
      </c>
      <c r="AP924" t="str">
        <f t="shared" si="191"/>
        <v>Valid</v>
      </c>
      <c r="AQ924" t="str">
        <f>IF(Audit_Data[[#This Row],[Z_CostContact]]=3,"Valid","Invalid")</f>
        <v>Valid</v>
      </c>
      <c r="AR924" t="str">
        <f t="shared" si="192"/>
        <v>Valid</v>
      </c>
      <c r="AS924" t="str">
        <f t="shared" si="193"/>
        <v>Valid</v>
      </c>
    </row>
    <row r="925" spans="1:45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 t="str">
        <f t="shared" si="182"/>
        <v>Ok</v>
      </c>
      <c r="AE925" t="str">
        <f>IF(AND(Audit_Data[[#This Row],[Year_Birth]]&gt;=1900,Audit_Data[[#This Row],[Year_Birth]]&lt;=2010),"OK","Invalid")</f>
        <v>OK</v>
      </c>
      <c r="AF925" t="str">
        <f t="shared" si="183"/>
        <v>Valid</v>
      </c>
      <c r="AG925" t="str">
        <f t="shared" si="184"/>
        <v>Valid</v>
      </c>
      <c r="AH925" t="str">
        <f t="shared" si="185"/>
        <v>Valid</v>
      </c>
      <c r="AI925" t="str">
        <f t="shared" si="186"/>
        <v>Valid</v>
      </c>
      <c r="AJ925" t="str">
        <f t="shared" si="187"/>
        <v>Valid</v>
      </c>
      <c r="AK925" t="str">
        <f t="shared" si="194"/>
        <v xml:space="preserve">Valid </v>
      </c>
      <c r="AL925" t="str">
        <f>IF(AND(Audit_Data[[#This Row],[Recency]]&gt;=0,Audit_Data[[#This Row],[Recency]]&lt;=100),"Valid","Invalid")</f>
        <v>Valid</v>
      </c>
      <c r="AM925" t="str">
        <f t="shared" si="188"/>
        <v>Valid</v>
      </c>
      <c r="AN925" t="str">
        <f t="shared" si="189"/>
        <v>Valid</v>
      </c>
      <c r="AO925" t="str">
        <f t="shared" si="190"/>
        <v>Valid</v>
      </c>
      <c r="AP925" t="str">
        <f t="shared" si="191"/>
        <v>Valid</v>
      </c>
      <c r="AQ925" t="str">
        <f>IF(Audit_Data[[#This Row],[Z_CostContact]]=3,"Valid","Invalid")</f>
        <v>Valid</v>
      </c>
      <c r="AR925" t="str">
        <f t="shared" si="192"/>
        <v>Valid</v>
      </c>
      <c r="AS925" t="str">
        <f t="shared" si="193"/>
        <v>Valid</v>
      </c>
    </row>
    <row r="926" spans="1:45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 t="str">
        <f t="shared" si="182"/>
        <v>Ok</v>
      </c>
      <c r="AE926" t="str">
        <f>IF(AND(Audit_Data[[#This Row],[Year_Birth]]&gt;=1900,Audit_Data[[#This Row],[Year_Birth]]&lt;=2010),"OK","Invalid")</f>
        <v>OK</v>
      </c>
      <c r="AF926" t="str">
        <f t="shared" si="183"/>
        <v>Valid</v>
      </c>
      <c r="AG926" t="str">
        <f t="shared" si="184"/>
        <v>Valid</v>
      </c>
      <c r="AH926" t="str">
        <f t="shared" si="185"/>
        <v>Valid</v>
      </c>
      <c r="AI926" t="str">
        <f t="shared" si="186"/>
        <v>Valid</v>
      </c>
      <c r="AJ926" t="str">
        <f t="shared" si="187"/>
        <v>Valid</v>
      </c>
      <c r="AK926" t="str">
        <f t="shared" si="194"/>
        <v xml:space="preserve">Valid </v>
      </c>
      <c r="AL926" t="str">
        <f>IF(AND(Audit_Data[[#This Row],[Recency]]&gt;=0,Audit_Data[[#This Row],[Recency]]&lt;=100),"Valid","Invalid")</f>
        <v>Valid</v>
      </c>
      <c r="AM926" t="str">
        <f t="shared" si="188"/>
        <v>Valid</v>
      </c>
      <c r="AN926" t="str">
        <f t="shared" si="189"/>
        <v>Valid</v>
      </c>
      <c r="AO926" t="str">
        <f t="shared" si="190"/>
        <v>Valid</v>
      </c>
      <c r="AP926" t="str">
        <f t="shared" si="191"/>
        <v>Valid</v>
      </c>
      <c r="AQ926" t="str">
        <f>IF(Audit_Data[[#This Row],[Z_CostContact]]=3,"Valid","Invalid")</f>
        <v>Valid</v>
      </c>
      <c r="AR926" t="str">
        <f t="shared" si="192"/>
        <v>Valid</v>
      </c>
      <c r="AS926" t="str">
        <f t="shared" si="193"/>
        <v>Valid</v>
      </c>
    </row>
    <row r="927" spans="1:45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 t="str">
        <f t="shared" si="182"/>
        <v>Ok</v>
      </c>
      <c r="AE927" t="str">
        <f>IF(AND(Audit_Data[[#This Row],[Year_Birth]]&gt;=1900,Audit_Data[[#This Row],[Year_Birth]]&lt;=2010),"OK","Invalid")</f>
        <v>OK</v>
      </c>
      <c r="AF927" t="str">
        <f t="shared" si="183"/>
        <v>Valid</v>
      </c>
      <c r="AG927" t="str">
        <f t="shared" si="184"/>
        <v>Valid</v>
      </c>
      <c r="AH927" t="str">
        <f t="shared" si="185"/>
        <v>Valid</v>
      </c>
      <c r="AI927" t="str">
        <f t="shared" si="186"/>
        <v>Valid</v>
      </c>
      <c r="AJ927" t="str">
        <f t="shared" si="187"/>
        <v>Valid</v>
      </c>
      <c r="AK927" t="str">
        <f t="shared" si="194"/>
        <v xml:space="preserve">Valid </v>
      </c>
      <c r="AL927" t="str">
        <f>IF(AND(Audit_Data[[#This Row],[Recency]]&gt;=0,Audit_Data[[#This Row],[Recency]]&lt;=100),"Valid","Invalid")</f>
        <v>Valid</v>
      </c>
      <c r="AM927" t="str">
        <f t="shared" si="188"/>
        <v>Valid</v>
      </c>
      <c r="AN927" t="str">
        <f t="shared" si="189"/>
        <v>Valid</v>
      </c>
      <c r="AO927" t="str">
        <f t="shared" si="190"/>
        <v>Valid</v>
      </c>
      <c r="AP927" t="str">
        <f t="shared" si="191"/>
        <v>Valid</v>
      </c>
      <c r="AQ927" t="str">
        <f>IF(Audit_Data[[#This Row],[Z_CostContact]]=3,"Valid","Invalid")</f>
        <v>Valid</v>
      </c>
      <c r="AR927" t="str">
        <f t="shared" si="192"/>
        <v>Valid</v>
      </c>
      <c r="AS927" t="str">
        <f t="shared" si="193"/>
        <v>Valid</v>
      </c>
    </row>
    <row r="928" spans="1:45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 t="str">
        <f t="shared" si="182"/>
        <v>Ok</v>
      </c>
      <c r="AE928" t="str">
        <f>IF(AND(Audit_Data[[#This Row],[Year_Birth]]&gt;=1900,Audit_Data[[#This Row],[Year_Birth]]&lt;=2010),"OK","Invalid")</f>
        <v>OK</v>
      </c>
      <c r="AF928" t="str">
        <f t="shared" si="183"/>
        <v>Valid</v>
      </c>
      <c r="AG928" t="str">
        <f t="shared" si="184"/>
        <v>Valid</v>
      </c>
      <c r="AH928" t="str">
        <f t="shared" si="185"/>
        <v>Valid</v>
      </c>
      <c r="AI928" t="str">
        <f t="shared" si="186"/>
        <v>Valid</v>
      </c>
      <c r="AJ928" t="str">
        <f t="shared" si="187"/>
        <v>Valid</v>
      </c>
      <c r="AK928" t="str">
        <f t="shared" si="194"/>
        <v xml:space="preserve">Valid </v>
      </c>
      <c r="AL928" t="str">
        <f>IF(AND(Audit_Data[[#This Row],[Recency]]&gt;=0,Audit_Data[[#This Row],[Recency]]&lt;=100),"Valid","Invalid")</f>
        <v>Valid</v>
      </c>
      <c r="AM928" t="str">
        <f t="shared" si="188"/>
        <v>Valid</v>
      </c>
      <c r="AN928" t="str">
        <f t="shared" si="189"/>
        <v>Valid</v>
      </c>
      <c r="AO928" t="str">
        <f t="shared" si="190"/>
        <v>Valid</v>
      </c>
      <c r="AP928" t="str">
        <f t="shared" si="191"/>
        <v>Valid</v>
      </c>
      <c r="AQ928" t="str">
        <f>IF(Audit_Data[[#This Row],[Z_CostContact]]=3,"Valid","Invalid")</f>
        <v>Valid</v>
      </c>
      <c r="AR928" t="str">
        <f t="shared" si="192"/>
        <v>Valid</v>
      </c>
      <c r="AS928" t="str">
        <f t="shared" si="193"/>
        <v>Valid</v>
      </c>
    </row>
    <row r="929" spans="1:45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 t="str">
        <f t="shared" si="182"/>
        <v>Ok</v>
      </c>
      <c r="AE929" t="str">
        <f>IF(AND(Audit_Data[[#This Row],[Year_Birth]]&gt;=1900,Audit_Data[[#This Row],[Year_Birth]]&lt;=2010),"OK","Invalid")</f>
        <v>OK</v>
      </c>
      <c r="AF929" t="str">
        <f t="shared" si="183"/>
        <v>Valid</v>
      </c>
      <c r="AG929" t="str">
        <f t="shared" si="184"/>
        <v>Valid</v>
      </c>
      <c r="AH929" t="str">
        <f t="shared" si="185"/>
        <v>Valid</v>
      </c>
      <c r="AI929" t="str">
        <f t="shared" si="186"/>
        <v>Valid</v>
      </c>
      <c r="AJ929" t="str">
        <f t="shared" si="187"/>
        <v>Valid</v>
      </c>
      <c r="AK929" t="str">
        <f t="shared" si="194"/>
        <v xml:space="preserve">Valid </v>
      </c>
      <c r="AL929" t="str">
        <f>IF(AND(Audit_Data[[#This Row],[Recency]]&gt;=0,Audit_Data[[#This Row],[Recency]]&lt;=100),"Valid","Invalid")</f>
        <v>Valid</v>
      </c>
      <c r="AM929" t="str">
        <f t="shared" si="188"/>
        <v>Valid</v>
      </c>
      <c r="AN929" t="str">
        <f t="shared" si="189"/>
        <v>Valid</v>
      </c>
      <c r="AO929" t="str">
        <f t="shared" si="190"/>
        <v>Valid</v>
      </c>
      <c r="AP929" t="str">
        <f t="shared" si="191"/>
        <v>Valid</v>
      </c>
      <c r="AQ929" t="str">
        <f>IF(Audit_Data[[#This Row],[Z_CostContact]]=3,"Valid","Invalid")</f>
        <v>Valid</v>
      </c>
      <c r="AR929" t="str">
        <f t="shared" si="192"/>
        <v>Valid</v>
      </c>
      <c r="AS929" t="str">
        <f t="shared" si="193"/>
        <v>Valid</v>
      </c>
    </row>
    <row r="930" spans="1:45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 t="str">
        <f t="shared" si="182"/>
        <v>Ok</v>
      </c>
      <c r="AE930" t="str">
        <f>IF(AND(Audit_Data[[#This Row],[Year_Birth]]&gt;=1900,Audit_Data[[#This Row],[Year_Birth]]&lt;=2010),"OK","Invalid")</f>
        <v>OK</v>
      </c>
      <c r="AF930" t="str">
        <f t="shared" si="183"/>
        <v>Valid</v>
      </c>
      <c r="AG930" t="str">
        <f t="shared" si="184"/>
        <v>Valid</v>
      </c>
      <c r="AH930" t="str">
        <f t="shared" si="185"/>
        <v>Valid</v>
      </c>
      <c r="AI930" t="str">
        <f t="shared" si="186"/>
        <v>Valid</v>
      </c>
      <c r="AJ930" t="str">
        <f t="shared" si="187"/>
        <v>Valid</v>
      </c>
      <c r="AK930" t="str">
        <f t="shared" si="194"/>
        <v xml:space="preserve">Valid </v>
      </c>
      <c r="AL930" t="str">
        <f>IF(AND(Audit_Data[[#This Row],[Recency]]&gt;=0,Audit_Data[[#This Row],[Recency]]&lt;=100),"Valid","Invalid")</f>
        <v>Valid</v>
      </c>
      <c r="AM930" t="str">
        <f t="shared" si="188"/>
        <v>Valid</v>
      </c>
      <c r="AN930" t="str">
        <f t="shared" si="189"/>
        <v>Valid</v>
      </c>
      <c r="AO930" t="str">
        <f t="shared" si="190"/>
        <v>Valid</v>
      </c>
      <c r="AP930" t="str">
        <f t="shared" si="191"/>
        <v>Valid</v>
      </c>
      <c r="AQ930" t="str">
        <f>IF(Audit_Data[[#This Row],[Z_CostContact]]=3,"Valid","Invalid")</f>
        <v>Valid</v>
      </c>
      <c r="AR930" t="str">
        <f t="shared" si="192"/>
        <v>Valid</v>
      </c>
      <c r="AS930" t="str">
        <f t="shared" si="193"/>
        <v>Valid</v>
      </c>
    </row>
    <row r="931" spans="1:45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 t="str">
        <f t="shared" si="182"/>
        <v>Ok</v>
      </c>
      <c r="AE931" t="str">
        <f>IF(AND(Audit_Data[[#This Row],[Year_Birth]]&gt;=1900,Audit_Data[[#This Row],[Year_Birth]]&lt;=2010),"OK","Invalid")</f>
        <v>OK</v>
      </c>
      <c r="AF931" t="str">
        <f t="shared" si="183"/>
        <v>Valid</v>
      </c>
      <c r="AG931" t="str">
        <f t="shared" si="184"/>
        <v>Valid</v>
      </c>
      <c r="AH931" t="str">
        <f t="shared" si="185"/>
        <v>Valid</v>
      </c>
      <c r="AI931" t="str">
        <f t="shared" si="186"/>
        <v>Valid</v>
      </c>
      <c r="AJ931" t="str">
        <f t="shared" si="187"/>
        <v>Valid</v>
      </c>
      <c r="AK931" t="str">
        <f t="shared" si="194"/>
        <v xml:space="preserve">Valid </v>
      </c>
      <c r="AL931" t="str">
        <f>IF(AND(Audit_Data[[#This Row],[Recency]]&gt;=0,Audit_Data[[#This Row],[Recency]]&lt;=100),"Valid","Invalid")</f>
        <v>Valid</v>
      </c>
      <c r="AM931" t="str">
        <f t="shared" si="188"/>
        <v>Valid</v>
      </c>
      <c r="AN931" t="str">
        <f t="shared" si="189"/>
        <v>Valid</v>
      </c>
      <c r="AO931" t="str">
        <f t="shared" si="190"/>
        <v>Valid</v>
      </c>
      <c r="AP931" t="str">
        <f t="shared" si="191"/>
        <v>Valid</v>
      </c>
      <c r="AQ931" t="str">
        <f>IF(Audit_Data[[#This Row],[Z_CostContact]]=3,"Valid","Invalid")</f>
        <v>Valid</v>
      </c>
      <c r="AR931" t="str">
        <f t="shared" si="192"/>
        <v>Valid</v>
      </c>
      <c r="AS931" t="str">
        <f t="shared" si="193"/>
        <v>Valid</v>
      </c>
    </row>
    <row r="932" spans="1:45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 t="str">
        <f t="shared" si="182"/>
        <v>Ok</v>
      </c>
      <c r="AE932" t="str">
        <f>IF(AND(Audit_Data[[#This Row],[Year_Birth]]&gt;=1900,Audit_Data[[#This Row],[Year_Birth]]&lt;=2010),"OK","Invalid")</f>
        <v>OK</v>
      </c>
      <c r="AF932" t="str">
        <f t="shared" si="183"/>
        <v>Valid</v>
      </c>
      <c r="AG932" t="str">
        <f t="shared" si="184"/>
        <v>Valid</v>
      </c>
      <c r="AH932" t="str">
        <f t="shared" si="185"/>
        <v>Valid</v>
      </c>
      <c r="AI932" t="str">
        <f t="shared" si="186"/>
        <v>Valid</v>
      </c>
      <c r="AJ932" t="str">
        <f t="shared" si="187"/>
        <v>Valid</v>
      </c>
      <c r="AK932" t="str">
        <f t="shared" si="194"/>
        <v xml:space="preserve">Valid </v>
      </c>
      <c r="AL932" t="str">
        <f>IF(AND(Audit_Data[[#This Row],[Recency]]&gt;=0,Audit_Data[[#This Row],[Recency]]&lt;=100),"Valid","Invalid")</f>
        <v>Valid</v>
      </c>
      <c r="AM932" t="str">
        <f t="shared" si="188"/>
        <v>Valid</v>
      </c>
      <c r="AN932" t="str">
        <f t="shared" si="189"/>
        <v>Valid</v>
      </c>
      <c r="AO932" t="str">
        <f t="shared" si="190"/>
        <v>Valid</v>
      </c>
      <c r="AP932" t="str">
        <f t="shared" si="191"/>
        <v>Valid</v>
      </c>
      <c r="AQ932" t="str">
        <f>IF(Audit_Data[[#This Row],[Z_CostContact]]=3,"Valid","Invalid")</f>
        <v>Valid</v>
      </c>
      <c r="AR932" t="str">
        <f t="shared" si="192"/>
        <v>Valid</v>
      </c>
      <c r="AS932" t="str">
        <f t="shared" si="193"/>
        <v>Valid</v>
      </c>
    </row>
    <row r="933" spans="1:45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 t="str">
        <f t="shared" si="182"/>
        <v>Ok</v>
      </c>
      <c r="AE933" t="str">
        <f>IF(AND(Audit_Data[[#This Row],[Year_Birth]]&gt;=1900,Audit_Data[[#This Row],[Year_Birth]]&lt;=2010),"OK","Invalid")</f>
        <v>OK</v>
      </c>
      <c r="AF933" t="str">
        <f t="shared" si="183"/>
        <v>Valid</v>
      </c>
      <c r="AG933" t="str">
        <f t="shared" si="184"/>
        <v>Valid</v>
      </c>
      <c r="AH933" t="str">
        <f t="shared" si="185"/>
        <v>Valid</v>
      </c>
      <c r="AI933" t="str">
        <f t="shared" si="186"/>
        <v>Valid</v>
      </c>
      <c r="AJ933" t="str">
        <f t="shared" si="187"/>
        <v>Valid</v>
      </c>
      <c r="AK933" t="str">
        <f t="shared" si="194"/>
        <v xml:space="preserve">Valid </v>
      </c>
      <c r="AL933" t="str">
        <f>IF(AND(Audit_Data[[#This Row],[Recency]]&gt;=0,Audit_Data[[#This Row],[Recency]]&lt;=100),"Valid","Invalid")</f>
        <v>Valid</v>
      </c>
      <c r="AM933" t="str">
        <f t="shared" si="188"/>
        <v>Valid</v>
      </c>
      <c r="AN933" t="str">
        <f t="shared" si="189"/>
        <v>Valid</v>
      </c>
      <c r="AO933" t="str">
        <f t="shared" si="190"/>
        <v>Valid</v>
      </c>
      <c r="AP933" t="str">
        <f t="shared" si="191"/>
        <v>Valid</v>
      </c>
      <c r="AQ933" t="str">
        <f>IF(Audit_Data[[#This Row],[Z_CostContact]]=3,"Valid","Invalid")</f>
        <v>Valid</v>
      </c>
      <c r="AR933" t="str">
        <f t="shared" si="192"/>
        <v>Valid</v>
      </c>
      <c r="AS933" t="str">
        <f t="shared" si="193"/>
        <v>Valid</v>
      </c>
    </row>
    <row r="934" spans="1:45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 t="str">
        <f t="shared" si="182"/>
        <v>Ok</v>
      </c>
      <c r="AE934" t="str">
        <f>IF(AND(Audit_Data[[#This Row],[Year_Birth]]&gt;=1900,Audit_Data[[#This Row],[Year_Birth]]&lt;=2010),"OK","Invalid")</f>
        <v>OK</v>
      </c>
      <c r="AF934" t="str">
        <f t="shared" si="183"/>
        <v>Valid</v>
      </c>
      <c r="AG934" t="str">
        <f t="shared" si="184"/>
        <v>Valid</v>
      </c>
      <c r="AH934" t="str">
        <f t="shared" si="185"/>
        <v>Valid</v>
      </c>
      <c r="AI934" t="str">
        <f t="shared" si="186"/>
        <v>Valid</v>
      </c>
      <c r="AJ934" t="str">
        <f t="shared" si="187"/>
        <v>Valid</v>
      </c>
      <c r="AK934" t="str">
        <f t="shared" si="194"/>
        <v xml:space="preserve">Valid </v>
      </c>
      <c r="AL934" t="str">
        <f>IF(AND(Audit_Data[[#This Row],[Recency]]&gt;=0,Audit_Data[[#This Row],[Recency]]&lt;=100),"Valid","Invalid")</f>
        <v>Valid</v>
      </c>
      <c r="AM934" t="str">
        <f t="shared" si="188"/>
        <v>Valid</v>
      </c>
      <c r="AN934" t="str">
        <f t="shared" si="189"/>
        <v>Valid</v>
      </c>
      <c r="AO934" t="str">
        <f t="shared" si="190"/>
        <v>Valid</v>
      </c>
      <c r="AP934" t="str">
        <f t="shared" si="191"/>
        <v>Valid</v>
      </c>
      <c r="AQ934" t="str">
        <f>IF(Audit_Data[[#This Row],[Z_CostContact]]=3,"Valid","Invalid")</f>
        <v>Valid</v>
      </c>
      <c r="AR934" t="str">
        <f t="shared" si="192"/>
        <v>Valid</v>
      </c>
      <c r="AS934" t="str">
        <f t="shared" si="193"/>
        <v>Valid</v>
      </c>
    </row>
    <row r="935" spans="1:45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 t="str">
        <f t="shared" si="182"/>
        <v>Ok</v>
      </c>
      <c r="AE935" t="str">
        <f>IF(AND(Audit_Data[[#This Row],[Year_Birth]]&gt;=1900,Audit_Data[[#This Row],[Year_Birth]]&lt;=2010),"OK","Invalid")</f>
        <v>OK</v>
      </c>
      <c r="AF935" t="str">
        <f t="shared" si="183"/>
        <v>Valid</v>
      </c>
      <c r="AG935" t="str">
        <f t="shared" si="184"/>
        <v>Valid</v>
      </c>
      <c r="AH935" t="str">
        <f t="shared" si="185"/>
        <v>Valid</v>
      </c>
      <c r="AI935" t="str">
        <f t="shared" si="186"/>
        <v>Valid</v>
      </c>
      <c r="AJ935" t="str">
        <f t="shared" si="187"/>
        <v>Valid</v>
      </c>
      <c r="AK935" t="str">
        <f t="shared" si="194"/>
        <v xml:space="preserve">Valid </v>
      </c>
      <c r="AL935" t="str">
        <f>IF(AND(Audit_Data[[#This Row],[Recency]]&gt;=0,Audit_Data[[#This Row],[Recency]]&lt;=100),"Valid","Invalid")</f>
        <v>Valid</v>
      </c>
      <c r="AM935" t="str">
        <f t="shared" si="188"/>
        <v>Valid</v>
      </c>
      <c r="AN935" t="str">
        <f t="shared" si="189"/>
        <v>Valid</v>
      </c>
      <c r="AO935" t="str">
        <f t="shared" si="190"/>
        <v>Valid</v>
      </c>
      <c r="AP935" t="str">
        <f t="shared" si="191"/>
        <v>Valid</v>
      </c>
      <c r="AQ935" t="str">
        <f>IF(Audit_Data[[#This Row],[Z_CostContact]]=3,"Valid","Invalid")</f>
        <v>Valid</v>
      </c>
      <c r="AR935" t="str">
        <f t="shared" si="192"/>
        <v>Valid</v>
      </c>
      <c r="AS935" t="str">
        <f t="shared" si="193"/>
        <v>Valid</v>
      </c>
    </row>
    <row r="936" spans="1:45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 t="str">
        <f t="shared" si="182"/>
        <v>Ok</v>
      </c>
      <c r="AE936" t="str">
        <f>IF(AND(Audit_Data[[#This Row],[Year_Birth]]&gt;=1900,Audit_Data[[#This Row],[Year_Birth]]&lt;=2010),"OK","Invalid")</f>
        <v>OK</v>
      </c>
      <c r="AF936" t="str">
        <f t="shared" si="183"/>
        <v>Valid</v>
      </c>
      <c r="AG936" t="str">
        <f t="shared" si="184"/>
        <v>Valid</v>
      </c>
      <c r="AH936" t="str">
        <f t="shared" si="185"/>
        <v>Valid</v>
      </c>
      <c r="AI936" t="str">
        <f t="shared" si="186"/>
        <v>Valid</v>
      </c>
      <c r="AJ936" t="str">
        <f t="shared" si="187"/>
        <v>Valid</v>
      </c>
      <c r="AK936" t="str">
        <f t="shared" si="194"/>
        <v xml:space="preserve">Valid </v>
      </c>
      <c r="AL936" t="str">
        <f>IF(AND(Audit_Data[[#This Row],[Recency]]&gt;=0,Audit_Data[[#This Row],[Recency]]&lt;=100),"Valid","Invalid")</f>
        <v>Valid</v>
      </c>
      <c r="AM936" t="str">
        <f t="shared" si="188"/>
        <v>Valid</v>
      </c>
      <c r="AN936" t="str">
        <f t="shared" si="189"/>
        <v>Valid</v>
      </c>
      <c r="AO936" t="str">
        <f t="shared" si="190"/>
        <v>Valid</v>
      </c>
      <c r="AP936" t="str">
        <f t="shared" si="191"/>
        <v>Valid</v>
      </c>
      <c r="AQ936" t="str">
        <f>IF(Audit_Data[[#This Row],[Z_CostContact]]=3,"Valid","Invalid")</f>
        <v>Valid</v>
      </c>
      <c r="AR936" t="str">
        <f t="shared" si="192"/>
        <v>Valid</v>
      </c>
      <c r="AS936" t="str">
        <f t="shared" si="193"/>
        <v>Valid</v>
      </c>
    </row>
    <row r="937" spans="1:45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 t="str">
        <f t="shared" si="182"/>
        <v>Ok</v>
      </c>
      <c r="AE937" t="str">
        <f>IF(AND(Audit_Data[[#This Row],[Year_Birth]]&gt;=1900,Audit_Data[[#This Row],[Year_Birth]]&lt;=2010),"OK","Invalid")</f>
        <v>OK</v>
      </c>
      <c r="AF937" t="str">
        <f t="shared" si="183"/>
        <v>Valid</v>
      </c>
      <c r="AG937" t="str">
        <f t="shared" si="184"/>
        <v>Valid</v>
      </c>
      <c r="AH937" t="str">
        <f t="shared" si="185"/>
        <v>Valid</v>
      </c>
      <c r="AI937" t="str">
        <f t="shared" si="186"/>
        <v>Valid</v>
      </c>
      <c r="AJ937" t="str">
        <f t="shared" si="187"/>
        <v>Valid</v>
      </c>
      <c r="AK937" t="str">
        <f t="shared" si="194"/>
        <v xml:space="preserve">Valid </v>
      </c>
      <c r="AL937" t="str">
        <f>IF(AND(Audit_Data[[#This Row],[Recency]]&gt;=0,Audit_Data[[#This Row],[Recency]]&lt;=100),"Valid","Invalid")</f>
        <v>Valid</v>
      </c>
      <c r="AM937" t="str">
        <f t="shared" si="188"/>
        <v>Valid</v>
      </c>
      <c r="AN937" t="str">
        <f t="shared" si="189"/>
        <v>Valid</v>
      </c>
      <c r="AO937" t="str">
        <f t="shared" si="190"/>
        <v>Valid</v>
      </c>
      <c r="AP937" t="str">
        <f t="shared" si="191"/>
        <v>Valid</v>
      </c>
      <c r="AQ937" t="str">
        <f>IF(Audit_Data[[#This Row],[Z_CostContact]]=3,"Valid","Invalid")</f>
        <v>Valid</v>
      </c>
      <c r="AR937" t="str">
        <f t="shared" si="192"/>
        <v>Valid</v>
      </c>
      <c r="AS937" t="str">
        <f t="shared" si="193"/>
        <v>Valid</v>
      </c>
    </row>
    <row r="938" spans="1:45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 t="str">
        <f t="shared" si="182"/>
        <v>Ok</v>
      </c>
      <c r="AE938" t="str">
        <f>IF(AND(Audit_Data[[#This Row],[Year_Birth]]&gt;=1900,Audit_Data[[#This Row],[Year_Birth]]&lt;=2010),"OK","Invalid")</f>
        <v>OK</v>
      </c>
      <c r="AF938" t="str">
        <f t="shared" si="183"/>
        <v>Valid</v>
      </c>
      <c r="AG938" t="str">
        <f t="shared" si="184"/>
        <v>Valid</v>
      </c>
      <c r="AH938" t="str">
        <f t="shared" si="185"/>
        <v>Valid</v>
      </c>
      <c r="AI938" t="str">
        <f t="shared" si="186"/>
        <v>Valid</v>
      </c>
      <c r="AJ938" t="str">
        <f t="shared" si="187"/>
        <v>Valid</v>
      </c>
      <c r="AK938" t="str">
        <f t="shared" si="194"/>
        <v xml:space="preserve">Valid </v>
      </c>
      <c r="AL938" t="str">
        <f>IF(AND(Audit_Data[[#This Row],[Recency]]&gt;=0,Audit_Data[[#This Row],[Recency]]&lt;=100),"Valid","Invalid")</f>
        <v>Valid</v>
      </c>
      <c r="AM938" t="str">
        <f t="shared" si="188"/>
        <v>Valid</v>
      </c>
      <c r="AN938" t="str">
        <f t="shared" si="189"/>
        <v>Valid</v>
      </c>
      <c r="AO938" t="str">
        <f t="shared" si="190"/>
        <v>Valid</v>
      </c>
      <c r="AP938" t="str">
        <f t="shared" si="191"/>
        <v>Valid</v>
      </c>
      <c r="AQ938" t="str">
        <f>IF(Audit_Data[[#This Row],[Z_CostContact]]=3,"Valid","Invalid")</f>
        <v>Valid</v>
      </c>
      <c r="AR938" t="str">
        <f t="shared" si="192"/>
        <v>Valid</v>
      </c>
      <c r="AS938" t="str">
        <f t="shared" si="193"/>
        <v>Valid</v>
      </c>
    </row>
    <row r="939" spans="1:45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 t="str">
        <f t="shared" si="182"/>
        <v>Ok</v>
      </c>
      <c r="AE939" t="str">
        <f>IF(AND(Audit_Data[[#This Row],[Year_Birth]]&gt;=1900,Audit_Data[[#This Row],[Year_Birth]]&lt;=2010),"OK","Invalid")</f>
        <v>OK</v>
      </c>
      <c r="AF939" t="str">
        <f t="shared" si="183"/>
        <v>Valid</v>
      </c>
      <c r="AG939" t="str">
        <f t="shared" si="184"/>
        <v>Valid</v>
      </c>
      <c r="AH939" t="str">
        <f t="shared" si="185"/>
        <v>Valid</v>
      </c>
      <c r="AI939" t="str">
        <f t="shared" si="186"/>
        <v>Valid</v>
      </c>
      <c r="AJ939" t="str">
        <f t="shared" si="187"/>
        <v>Valid</v>
      </c>
      <c r="AK939" t="str">
        <f t="shared" si="194"/>
        <v xml:space="preserve">Valid </v>
      </c>
      <c r="AL939" t="str">
        <f>IF(AND(Audit_Data[[#This Row],[Recency]]&gt;=0,Audit_Data[[#This Row],[Recency]]&lt;=100),"Valid","Invalid")</f>
        <v>Valid</v>
      </c>
      <c r="AM939" t="str">
        <f t="shared" si="188"/>
        <v>Valid</v>
      </c>
      <c r="AN939" t="str">
        <f t="shared" si="189"/>
        <v>Valid</v>
      </c>
      <c r="AO939" t="str">
        <f t="shared" si="190"/>
        <v>Valid</v>
      </c>
      <c r="AP939" t="str">
        <f t="shared" si="191"/>
        <v>Valid</v>
      </c>
      <c r="AQ939" t="str">
        <f>IF(Audit_Data[[#This Row],[Z_CostContact]]=3,"Valid","Invalid")</f>
        <v>Valid</v>
      </c>
      <c r="AR939" t="str">
        <f t="shared" si="192"/>
        <v>Valid</v>
      </c>
      <c r="AS939" t="str">
        <f t="shared" si="193"/>
        <v>Valid</v>
      </c>
    </row>
    <row r="940" spans="1:45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 t="str">
        <f t="shared" si="182"/>
        <v>Ok</v>
      </c>
      <c r="AE940" t="str">
        <f>IF(AND(Audit_Data[[#This Row],[Year_Birth]]&gt;=1900,Audit_Data[[#This Row],[Year_Birth]]&lt;=2010),"OK","Invalid")</f>
        <v>OK</v>
      </c>
      <c r="AF940" t="str">
        <f t="shared" si="183"/>
        <v>Valid</v>
      </c>
      <c r="AG940" t="str">
        <f t="shared" si="184"/>
        <v>Valid</v>
      </c>
      <c r="AH940" t="str">
        <f t="shared" si="185"/>
        <v>Valid</v>
      </c>
      <c r="AI940" t="str">
        <f t="shared" si="186"/>
        <v>Valid</v>
      </c>
      <c r="AJ940" t="str">
        <f t="shared" si="187"/>
        <v>Valid</v>
      </c>
      <c r="AK940" t="str">
        <f t="shared" si="194"/>
        <v xml:space="preserve">Valid </v>
      </c>
      <c r="AL940" t="str">
        <f>IF(AND(Audit_Data[[#This Row],[Recency]]&gt;=0,Audit_Data[[#This Row],[Recency]]&lt;=100),"Valid","Invalid")</f>
        <v>Valid</v>
      </c>
      <c r="AM940" t="str">
        <f t="shared" si="188"/>
        <v>Valid</v>
      </c>
      <c r="AN940" t="str">
        <f t="shared" si="189"/>
        <v>Valid</v>
      </c>
      <c r="AO940" t="str">
        <f t="shared" si="190"/>
        <v>Valid</v>
      </c>
      <c r="AP940" t="str">
        <f t="shared" si="191"/>
        <v>Valid</v>
      </c>
      <c r="AQ940" t="str">
        <f>IF(Audit_Data[[#This Row],[Z_CostContact]]=3,"Valid","Invalid")</f>
        <v>Valid</v>
      </c>
      <c r="AR940" t="str">
        <f t="shared" si="192"/>
        <v>Valid</v>
      </c>
      <c r="AS940" t="str">
        <f t="shared" si="193"/>
        <v>Valid</v>
      </c>
    </row>
    <row r="941" spans="1:45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 t="str">
        <f t="shared" si="182"/>
        <v>Ok</v>
      </c>
      <c r="AE941" t="str">
        <f>IF(AND(Audit_Data[[#This Row],[Year_Birth]]&gt;=1900,Audit_Data[[#This Row],[Year_Birth]]&lt;=2010),"OK","Invalid")</f>
        <v>OK</v>
      </c>
      <c r="AF941" t="str">
        <f t="shared" si="183"/>
        <v>Valid</v>
      </c>
      <c r="AG941" t="str">
        <f t="shared" si="184"/>
        <v>Valid</v>
      </c>
      <c r="AH941" t="str">
        <f t="shared" si="185"/>
        <v>Valid</v>
      </c>
      <c r="AI941" t="str">
        <f t="shared" si="186"/>
        <v>Valid</v>
      </c>
      <c r="AJ941" t="str">
        <f t="shared" si="187"/>
        <v>Valid</v>
      </c>
      <c r="AK941" t="str">
        <f t="shared" si="194"/>
        <v xml:space="preserve">Valid </v>
      </c>
      <c r="AL941" t="str">
        <f>IF(AND(Audit_Data[[#This Row],[Recency]]&gt;=0,Audit_Data[[#This Row],[Recency]]&lt;=100),"Valid","Invalid")</f>
        <v>Valid</v>
      </c>
      <c r="AM941" t="str">
        <f t="shared" si="188"/>
        <v>Valid</v>
      </c>
      <c r="AN941" t="str">
        <f t="shared" si="189"/>
        <v>Valid</v>
      </c>
      <c r="AO941" t="str">
        <f t="shared" si="190"/>
        <v>Valid</v>
      </c>
      <c r="AP941" t="str">
        <f t="shared" si="191"/>
        <v>Valid</v>
      </c>
      <c r="AQ941" t="str">
        <f>IF(Audit_Data[[#This Row],[Z_CostContact]]=3,"Valid","Invalid")</f>
        <v>Valid</v>
      </c>
      <c r="AR941" t="str">
        <f t="shared" si="192"/>
        <v>Valid</v>
      </c>
      <c r="AS941" t="str">
        <f t="shared" si="193"/>
        <v>Valid</v>
      </c>
    </row>
    <row r="942" spans="1:45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 t="str">
        <f t="shared" si="182"/>
        <v>Ok</v>
      </c>
      <c r="AE942" t="str">
        <f>IF(AND(Audit_Data[[#This Row],[Year_Birth]]&gt;=1900,Audit_Data[[#This Row],[Year_Birth]]&lt;=2010),"OK","Invalid")</f>
        <v>OK</v>
      </c>
      <c r="AF942" t="str">
        <f t="shared" si="183"/>
        <v>Valid</v>
      </c>
      <c r="AG942" t="str">
        <f t="shared" si="184"/>
        <v>Valid</v>
      </c>
      <c r="AH942" t="str">
        <f t="shared" si="185"/>
        <v>Valid</v>
      </c>
      <c r="AI942" t="str">
        <f t="shared" si="186"/>
        <v>Valid</v>
      </c>
      <c r="AJ942" t="str">
        <f t="shared" si="187"/>
        <v>Valid</v>
      </c>
      <c r="AK942" t="str">
        <f t="shared" si="194"/>
        <v xml:space="preserve">Valid </v>
      </c>
      <c r="AL942" t="str">
        <f>IF(AND(Audit_Data[[#This Row],[Recency]]&gt;=0,Audit_Data[[#This Row],[Recency]]&lt;=100),"Valid","Invalid")</f>
        <v>Valid</v>
      </c>
      <c r="AM942" t="str">
        <f t="shared" si="188"/>
        <v>Valid</v>
      </c>
      <c r="AN942" t="str">
        <f t="shared" si="189"/>
        <v>Valid</v>
      </c>
      <c r="AO942" t="str">
        <f t="shared" si="190"/>
        <v>Valid</v>
      </c>
      <c r="AP942" t="str">
        <f t="shared" si="191"/>
        <v>Valid</v>
      </c>
      <c r="AQ942" t="str">
        <f>IF(Audit_Data[[#This Row],[Z_CostContact]]=3,"Valid","Invalid")</f>
        <v>Valid</v>
      </c>
      <c r="AR942" t="str">
        <f t="shared" si="192"/>
        <v>Valid</v>
      </c>
      <c r="AS942" t="str">
        <f t="shared" si="193"/>
        <v>Valid</v>
      </c>
    </row>
    <row r="943" spans="1:45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 t="str">
        <f t="shared" si="182"/>
        <v>Ok</v>
      </c>
      <c r="AE943" t="str">
        <f>IF(AND(Audit_Data[[#This Row],[Year_Birth]]&gt;=1900,Audit_Data[[#This Row],[Year_Birth]]&lt;=2010),"OK","Invalid")</f>
        <v>OK</v>
      </c>
      <c r="AF943" t="str">
        <f t="shared" si="183"/>
        <v>Valid</v>
      </c>
      <c r="AG943" t="str">
        <f t="shared" si="184"/>
        <v>Valid</v>
      </c>
      <c r="AH943" t="str">
        <f t="shared" si="185"/>
        <v>Valid</v>
      </c>
      <c r="AI943" t="str">
        <f t="shared" si="186"/>
        <v>Valid</v>
      </c>
      <c r="AJ943" t="str">
        <f t="shared" si="187"/>
        <v>Valid</v>
      </c>
      <c r="AK943" t="str">
        <f t="shared" si="194"/>
        <v xml:space="preserve">Valid </v>
      </c>
      <c r="AL943" t="str">
        <f>IF(AND(Audit_Data[[#This Row],[Recency]]&gt;=0,Audit_Data[[#This Row],[Recency]]&lt;=100),"Valid","Invalid")</f>
        <v>Valid</v>
      </c>
      <c r="AM943" t="str">
        <f t="shared" si="188"/>
        <v>Valid</v>
      </c>
      <c r="AN943" t="str">
        <f t="shared" si="189"/>
        <v>Valid</v>
      </c>
      <c r="AO943" t="str">
        <f t="shared" si="190"/>
        <v>Valid</v>
      </c>
      <c r="AP943" t="str">
        <f t="shared" si="191"/>
        <v>Valid</v>
      </c>
      <c r="AQ943" t="str">
        <f>IF(Audit_Data[[#This Row],[Z_CostContact]]=3,"Valid","Invalid")</f>
        <v>Valid</v>
      </c>
      <c r="AR943" t="str">
        <f t="shared" si="192"/>
        <v>Valid</v>
      </c>
      <c r="AS943" t="str">
        <f t="shared" si="193"/>
        <v>Valid</v>
      </c>
    </row>
    <row r="944" spans="1:45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 t="str">
        <f t="shared" si="182"/>
        <v>Ok</v>
      </c>
      <c r="AE944" t="str">
        <f>IF(AND(Audit_Data[[#This Row],[Year_Birth]]&gt;=1900,Audit_Data[[#This Row],[Year_Birth]]&lt;=2010),"OK","Invalid")</f>
        <v>OK</v>
      </c>
      <c r="AF944" t="str">
        <f t="shared" si="183"/>
        <v>Valid</v>
      </c>
      <c r="AG944" t="str">
        <f t="shared" si="184"/>
        <v>Valid</v>
      </c>
      <c r="AH944" t="str">
        <f t="shared" si="185"/>
        <v>Valid</v>
      </c>
      <c r="AI944" t="str">
        <f t="shared" si="186"/>
        <v>Valid</v>
      </c>
      <c r="AJ944" t="str">
        <f t="shared" si="187"/>
        <v>Valid</v>
      </c>
      <c r="AK944" t="str">
        <f t="shared" si="194"/>
        <v xml:space="preserve">Valid </v>
      </c>
      <c r="AL944" t="str">
        <f>IF(AND(Audit_Data[[#This Row],[Recency]]&gt;=0,Audit_Data[[#This Row],[Recency]]&lt;=100),"Valid","Invalid")</f>
        <v>Valid</v>
      </c>
      <c r="AM944" t="str">
        <f t="shared" si="188"/>
        <v>Valid</v>
      </c>
      <c r="AN944" t="str">
        <f t="shared" si="189"/>
        <v>Valid</v>
      </c>
      <c r="AO944" t="str">
        <f t="shared" si="190"/>
        <v>Valid</v>
      </c>
      <c r="AP944" t="str">
        <f t="shared" si="191"/>
        <v>Valid</v>
      </c>
      <c r="AQ944" t="str">
        <f>IF(Audit_Data[[#This Row],[Z_CostContact]]=3,"Valid","Invalid")</f>
        <v>Valid</v>
      </c>
      <c r="AR944" t="str">
        <f t="shared" si="192"/>
        <v>Valid</v>
      </c>
      <c r="AS944" t="str">
        <f t="shared" si="193"/>
        <v>Valid</v>
      </c>
    </row>
    <row r="945" spans="1:45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 t="str">
        <f t="shared" si="182"/>
        <v>Ok</v>
      </c>
      <c r="AE945" t="str">
        <f>IF(AND(Audit_Data[[#This Row],[Year_Birth]]&gt;=1900,Audit_Data[[#This Row],[Year_Birth]]&lt;=2010),"OK","Invalid")</f>
        <v>OK</v>
      </c>
      <c r="AF945" t="str">
        <f t="shared" si="183"/>
        <v>Valid</v>
      </c>
      <c r="AG945" t="str">
        <f t="shared" si="184"/>
        <v>Valid</v>
      </c>
      <c r="AH945" t="str">
        <f t="shared" si="185"/>
        <v>Valid</v>
      </c>
      <c r="AI945" t="str">
        <f t="shared" si="186"/>
        <v>Valid</v>
      </c>
      <c r="AJ945" t="str">
        <f t="shared" si="187"/>
        <v>Valid</v>
      </c>
      <c r="AK945" t="str">
        <f t="shared" si="194"/>
        <v xml:space="preserve">Valid </v>
      </c>
      <c r="AL945" t="str">
        <f>IF(AND(Audit_Data[[#This Row],[Recency]]&gt;=0,Audit_Data[[#This Row],[Recency]]&lt;=100),"Valid","Invalid")</f>
        <v>Valid</v>
      </c>
      <c r="AM945" t="str">
        <f t="shared" si="188"/>
        <v>Valid</v>
      </c>
      <c r="AN945" t="str">
        <f t="shared" si="189"/>
        <v>Valid</v>
      </c>
      <c r="AO945" t="str">
        <f t="shared" si="190"/>
        <v>Valid</v>
      </c>
      <c r="AP945" t="str">
        <f t="shared" si="191"/>
        <v>Valid</v>
      </c>
      <c r="AQ945" t="str">
        <f>IF(Audit_Data[[#This Row],[Z_CostContact]]=3,"Valid","Invalid")</f>
        <v>Valid</v>
      </c>
      <c r="AR945" t="str">
        <f t="shared" si="192"/>
        <v>Valid</v>
      </c>
      <c r="AS945" t="str">
        <f t="shared" si="193"/>
        <v>Valid</v>
      </c>
    </row>
    <row r="946" spans="1:45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 t="str">
        <f t="shared" si="182"/>
        <v>Ok</v>
      </c>
      <c r="AE946" t="str">
        <f>IF(AND(Audit_Data[[#This Row],[Year_Birth]]&gt;=1900,Audit_Data[[#This Row],[Year_Birth]]&lt;=2010),"OK","Invalid")</f>
        <v>OK</v>
      </c>
      <c r="AF946" t="str">
        <f t="shared" si="183"/>
        <v>Valid</v>
      </c>
      <c r="AG946" t="str">
        <f t="shared" si="184"/>
        <v>Valid</v>
      </c>
      <c r="AH946" t="str">
        <f t="shared" si="185"/>
        <v>Valid</v>
      </c>
      <c r="AI946" t="str">
        <f t="shared" si="186"/>
        <v>Valid</v>
      </c>
      <c r="AJ946" t="str">
        <f t="shared" si="187"/>
        <v>Valid</v>
      </c>
      <c r="AK946" t="str">
        <f t="shared" si="194"/>
        <v xml:space="preserve">Valid </v>
      </c>
      <c r="AL946" t="str">
        <f>IF(AND(Audit_Data[[#This Row],[Recency]]&gt;=0,Audit_Data[[#This Row],[Recency]]&lt;=100),"Valid","Invalid")</f>
        <v>Valid</v>
      </c>
      <c r="AM946" t="str">
        <f t="shared" si="188"/>
        <v>Valid</v>
      </c>
      <c r="AN946" t="str">
        <f t="shared" si="189"/>
        <v>Valid</v>
      </c>
      <c r="AO946" t="str">
        <f t="shared" si="190"/>
        <v>Valid</v>
      </c>
      <c r="AP946" t="str">
        <f t="shared" si="191"/>
        <v>Valid</v>
      </c>
      <c r="AQ946" t="str">
        <f>IF(Audit_Data[[#This Row],[Z_CostContact]]=3,"Valid","Invalid")</f>
        <v>Valid</v>
      </c>
      <c r="AR946" t="str">
        <f t="shared" si="192"/>
        <v>Valid</v>
      </c>
      <c r="AS946" t="str">
        <f t="shared" si="193"/>
        <v>Valid</v>
      </c>
    </row>
    <row r="947" spans="1:45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 t="str">
        <f t="shared" si="182"/>
        <v>Ok</v>
      </c>
      <c r="AE947" t="str">
        <f>IF(AND(Audit_Data[[#This Row],[Year_Birth]]&gt;=1900,Audit_Data[[#This Row],[Year_Birth]]&lt;=2010),"OK","Invalid")</f>
        <v>OK</v>
      </c>
      <c r="AF947" t="str">
        <f t="shared" si="183"/>
        <v>Valid</v>
      </c>
      <c r="AG947" t="str">
        <f t="shared" si="184"/>
        <v>Valid</v>
      </c>
      <c r="AH947" t="str">
        <f t="shared" si="185"/>
        <v>Valid</v>
      </c>
      <c r="AI947" t="str">
        <f t="shared" si="186"/>
        <v>Valid</v>
      </c>
      <c r="AJ947" t="str">
        <f t="shared" si="187"/>
        <v>Valid</v>
      </c>
      <c r="AK947" t="str">
        <f t="shared" si="194"/>
        <v xml:space="preserve">Valid </v>
      </c>
      <c r="AL947" t="str">
        <f>IF(AND(Audit_Data[[#This Row],[Recency]]&gt;=0,Audit_Data[[#This Row],[Recency]]&lt;=100),"Valid","Invalid")</f>
        <v>Valid</v>
      </c>
      <c r="AM947" t="str">
        <f t="shared" si="188"/>
        <v>Valid</v>
      </c>
      <c r="AN947" t="str">
        <f t="shared" si="189"/>
        <v>Valid</v>
      </c>
      <c r="AO947" t="str">
        <f t="shared" si="190"/>
        <v>Valid</v>
      </c>
      <c r="AP947" t="str">
        <f t="shared" si="191"/>
        <v>Valid</v>
      </c>
      <c r="AQ947" t="str">
        <f>IF(Audit_Data[[#This Row],[Z_CostContact]]=3,"Valid","Invalid")</f>
        <v>Valid</v>
      </c>
      <c r="AR947" t="str">
        <f t="shared" si="192"/>
        <v>Valid</v>
      </c>
      <c r="AS947" t="str">
        <f t="shared" si="193"/>
        <v>Valid</v>
      </c>
    </row>
    <row r="948" spans="1:45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 t="str">
        <f t="shared" si="182"/>
        <v>Ok</v>
      </c>
      <c r="AE948" t="str">
        <f>IF(AND(Audit_Data[[#This Row],[Year_Birth]]&gt;=1900,Audit_Data[[#This Row],[Year_Birth]]&lt;=2010),"OK","Invalid")</f>
        <v>OK</v>
      </c>
      <c r="AF948" t="str">
        <f t="shared" si="183"/>
        <v>Valid</v>
      </c>
      <c r="AG948" t="str">
        <f t="shared" si="184"/>
        <v>Valid</v>
      </c>
      <c r="AH948" t="str">
        <f t="shared" si="185"/>
        <v>Valid</v>
      </c>
      <c r="AI948" t="str">
        <f t="shared" si="186"/>
        <v>Valid</v>
      </c>
      <c r="AJ948" t="str">
        <f t="shared" si="187"/>
        <v>Valid</v>
      </c>
      <c r="AK948" t="str">
        <f t="shared" si="194"/>
        <v xml:space="preserve">Valid </v>
      </c>
      <c r="AL948" t="str">
        <f>IF(AND(Audit_Data[[#This Row],[Recency]]&gt;=0,Audit_Data[[#This Row],[Recency]]&lt;=100),"Valid","Invalid")</f>
        <v>Valid</v>
      </c>
      <c r="AM948" t="str">
        <f t="shared" si="188"/>
        <v>Valid</v>
      </c>
      <c r="AN948" t="str">
        <f t="shared" si="189"/>
        <v>Valid</v>
      </c>
      <c r="AO948" t="str">
        <f t="shared" si="190"/>
        <v>Valid</v>
      </c>
      <c r="AP948" t="str">
        <f t="shared" si="191"/>
        <v>Valid</v>
      </c>
      <c r="AQ948" t="str">
        <f>IF(Audit_Data[[#This Row],[Z_CostContact]]=3,"Valid","Invalid")</f>
        <v>Valid</v>
      </c>
      <c r="AR948" t="str">
        <f t="shared" si="192"/>
        <v>Valid</v>
      </c>
      <c r="AS948" t="str">
        <f t="shared" si="193"/>
        <v>Valid</v>
      </c>
    </row>
    <row r="949" spans="1:45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 t="str">
        <f t="shared" si="182"/>
        <v>Ok</v>
      </c>
      <c r="AE949" t="str">
        <f>IF(AND(Audit_Data[[#This Row],[Year_Birth]]&gt;=1900,Audit_Data[[#This Row],[Year_Birth]]&lt;=2010),"OK","Invalid")</f>
        <v>OK</v>
      </c>
      <c r="AF949" t="str">
        <f t="shared" si="183"/>
        <v>Valid</v>
      </c>
      <c r="AG949" t="str">
        <f t="shared" si="184"/>
        <v>Valid</v>
      </c>
      <c r="AH949" t="str">
        <f t="shared" si="185"/>
        <v>Valid</v>
      </c>
      <c r="AI949" t="str">
        <f t="shared" si="186"/>
        <v>Valid</v>
      </c>
      <c r="AJ949" t="str">
        <f t="shared" si="187"/>
        <v>Valid</v>
      </c>
      <c r="AK949" t="str">
        <f t="shared" si="194"/>
        <v xml:space="preserve">Valid </v>
      </c>
      <c r="AL949" t="str">
        <f>IF(AND(Audit_Data[[#This Row],[Recency]]&gt;=0,Audit_Data[[#This Row],[Recency]]&lt;=100),"Valid","Invalid")</f>
        <v>Valid</v>
      </c>
      <c r="AM949" t="str">
        <f t="shared" si="188"/>
        <v>Valid</v>
      </c>
      <c r="AN949" t="str">
        <f t="shared" si="189"/>
        <v>Valid</v>
      </c>
      <c r="AO949" t="str">
        <f t="shared" si="190"/>
        <v>Valid</v>
      </c>
      <c r="AP949" t="str">
        <f t="shared" si="191"/>
        <v>Valid</v>
      </c>
      <c r="AQ949" t="str">
        <f>IF(Audit_Data[[#This Row],[Z_CostContact]]=3,"Valid","Invalid")</f>
        <v>Valid</v>
      </c>
      <c r="AR949" t="str">
        <f t="shared" si="192"/>
        <v>Valid</v>
      </c>
      <c r="AS949" t="str">
        <f t="shared" si="193"/>
        <v>Valid</v>
      </c>
    </row>
    <row r="950" spans="1:45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 t="str">
        <f t="shared" si="182"/>
        <v>Ok</v>
      </c>
      <c r="AE950" t="str">
        <f>IF(AND(Audit_Data[[#This Row],[Year_Birth]]&gt;=1900,Audit_Data[[#This Row],[Year_Birth]]&lt;=2010),"OK","Invalid")</f>
        <v>OK</v>
      </c>
      <c r="AF950" t="str">
        <f t="shared" si="183"/>
        <v>Valid</v>
      </c>
      <c r="AG950" t="str">
        <f t="shared" si="184"/>
        <v>Valid</v>
      </c>
      <c r="AH950" t="str">
        <f t="shared" si="185"/>
        <v>Valid</v>
      </c>
      <c r="AI950" t="str">
        <f t="shared" si="186"/>
        <v>Valid</v>
      </c>
      <c r="AJ950" t="str">
        <f t="shared" si="187"/>
        <v>Valid</v>
      </c>
      <c r="AK950" t="str">
        <f t="shared" si="194"/>
        <v xml:space="preserve">Valid </v>
      </c>
      <c r="AL950" t="str">
        <f>IF(AND(Audit_Data[[#This Row],[Recency]]&gt;=0,Audit_Data[[#This Row],[Recency]]&lt;=100),"Valid","Invalid")</f>
        <v>Valid</v>
      </c>
      <c r="AM950" t="str">
        <f t="shared" si="188"/>
        <v>Valid</v>
      </c>
      <c r="AN950" t="str">
        <f t="shared" si="189"/>
        <v>Valid</v>
      </c>
      <c r="AO950" t="str">
        <f t="shared" si="190"/>
        <v>Valid</v>
      </c>
      <c r="AP950" t="str">
        <f t="shared" si="191"/>
        <v>Valid</v>
      </c>
      <c r="AQ950" t="str">
        <f>IF(Audit_Data[[#This Row],[Z_CostContact]]=3,"Valid","Invalid")</f>
        <v>Valid</v>
      </c>
      <c r="AR950" t="str">
        <f t="shared" si="192"/>
        <v>Valid</v>
      </c>
      <c r="AS950" t="str">
        <f t="shared" si="193"/>
        <v>Valid</v>
      </c>
    </row>
    <row r="951" spans="1:45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 t="str">
        <f t="shared" si="182"/>
        <v>Ok</v>
      </c>
      <c r="AE951" t="str">
        <f>IF(AND(Audit_Data[[#This Row],[Year_Birth]]&gt;=1900,Audit_Data[[#This Row],[Year_Birth]]&lt;=2010),"OK","Invalid")</f>
        <v>OK</v>
      </c>
      <c r="AF951" t="str">
        <f t="shared" si="183"/>
        <v>Valid</v>
      </c>
      <c r="AG951" t="str">
        <f t="shared" si="184"/>
        <v>Valid</v>
      </c>
      <c r="AH951" t="str">
        <f t="shared" si="185"/>
        <v>Valid</v>
      </c>
      <c r="AI951" t="str">
        <f t="shared" si="186"/>
        <v>Valid</v>
      </c>
      <c r="AJ951" t="str">
        <f t="shared" si="187"/>
        <v>Valid</v>
      </c>
      <c r="AK951" t="str">
        <f t="shared" si="194"/>
        <v xml:space="preserve">Valid </v>
      </c>
      <c r="AL951" t="str">
        <f>IF(AND(Audit_Data[[#This Row],[Recency]]&gt;=0,Audit_Data[[#This Row],[Recency]]&lt;=100),"Valid","Invalid")</f>
        <v>Valid</v>
      </c>
      <c r="AM951" t="str">
        <f t="shared" si="188"/>
        <v>Valid</v>
      </c>
      <c r="AN951" t="str">
        <f t="shared" si="189"/>
        <v>Valid</v>
      </c>
      <c r="AO951" t="str">
        <f t="shared" si="190"/>
        <v>Valid</v>
      </c>
      <c r="AP951" t="str">
        <f t="shared" si="191"/>
        <v>Valid</v>
      </c>
      <c r="AQ951" t="str">
        <f>IF(Audit_Data[[#This Row],[Z_CostContact]]=3,"Valid","Invalid")</f>
        <v>Valid</v>
      </c>
      <c r="AR951" t="str">
        <f t="shared" si="192"/>
        <v>Valid</v>
      </c>
      <c r="AS951" t="str">
        <f t="shared" si="193"/>
        <v>Valid</v>
      </c>
    </row>
    <row r="952" spans="1:45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 t="str">
        <f t="shared" si="182"/>
        <v>Ok</v>
      </c>
      <c r="AE952" t="str">
        <f>IF(AND(Audit_Data[[#This Row],[Year_Birth]]&gt;=1900,Audit_Data[[#This Row],[Year_Birth]]&lt;=2010),"OK","Invalid")</f>
        <v>OK</v>
      </c>
      <c r="AF952" t="str">
        <f t="shared" si="183"/>
        <v>Valid</v>
      </c>
      <c r="AG952" t="str">
        <f t="shared" si="184"/>
        <v>Valid</v>
      </c>
      <c r="AH952" t="str">
        <f t="shared" si="185"/>
        <v>Valid</v>
      </c>
      <c r="AI952" t="str">
        <f t="shared" si="186"/>
        <v>Valid</v>
      </c>
      <c r="AJ952" t="str">
        <f t="shared" si="187"/>
        <v>Valid</v>
      </c>
      <c r="AK952" t="str">
        <f t="shared" si="194"/>
        <v xml:space="preserve">Valid </v>
      </c>
      <c r="AL952" t="str">
        <f>IF(AND(Audit_Data[[#This Row],[Recency]]&gt;=0,Audit_Data[[#This Row],[Recency]]&lt;=100),"Valid","Invalid")</f>
        <v>Valid</v>
      </c>
      <c r="AM952" t="str">
        <f t="shared" si="188"/>
        <v>Valid</v>
      </c>
      <c r="AN952" t="str">
        <f t="shared" si="189"/>
        <v>Valid</v>
      </c>
      <c r="AO952" t="str">
        <f t="shared" si="190"/>
        <v>Valid</v>
      </c>
      <c r="AP952" t="str">
        <f t="shared" si="191"/>
        <v>Valid</v>
      </c>
      <c r="AQ952" t="str">
        <f>IF(Audit_Data[[#This Row],[Z_CostContact]]=3,"Valid","Invalid")</f>
        <v>Valid</v>
      </c>
      <c r="AR952" t="str">
        <f t="shared" si="192"/>
        <v>Valid</v>
      </c>
      <c r="AS952" t="str">
        <f t="shared" si="193"/>
        <v>Valid</v>
      </c>
    </row>
    <row r="953" spans="1:45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 t="str">
        <f t="shared" si="182"/>
        <v>Ok</v>
      </c>
      <c r="AE953" t="str">
        <f>IF(AND(Audit_Data[[#This Row],[Year_Birth]]&gt;=1900,Audit_Data[[#This Row],[Year_Birth]]&lt;=2010),"OK","Invalid")</f>
        <v>OK</v>
      </c>
      <c r="AF953" t="str">
        <f t="shared" si="183"/>
        <v>Valid</v>
      </c>
      <c r="AG953" t="str">
        <f t="shared" si="184"/>
        <v>Valid</v>
      </c>
      <c r="AH953" t="str">
        <f t="shared" si="185"/>
        <v>Valid</v>
      </c>
      <c r="AI953" t="str">
        <f t="shared" si="186"/>
        <v>Valid</v>
      </c>
      <c r="AJ953" t="str">
        <f t="shared" si="187"/>
        <v>Valid</v>
      </c>
      <c r="AK953" t="str">
        <f t="shared" si="194"/>
        <v xml:space="preserve">Valid </v>
      </c>
      <c r="AL953" t="str">
        <f>IF(AND(Audit_Data[[#This Row],[Recency]]&gt;=0,Audit_Data[[#This Row],[Recency]]&lt;=100),"Valid","Invalid")</f>
        <v>Valid</v>
      </c>
      <c r="AM953" t="str">
        <f t="shared" si="188"/>
        <v>Valid</v>
      </c>
      <c r="AN953" t="str">
        <f t="shared" si="189"/>
        <v>Valid</v>
      </c>
      <c r="AO953" t="str">
        <f t="shared" si="190"/>
        <v>Valid</v>
      </c>
      <c r="AP953" t="str">
        <f t="shared" si="191"/>
        <v>Valid</v>
      </c>
      <c r="AQ953" t="str">
        <f>IF(Audit_Data[[#This Row],[Z_CostContact]]=3,"Valid","Invalid")</f>
        <v>Valid</v>
      </c>
      <c r="AR953" t="str">
        <f t="shared" si="192"/>
        <v>Valid</v>
      </c>
      <c r="AS953" t="str">
        <f t="shared" si="193"/>
        <v>Valid</v>
      </c>
    </row>
    <row r="954" spans="1:45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 t="str">
        <f t="shared" si="182"/>
        <v>Ok</v>
      </c>
      <c r="AE954" t="str">
        <f>IF(AND(Audit_Data[[#This Row],[Year_Birth]]&gt;=1900,Audit_Data[[#This Row],[Year_Birth]]&lt;=2010),"OK","Invalid")</f>
        <v>OK</v>
      </c>
      <c r="AF954" t="str">
        <f t="shared" si="183"/>
        <v>Valid</v>
      </c>
      <c r="AG954" t="str">
        <f t="shared" si="184"/>
        <v>Valid</v>
      </c>
      <c r="AH954" t="str">
        <f t="shared" si="185"/>
        <v>Valid</v>
      </c>
      <c r="AI954" t="str">
        <f t="shared" si="186"/>
        <v>Valid</v>
      </c>
      <c r="AJ954" t="str">
        <f t="shared" si="187"/>
        <v>Valid</v>
      </c>
      <c r="AK954" t="str">
        <f t="shared" si="194"/>
        <v xml:space="preserve">Valid </v>
      </c>
      <c r="AL954" t="str">
        <f>IF(AND(Audit_Data[[#This Row],[Recency]]&gt;=0,Audit_Data[[#This Row],[Recency]]&lt;=100),"Valid","Invalid")</f>
        <v>Valid</v>
      </c>
      <c r="AM954" t="str">
        <f t="shared" si="188"/>
        <v>Valid</v>
      </c>
      <c r="AN954" t="str">
        <f t="shared" si="189"/>
        <v>Valid</v>
      </c>
      <c r="AO954" t="str">
        <f t="shared" si="190"/>
        <v>Valid</v>
      </c>
      <c r="AP954" t="str">
        <f t="shared" si="191"/>
        <v>Valid</v>
      </c>
      <c r="AQ954" t="str">
        <f>IF(Audit_Data[[#This Row],[Z_CostContact]]=3,"Valid","Invalid")</f>
        <v>Valid</v>
      </c>
      <c r="AR954" t="str">
        <f t="shared" si="192"/>
        <v>Valid</v>
      </c>
      <c r="AS954" t="str">
        <f t="shared" si="193"/>
        <v>Valid</v>
      </c>
    </row>
    <row r="955" spans="1:45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 t="str">
        <f t="shared" si="182"/>
        <v>Ok</v>
      </c>
      <c r="AE955" t="str">
        <f>IF(AND(Audit_Data[[#This Row],[Year_Birth]]&gt;=1900,Audit_Data[[#This Row],[Year_Birth]]&lt;=2010),"OK","Invalid")</f>
        <v>OK</v>
      </c>
      <c r="AF955" t="str">
        <f t="shared" si="183"/>
        <v>Valid</v>
      </c>
      <c r="AG955" t="str">
        <f t="shared" si="184"/>
        <v>Valid</v>
      </c>
      <c r="AH955" t="str">
        <f t="shared" si="185"/>
        <v>Valid</v>
      </c>
      <c r="AI955" t="str">
        <f t="shared" si="186"/>
        <v>Valid</v>
      </c>
      <c r="AJ955" t="str">
        <f t="shared" si="187"/>
        <v>Valid</v>
      </c>
      <c r="AK955" t="str">
        <f t="shared" si="194"/>
        <v xml:space="preserve">Valid </v>
      </c>
      <c r="AL955" t="str">
        <f>IF(AND(Audit_Data[[#This Row],[Recency]]&gt;=0,Audit_Data[[#This Row],[Recency]]&lt;=100),"Valid","Invalid")</f>
        <v>Valid</v>
      </c>
      <c r="AM955" t="str">
        <f t="shared" si="188"/>
        <v>Valid</v>
      </c>
      <c r="AN955" t="str">
        <f t="shared" si="189"/>
        <v>Valid</v>
      </c>
      <c r="AO955" t="str">
        <f t="shared" si="190"/>
        <v>Valid</v>
      </c>
      <c r="AP955" t="str">
        <f t="shared" si="191"/>
        <v>Valid</v>
      </c>
      <c r="AQ955" t="str">
        <f>IF(Audit_Data[[#This Row],[Z_CostContact]]=3,"Valid","Invalid")</f>
        <v>Valid</v>
      </c>
      <c r="AR955" t="str">
        <f t="shared" si="192"/>
        <v>Valid</v>
      </c>
      <c r="AS955" t="str">
        <f t="shared" si="193"/>
        <v>Valid</v>
      </c>
    </row>
    <row r="956" spans="1:45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 t="str">
        <f t="shared" si="182"/>
        <v>Ok</v>
      </c>
      <c r="AE956" t="str">
        <f>IF(AND(Audit_Data[[#This Row],[Year_Birth]]&gt;=1900,Audit_Data[[#This Row],[Year_Birth]]&lt;=2010),"OK","Invalid")</f>
        <v>OK</v>
      </c>
      <c r="AF956" t="str">
        <f t="shared" si="183"/>
        <v>Valid</v>
      </c>
      <c r="AG956" t="str">
        <f t="shared" si="184"/>
        <v>Valid</v>
      </c>
      <c r="AH956" t="str">
        <f t="shared" si="185"/>
        <v>Valid</v>
      </c>
      <c r="AI956" t="str">
        <f t="shared" si="186"/>
        <v>Valid</v>
      </c>
      <c r="AJ956" t="str">
        <f t="shared" si="187"/>
        <v>Valid</v>
      </c>
      <c r="AK956" t="str">
        <f t="shared" si="194"/>
        <v xml:space="preserve">Valid </v>
      </c>
      <c r="AL956" t="str">
        <f>IF(AND(Audit_Data[[#This Row],[Recency]]&gt;=0,Audit_Data[[#This Row],[Recency]]&lt;=100),"Valid","Invalid")</f>
        <v>Valid</v>
      </c>
      <c r="AM956" t="str">
        <f t="shared" si="188"/>
        <v>Valid</v>
      </c>
      <c r="AN956" t="str">
        <f t="shared" si="189"/>
        <v>Valid</v>
      </c>
      <c r="AO956" t="str">
        <f t="shared" si="190"/>
        <v>Valid</v>
      </c>
      <c r="AP956" t="str">
        <f t="shared" si="191"/>
        <v>Valid</v>
      </c>
      <c r="AQ956" t="str">
        <f>IF(Audit_Data[[#This Row],[Z_CostContact]]=3,"Valid","Invalid")</f>
        <v>Valid</v>
      </c>
      <c r="AR956" t="str">
        <f t="shared" si="192"/>
        <v>Valid</v>
      </c>
      <c r="AS956" t="str">
        <f t="shared" si="193"/>
        <v>Valid</v>
      </c>
    </row>
    <row r="957" spans="1:45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 t="str">
        <f t="shared" si="182"/>
        <v>Ok</v>
      </c>
      <c r="AE957" t="str">
        <f>IF(AND(Audit_Data[[#This Row],[Year_Birth]]&gt;=1900,Audit_Data[[#This Row],[Year_Birth]]&lt;=2010),"OK","Invalid")</f>
        <v>OK</v>
      </c>
      <c r="AF957" t="str">
        <f t="shared" si="183"/>
        <v>Valid</v>
      </c>
      <c r="AG957" t="str">
        <f t="shared" si="184"/>
        <v>Valid</v>
      </c>
      <c r="AH957" t="str">
        <f t="shared" si="185"/>
        <v>Valid</v>
      </c>
      <c r="AI957" t="str">
        <f t="shared" si="186"/>
        <v>Valid</v>
      </c>
      <c r="AJ957" t="str">
        <f t="shared" si="187"/>
        <v>Valid</v>
      </c>
      <c r="AK957" t="str">
        <f t="shared" si="194"/>
        <v xml:space="preserve">Valid </v>
      </c>
      <c r="AL957" t="str">
        <f>IF(AND(Audit_Data[[#This Row],[Recency]]&gt;=0,Audit_Data[[#This Row],[Recency]]&lt;=100),"Valid","Invalid")</f>
        <v>Valid</v>
      </c>
      <c r="AM957" t="str">
        <f t="shared" si="188"/>
        <v>Valid</v>
      </c>
      <c r="AN957" t="str">
        <f t="shared" si="189"/>
        <v>Valid</v>
      </c>
      <c r="AO957" t="str">
        <f t="shared" si="190"/>
        <v>Valid</v>
      </c>
      <c r="AP957" t="str">
        <f t="shared" si="191"/>
        <v>Valid</v>
      </c>
      <c r="AQ957" t="str">
        <f>IF(Audit_Data[[#This Row],[Z_CostContact]]=3,"Valid","Invalid")</f>
        <v>Valid</v>
      </c>
      <c r="AR957" t="str">
        <f t="shared" si="192"/>
        <v>Valid</v>
      </c>
      <c r="AS957" t="str">
        <f t="shared" si="193"/>
        <v>Valid</v>
      </c>
    </row>
    <row r="958" spans="1:45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 t="str">
        <f t="shared" si="182"/>
        <v>Ok</v>
      </c>
      <c r="AE958" t="str">
        <f>IF(AND(Audit_Data[[#This Row],[Year_Birth]]&gt;=1900,Audit_Data[[#This Row],[Year_Birth]]&lt;=2010),"OK","Invalid")</f>
        <v>OK</v>
      </c>
      <c r="AF958" t="str">
        <f t="shared" si="183"/>
        <v>Valid</v>
      </c>
      <c r="AG958" t="str">
        <f t="shared" si="184"/>
        <v>Valid</v>
      </c>
      <c r="AH958" t="str">
        <f t="shared" si="185"/>
        <v>Valid</v>
      </c>
      <c r="AI958" t="str">
        <f t="shared" si="186"/>
        <v>Valid</v>
      </c>
      <c r="AJ958" t="str">
        <f t="shared" si="187"/>
        <v>Valid</v>
      </c>
      <c r="AK958" t="str">
        <f t="shared" si="194"/>
        <v xml:space="preserve">Valid </v>
      </c>
      <c r="AL958" t="str">
        <f>IF(AND(Audit_Data[[#This Row],[Recency]]&gt;=0,Audit_Data[[#This Row],[Recency]]&lt;=100),"Valid","Invalid")</f>
        <v>Valid</v>
      </c>
      <c r="AM958" t="str">
        <f t="shared" si="188"/>
        <v>Valid</v>
      </c>
      <c r="AN958" t="str">
        <f t="shared" si="189"/>
        <v>Valid</v>
      </c>
      <c r="AO958" t="str">
        <f t="shared" si="190"/>
        <v>Valid</v>
      </c>
      <c r="AP958" t="str">
        <f t="shared" si="191"/>
        <v>Valid</v>
      </c>
      <c r="AQ958" t="str">
        <f>IF(Audit_Data[[#This Row],[Z_CostContact]]=3,"Valid","Invalid")</f>
        <v>Valid</v>
      </c>
      <c r="AR958" t="str">
        <f t="shared" si="192"/>
        <v>Valid</v>
      </c>
      <c r="AS958" t="str">
        <f t="shared" si="193"/>
        <v>Valid</v>
      </c>
    </row>
    <row r="959" spans="1:45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 t="str">
        <f t="shared" si="182"/>
        <v>Ok</v>
      </c>
      <c r="AE959" t="str">
        <f>IF(AND(Audit_Data[[#This Row],[Year_Birth]]&gt;=1900,Audit_Data[[#This Row],[Year_Birth]]&lt;=2010),"OK","Invalid")</f>
        <v>OK</v>
      </c>
      <c r="AF959" t="str">
        <f t="shared" si="183"/>
        <v>Valid</v>
      </c>
      <c r="AG959" t="str">
        <f t="shared" si="184"/>
        <v>Valid</v>
      </c>
      <c r="AH959" t="str">
        <f t="shared" si="185"/>
        <v>Valid</v>
      </c>
      <c r="AI959" t="str">
        <f t="shared" si="186"/>
        <v>Valid</v>
      </c>
      <c r="AJ959" t="str">
        <f t="shared" si="187"/>
        <v>Valid</v>
      </c>
      <c r="AK959" t="str">
        <f t="shared" si="194"/>
        <v xml:space="preserve">Valid </v>
      </c>
      <c r="AL959" t="str">
        <f>IF(AND(Audit_Data[[#This Row],[Recency]]&gt;=0,Audit_Data[[#This Row],[Recency]]&lt;=100),"Valid","Invalid")</f>
        <v>Valid</v>
      </c>
      <c r="AM959" t="str">
        <f t="shared" si="188"/>
        <v>Valid</v>
      </c>
      <c r="AN959" t="str">
        <f t="shared" si="189"/>
        <v>Valid</v>
      </c>
      <c r="AO959" t="str">
        <f t="shared" si="190"/>
        <v>Valid</v>
      </c>
      <c r="AP959" t="str">
        <f t="shared" si="191"/>
        <v>Valid</v>
      </c>
      <c r="AQ959" t="str">
        <f>IF(Audit_Data[[#This Row],[Z_CostContact]]=3,"Valid","Invalid")</f>
        <v>Valid</v>
      </c>
      <c r="AR959" t="str">
        <f t="shared" si="192"/>
        <v>Valid</v>
      </c>
      <c r="AS959" t="str">
        <f t="shared" si="193"/>
        <v>Valid</v>
      </c>
    </row>
    <row r="960" spans="1:45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 t="str">
        <f t="shared" si="182"/>
        <v>Ok</v>
      </c>
      <c r="AE960" t="str">
        <f>IF(AND(Audit_Data[[#This Row],[Year_Birth]]&gt;=1900,Audit_Data[[#This Row],[Year_Birth]]&lt;=2010),"OK","Invalid")</f>
        <v>OK</v>
      </c>
      <c r="AF960" t="str">
        <f t="shared" si="183"/>
        <v>Valid</v>
      </c>
      <c r="AG960" t="str">
        <f t="shared" si="184"/>
        <v>Valid</v>
      </c>
      <c r="AH960" t="str">
        <f t="shared" si="185"/>
        <v>Valid</v>
      </c>
      <c r="AI960" t="str">
        <f t="shared" si="186"/>
        <v>Valid</v>
      </c>
      <c r="AJ960" t="str">
        <f t="shared" si="187"/>
        <v>Valid</v>
      </c>
      <c r="AK960" t="str">
        <f t="shared" si="194"/>
        <v xml:space="preserve">Valid </v>
      </c>
      <c r="AL960" t="str">
        <f>IF(AND(Audit_Data[[#This Row],[Recency]]&gt;=0,Audit_Data[[#This Row],[Recency]]&lt;=100),"Valid","Invalid")</f>
        <v>Valid</v>
      </c>
      <c r="AM960" t="str">
        <f t="shared" si="188"/>
        <v>Valid</v>
      </c>
      <c r="AN960" t="str">
        <f t="shared" si="189"/>
        <v>Valid</v>
      </c>
      <c r="AO960" t="str">
        <f t="shared" si="190"/>
        <v>Valid</v>
      </c>
      <c r="AP960" t="str">
        <f t="shared" si="191"/>
        <v>Valid</v>
      </c>
      <c r="AQ960" t="str">
        <f>IF(Audit_Data[[#This Row],[Z_CostContact]]=3,"Valid","Invalid")</f>
        <v>Valid</v>
      </c>
      <c r="AR960" t="str">
        <f t="shared" si="192"/>
        <v>Valid</v>
      </c>
      <c r="AS960" t="str">
        <f t="shared" si="193"/>
        <v>Valid</v>
      </c>
    </row>
    <row r="961" spans="1:45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 t="str">
        <f t="shared" si="182"/>
        <v>Ok</v>
      </c>
      <c r="AE961" t="str">
        <f>IF(AND(Audit_Data[[#This Row],[Year_Birth]]&gt;=1900,Audit_Data[[#This Row],[Year_Birth]]&lt;=2010),"OK","Invalid")</f>
        <v>OK</v>
      </c>
      <c r="AF961" t="str">
        <f t="shared" si="183"/>
        <v>Valid</v>
      </c>
      <c r="AG961" t="str">
        <f t="shared" si="184"/>
        <v>Valid</v>
      </c>
      <c r="AH961" t="str">
        <f t="shared" si="185"/>
        <v>Valid</v>
      </c>
      <c r="AI961" t="str">
        <f t="shared" si="186"/>
        <v>Valid</v>
      </c>
      <c r="AJ961" t="str">
        <f t="shared" si="187"/>
        <v>Valid</v>
      </c>
      <c r="AK961" t="str">
        <f t="shared" si="194"/>
        <v xml:space="preserve">Valid </v>
      </c>
      <c r="AL961" t="str">
        <f>IF(AND(Audit_Data[[#This Row],[Recency]]&gt;=0,Audit_Data[[#This Row],[Recency]]&lt;=100),"Valid","Invalid")</f>
        <v>Valid</v>
      </c>
      <c r="AM961" t="str">
        <f t="shared" si="188"/>
        <v>Valid</v>
      </c>
      <c r="AN961" t="str">
        <f t="shared" si="189"/>
        <v>Valid</v>
      </c>
      <c r="AO961" t="str">
        <f t="shared" si="190"/>
        <v>Valid</v>
      </c>
      <c r="AP961" t="str">
        <f t="shared" si="191"/>
        <v>Valid</v>
      </c>
      <c r="AQ961" t="str">
        <f>IF(Audit_Data[[#This Row],[Z_CostContact]]=3,"Valid","Invalid")</f>
        <v>Valid</v>
      </c>
      <c r="AR961" t="str">
        <f t="shared" si="192"/>
        <v>Valid</v>
      </c>
      <c r="AS961" t="str">
        <f t="shared" si="193"/>
        <v>Valid</v>
      </c>
    </row>
    <row r="962" spans="1:45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 t="str">
        <f t="shared" ref="AD962:AD1025" si="195">IF(COUNTIF(A:A,A962)&gt;1,"Duplicate","Ok")</f>
        <v>Ok</v>
      </c>
      <c r="AE962" t="str">
        <f>IF(AND(Audit_Data[[#This Row],[Year_Birth]]&gt;=1900,Audit_Data[[#This Row],[Year_Birth]]&lt;=2010),"OK","Invalid")</f>
        <v>OK</v>
      </c>
      <c r="AF962" t="str">
        <f t="shared" ref="AF962:AF1025" si="196">IF(OR(C962="Graduation",C962="phD",C962="Master",C962="Basic",C962="2n Cycle"),"Valid","Invalid")</f>
        <v>Valid</v>
      </c>
      <c r="AG962" t="str">
        <f t="shared" ref="AG962:AG1025" si="197">IF(OR(D962="Single",D962="Married",D962="Divorced",D962="Together",D962="Widow",D962="Alone"),"Valid","Invalid")</f>
        <v>Valid</v>
      </c>
      <c r="AH962" t="str">
        <f t="shared" ref="AH962:AH1025" si="198">IF(AND(ISNUMBER(E962),E962&lt;&gt;""),"Valid","Invalid")</f>
        <v>Valid</v>
      </c>
      <c r="AI962" t="str">
        <f t="shared" ref="AI962:AI1025" si="199">IF(AND(F962&gt;=0,F962&lt;=2),"Valid","Invalid")</f>
        <v>Valid</v>
      </c>
      <c r="AJ962" t="str">
        <f t="shared" ref="AJ962:AJ1025" si="200">IF(AND(G962&gt;=0,G962&lt;=2),"Valid","Invalid")</f>
        <v>Valid</v>
      </c>
      <c r="AK962" t="str">
        <f t="shared" si="194"/>
        <v xml:space="preserve">Valid </v>
      </c>
      <c r="AL962" t="str">
        <f>IF(AND(Audit_Data[[#This Row],[Recency]]&gt;=0,Audit_Data[[#This Row],[Recency]]&lt;=100),"Valid","Invalid")</f>
        <v>Valid</v>
      </c>
      <c r="AM962" t="str">
        <f t="shared" ref="AM962:AM1025" si="201">IF(AND(ISNUMBER(J962),J962&gt;=0,ISNUMBER(K962),K962&gt;=0,ISNUMBER(L962),L962&gt;=0,ISNUMBER(M962),M962&gt;=0,ISNUMBER(N962),N962&gt;=0,ISNUMBER(O962),O962&gt;=0),"Valid","Invalid")</f>
        <v>Valid</v>
      </c>
      <c r="AN962" t="str">
        <f t="shared" ref="AN962:AN1025" si="202">IF(AND(ISNUMBER(P962),P962&gt;=0,ISNUMBER(Q962),Q962&gt;=0,ISNUMBER(R962),R962&gt;=0,ISNUMBER(S962),S962&gt;=0,ISNUMBER(T962),T962&gt;=0),"Valid","Invalid")</f>
        <v>Valid</v>
      </c>
      <c r="AO962" t="str">
        <f t="shared" ref="AO962:AO1025" si="203">IF(AND(U962&lt;=1,V962&lt;=1,W962&lt;=1,X962&lt;=1,Y962&lt;=1),"Valid","Invalid")</f>
        <v>Valid</v>
      </c>
      <c r="AP962" t="str">
        <f t="shared" ref="AP962:AP1025" si="204">IF(OR(Z962=0,Z962=1),"Valid","Invalid")</f>
        <v>Valid</v>
      </c>
      <c r="AQ962" t="str">
        <f>IF(Audit_Data[[#This Row],[Z_CostContact]]=3,"Valid","Invalid")</f>
        <v>Valid</v>
      </c>
      <c r="AR962" t="str">
        <f t="shared" ref="AR962:AR1025" si="205">IF(AB962=11,"Valid","Invalid")</f>
        <v>Valid</v>
      </c>
      <c r="AS962" t="str">
        <f t="shared" ref="AS962:AS1025" si="206">IF(OR(AC962=0,AC962=1),"Valid","Invalid")</f>
        <v>Valid</v>
      </c>
    </row>
    <row r="963" spans="1:45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 t="str">
        <f t="shared" si="195"/>
        <v>Ok</v>
      </c>
      <c r="AE963" t="str">
        <f>IF(AND(Audit_Data[[#This Row],[Year_Birth]]&gt;=1900,Audit_Data[[#This Row],[Year_Birth]]&lt;=2010),"OK","Invalid")</f>
        <v>OK</v>
      </c>
      <c r="AF963" t="str">
        <f t="shared" si="196"/>
        <v>Valid</v>
      </c>
      <c r="AG963" t="str">
        <f t="shared" si="197"/>
        <v>Valid</v>
      </c>
      <c r="AH963" t="str">
        <f t="shared" si="198"/>
        <v>Valid</v>
      </c>
      <c r="AI963" t="str">
        <f t="shared" si="199"/>
        <v>Valid</v>
      </c>
      <c r="AJ963" t="str">
        <f t="shared" si="200"/>
        <v>Valid</v>
      </c>
      <c r="AK963" t="str">
        <f t="shared" ref="AK963:AK1026" si="207">IF(AND(ISNUMBER(H963),H963&gt;=DATE(2012,1,1),H963&lt;=DATE(2014,12,31)),"Valid ","Invalid")</f>
        <v xml:space="preserve">Valid </v>
      </c>
      <c r="AL963" t="str">
        <f>IF(AND(Audit_Data[[#This Row],[Recency]]&gt;=0,Audit_Data[[#This Row],[Recency]]&lt;=100),"Valid","Invalid")</f>
        <v>Valid</v>
      </c>
      <c r="AM963" t="str">
        <f t="shared" si="201"/>
        <v>Valid</v>
      </c>
      <c r="AN963" t="str">
        <f t="shared" si="202"/>
        <v>Valid</v>
      </c>
      <c r="AO963" t="str">
        <f t="shared" si="203"/>
        <v>Valid</v>
      </c>
      <c r="AP963" t="str">
        <f t="shared" si="204"/>
        <v>Valid</v>
      </c>
      <c r="AQ963" t="str">
        <f>IF(Audit_Data[[#This Row],[Z_CostContact]]=3,"Valid","Invalid")</f>
        <v>Valid</v>
      </c>
      <c r="AR963" t="str">
        <f t="shared" si="205"/>
        <v>Valid</v>
      </c>
      <c r="AS963" t="str">
        <f t="shared" si="206"/>
        <v>Valid</v>
      </c>
    </row>
    <row r="964" spans="1:45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 t="str">
        <f t="shared" si="195"/>
        <v>Ok</v>
      </c>
      <c r="AE964" t="str">
        <f>IF(AND(Audit_Data[[#This Row],[Year_Birth]]&gt;=1900,Audit_Data[[#This Row],[Year_Birth]]&lt;=2010),"OK","Invalid")</f>
        <v>OK</v>
      </c>
      <c r="AF964" t="str">
        <f t="shared" si="196"/>
        <v>Valid</v>
      </c>
      <c r="AG964" t="str">
        <f t="shared" si="197"/>
        <v>Valid</v>
      </c>
      <c r="AH964" t="str">
        <f t="shared" si="198"/>
        <v>Valid</v>
      </c>
      <c r="AI964" t="str">
        <f t="shared" si="199"/>
        <v>Valid</v>
      </c>
      <c r="AJ964" t="str">
        <f t="shared" si="200"/>
        <v>Valid</v>
      </c>
      <c r="AK964" t="str">
        <f t="shared" si="207"/>
        <v xml:space="preserve">Valid </v>
      </c>
      <c r="AL964" t="str">
        <f>IF(AND(Audit_Data[[#This Row],[Recency]]&gt;=0,Audit_Data[[#This Row],[Recency]]&lt;=100),"Valid","Invalid")</f>
        <v>Valid</v>
      </c>
      <c r="AM964" t="str">
        <f t="shared" si="201"/>
        <v>Valid</v>
      </c>
      <c r="AN964" t="str">
        <f t="shared" si="202"/>
        <v>Valid</v>
      </c>
      <c r="AO964" t="str">
        <f t="shared" si="203"/>
        <v>Valid</v>
      </c>
      <c r="AP964" t="str">
        <f t="shared" si="204"/>
        <v>Valid</v>
      </c>
      <c r="AQ964" t="str">
        <f>IF(Audit_Data[[#This Row],[Z_CostContact]]=3,"Valid","Invalid")</f>
        <v>Valid</v>
      </c>
      <c r="AR964" t="str">
        <f t="shared" si="205"/>
        <v>Valid</v>
      </c>
      <c r="AS964" t="str">
        <f t="shared" si="206"/>
        <v>Valid</v>
      </c>
    </row>
    <row r="965" spans="1:45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 t="str">
        <f t="shared" si="195"/>
        <v>Ok</v>
      </c>
      <c r="AE965" t="str">
        <f>IF(AND(Audit_Data[[#This Row],[Year_Birth]]&gt;=1900,Audit_Data[[#This Row],[Year_Birth]]&lt;=2010),"OK","Invalid")</f>
        <v>OK</v>
      </c>
      <c r="AF965" t="str">
        <f t="shared" si="196"/>
        <v>Valid</v>
      </c>
      <c r="AG965" t="str">
        <f t="shared" si="197"/>
        <v>Valid</v>
      </c>
      <c r="AH965" t="str">
        <f t="shared" si="198"/>
        <v>Valid</v>
      </c>
      <c r="AI965" t="str">
        <f t="shared" si="199"/>
        <v>Valid</v>
      </c>
      <c r="AJ965" t="str">
        <f t="shared" si="200"/>
        <v>Valid</v>
      </c>
      <c r="AK965" t="str">
        <f t="shared" si="207"/>
        <v xml:space="preserve">Valid </v>
      </c>
      <c r="AL965" t="str">
        <f>IF(AND(Audit_Data[[#This Row],[Recency]]&gt;=0,Audit_Data[[#This Row],[Recency]]&lt;=100),"Valid","Invalid")</f>
        <v>Valid</v>
      </c>
      <c r="AM965" t="str">
        <f t="shared" si="201"/>
        <v>Valid</v>
      </c>
      <c r="AN965" t="str">
        <f t="shared" si="202"/>
        <v>Valid</v>
      </c>
      <c r="AO965" t="str">
        <f t="shared" si="203"/>
        <v>Valid</v>
      </c>
      <c r="AP965" t="str">
        <f t="shared" si="204"/>
        <v>Valid</v>
      </c>
      <c r="AQ965" t="str">
        <f>IF(Audit_Data[[#This Row],[Z_CostContact]]=3,"Valid","Invalid")</f>
        <v>Valid</v>
      </c>
      <c r="AR965" t="str">
        <f t="shared" si="205"/>
        <v>Valid</v>
      </c>
      <c r="AS965" t="str">
        <f t="shared" si="206"/>
        <v>Valid</v>
      </c>
    </row>
    <row r="966" spans="1:45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 t="str">
        <f t="shared" si="195"/>
        <v>Ok</v>
      </c>
      <c r="AE966" t="str">
        <f>IF(AND(Audit_Data[[#This Row],[Year_Birth]]&gt;=1900,Audit_Data[[#This Row],[Year_Birth]]&lt;=2010),"OK","Invalid")</f>
        <v>OK</v>
      </c>
      <c r="AF966" t="str">
        <f t="shared" si="196"/>
        <v>Valid</v>
      </c>
      <c r="AG966" t="str">
        <f t="shared" si="197"/>
        <v>Valid</v>
      </c>
      <c r="AH966" t="str">
        <f t="shared" si="198"/>
        <v>Valid</v>
      </c>
      <c r="AI966" t="str">
        <f t="shared" si="199"/>
        <v>Valid</v>
      </c>
      <c r="AJ966" t="str">
        <f t="shared" si="200"/>
        <v>Valid</v>
      </c>
      <c r="AK966" t="str">
        <f t="shared" si="207"/>
        <v xml:space="preserve">Valid </v>
      </c>
      <c r="AL966" t="str">
        <f>IF(AND(Audit_Data[[#This Row],[Recency]]&gt;=0,Audit_Data[[#This Row],[Recency]]&lt;=100),"Valid","Invalid")</f>
        <v>Valid</v>
      </c>
      <c r="AM966" t="str">
        <f t="shared" si="201"/>
        <v>Valid</v>
      </c>
      <c r="AN966" t="str">
        <f t="shared" si="202"/>
        <v>Valid</v>
      </c>
      <c r="AO966" t="str">
        <f t="shared" si="203"/>
        <v>Valid</v>
      </c>
      <c r="AP966" t="str">
        <f t="shared" si="204"/>
        <v>Valid</v>
      </c>
      <c r="AQ966" t="str">
        <f>IF(Audit_Data[[#This Row],[Z_CostContact]]=3,"Valid","Invalid")</f>
        <v>Valid</v>
      </c>
      <c r="AR966" t="str">
        <f t="shared" si="205"/>
        <v>Valid</v>
      </c>
      <c r="AS966" t="str">
        <f t="shared" si="206"/>
        <v>Valid</v>
      </c>
    </row>
    <row r="967" spans="1:45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 t="str">
        <f t="shared" si="195"/>
        <v>Ok</v>
      </c>
      <c r="AE967" t="str">
        <f>IF(AND(Audit_Data[[#This Row],[Year_Birth]]&gt;=1900,Audit_Data[[#This Row],[Year_Birth]]&lt;=2010),"OK","Invalid")</f>
        <v>OK</v>
      </c>
      <c r="AF967" t="str">
        <f t="shared" si="196"/>
        <v>Valid</v>
      </c>
      <c r="AG967" t="str">
        <f t="shared" si="197"/>
        <v>Valid</v>
      </c>
      <c r="AH967" t="str">
        <f t="shared" si="198"/>
        <v>Valid</v>
      </c>
      <c r="AI967" t="str">
        <f t="shared" si="199"/>
        <v>Valid</v>
      </c>
      <c r="AJ967" t="str">
        <f t="shared" si="200"/>
        <v>Valid</v>
      </c>
      <c r="AK967" t="str">
        <f t="shared" si="207"/>
        <v xml:space="preserve">Valid </v>
      </c>
      <c r="AL967" t="str">
        <f>IF(AND(Audit_Data[[#This Row],[Recency]]&gt;=0,Audit_Data[[#This Row],[Recency]]&lt;=100),"Valid","Invalid")</f>
        <v>Valid</v>
      </c>
      <c r="AM967" t="str">
        <f t="shared" si="201"/>
        <v>Valid</v>
      </c>
      <c r="AN967" t="str">
        <f t="shared" si="202"/>
        <v>Valid</v>
      </c>
      <c r="AO967" t="str">
        <f t="shared" si="203"/>
        <v>Valid</v>
      </c>
      <c r="AP967" t="str">
        <f t="shared" si="204"/>
        <v>Valid</v>
      </c>
      <c r="AQ967" t="str">
        <f>IF(Audit_Data[[#This Row],[Z_CostContact]]=3,"Valid","Invalid")</f>
        <v>Valid</v>
      </c>
      <c r="AR967" t="str">
        <f t="shared" si="205"/>
        <v>Valid</v>
      </c>
      <c r="AS967" t="str">
        <f t="shared" si="206"/>
        <v>Valid</v>
      </c>
    </row>
    <row r="968" spans="1:45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 t="str">
        <f t="shared" si="195"/>
        <v>Ok</v>
      </c>
      <c r="AE968" t="str">
        <f>IF(AND(Audit_Data[[#This Row],[Year_Birth]]&gt;=1900,Audit_Data[[#This Row],[Year_Birth]]&lt;=2010),"OK","Invalid")</f>
        <v>OK</v>
      </c>
      <c r="AF968" t="str">
        <f t="shared" si="196"/>
        <v>Valid</v>
      </c>
      <c r="AG968" t="str">
        <f t="shared" si="197"/>
        <v>Valid</v>
      </c>
      <c r="AH968" t="str">
        <f t="shared" si="198"/>
        <v>Valid</v>
      </c>
      <c r="AI968" t="str">
        <f t="shared" si="199"/>
        <v>Valid</v>
      </c>
      <c r="AJ968" t="str">
        <f t="shared" si="200"/>
        <v>Valid</v>
      </c>
      <c r="AK968" t="str">
        <f t="shared" si="207"/>
        <v xml:space="preserve">Valid </v>
      </c>
      <c r="AL968" t="str">
        <f>IF(AND(Audit_Data[[#This Row],[Recency]]&gt;=0,Audit_Data[[#This Row],[Recency]]&lt;=100),"Valid","Invalid")</f>
        <v>Valid</v>
      </c>
      <c r="AM968" t="str">
        <f t="shared" si="201"/>
        <v>Valid</v>
      </c>
      <c r="AN968" t="str">
        <f t="shared" si="202"/>
        <v>Valid</v>
      </c>
      <c r="AO968" t="str">
        <f t="shared" si="203"/>
        <v>Valid</v>
      </c>
      <c r="AP968" t="str">
        <f t="shared" si="204"/>
        <v>Valid</v>
      </c>
      <c r="AQ968" t="str">
        <f>IF(Audit_Data[[#This Row],[Z_CostContact]]=3,"Valid","Invalid")</f>
        <v>Valid</v>
      </c>
      <c r="AR968" t="str">
        <f t="shared" si="205"/>
        <v>Valid</v>
      </c>
      <c r="AS968" t="str">
        <f t="shared" si="206"/>
        <v>Valid</v>
      </c>
    </row>
    <row r="969" spans="1:45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 t="str">
        <f t="shared" si="195"/>
        <v>Ok</v>
      </c>
      <c r="AE969" t="str">
        <f>IF(AND(Audit_Data[[#This Row],[Year_Birth]]&gt;=1900,Audit_Data[[#This Row],[Year_Birth]]&lt;=2010),"OK","Invalid")</f>
        <v>OK</v>
      </c>
      <c r="AF969" t="str">
        <f t="shared" si="196"/>
        <v>Valid</v>
      </c>
      <c r="AG969" t="str">
        <f t="shared" si="197"/>
        <v>Valid</v>
      </c>
      <c r="AH969" t="str">
        <f t="shared" si="198"/>
        <v>Valid</v>
      </c>
      <c r="AI969" t="str">
        <f t="shared" si="199"/>
        <v>Valid</v>
      </c>
      <c r="AJ969" t="str">
        <f t="shared" si="200"/>
        <v>Valid</v>
      </c>
      <c r="AK969" t="str">
        <f t="shared" si="207"/>
        <v xml:space="preserve">Valid </v>
      </c>
      <c r="AL969" t="str">
        <f>IF(AND(Audit_Data[[#This Row],[Recency]]&gt;=0,Audit_Data[[#This Row],[Recency]]&lt;=100),"Valid","Invalid")</f>
        <v>Valid</v>
      </c>
      <c r="AM969" t="str">
        <f t="shared" si="201"/>
        <v>Valid</v>
      </c>
      <c r="AN969" t="str">
        <f t="shared" si="202"/>
        <v>Valid</v>
      </c>
      <c r="AO969" t="str">
        <f t="shared" si="203"/>
        <v>Valid</v>
      </c>
      <c r="AP969" t="str">
        <f t="shared" si="204"/>
        <v>Valid</v>
      </c>
      <c r="AQ969" t="str">
        <f>IF(Audit_Data[[#This Row],[Z_CostContact]]=3,"Valid","Invalid")</f>
        <v>Valid</v>
      </c>
      <c r="AR969" t="str">
        <f t="shared" si="205"/>
        <v>Valid</v>
      </c>
      <c r="AS969" t="str">
        <f t="shared" si="206"/>
        <v>Valid</v>
      </c>
    </row>
    <row r="970" spans="1:45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 t="str">
        <f t="shared" si="195"/>
        <v>Ok</v>
      </c>
      <c r="AE970" t="str">
        <f>IF(AND(Audit_Data[[#This Row],[Year_Birth]]&gt;=1900,Audit_Data[[#This Row],[Year_Birth]]&lt;=2010),"OK","Invalid")</f>
        <v>OK</v>
      </c>
      <c r="AF970" t="str">
        <f t="shared" si="196"/>
        <v>Valid</v>
      </c>
      <c r="AG970" t="str">
        <f t="shared" si="197"/>
        <v>Valid</v>
      </c>
      <c r="AH970" t="str">
        <f t="shared" si="198"/>
        <v>Valid</v>
      </c>
      <c r="AI970" t="str">
        <f t="shared" si="199"/>
        <v>Valid</v>
      </c>
      <c r="AJ970" t="str">
        <f t="shared" si="200"/>
        <v>Valid</v>
      </c>
      <c r="AK970" t="str">
        <f t="shared" si="207"/>
        <v xml:space="preserve">Valid </v>
      </c>
      <c r="AL970" t="str">
        <f>IF(AND(Audit_Data[[#This Row],[Recency]]&gt;=0,Audit_Data[[#This Row],[Recency]]&lt;=100),"Valid","Invalid")</f>
        <v>Valid</v>
      </c>
      <c r="AM970" t="str">
        <f t="shared" si="201"/>
        <v>Valid</v>
      </c>
      <c r="AN970" t="str">
        <f t="shared" si="202"/>
        <v>Valid</v>
      </c>
      <c r="AO970" t="str">
        <f t="shared" si="203"/>
        <v>Valid</v>
      </c>
      <c r="AP970" t="str">
        <f t="shared" si="204"/>
        <v>Valid</v>
      </c>
      <c r="AQ970" t="str">
        <f>IF(Audit_Data[[#This Row],[Z_CostContact]]=3,"Valid","Invalid")</f>
        <v>Valid</v>
      </c>
      <c r="AR970" t="str">
        <f t="shared" si="205"/>
        <v>Valid</v>
      </c>
      <c r="AS970" t="str">
        <f t="shared" si="206"/>
        <v>Valid</v>
      </c>
    </row>
    <row r="971" spans="1:45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 t="str">
        <f t="shared" si="195"/>
        <v>Ok</v>
      </c>
      <c r="AE971" t="str">
        <f>IF(AND(Audit_Data[[#This Row],[Year_Birth]]&gt;=1900,Audit_Data[[#This Row],[Year_Birth]]&lt;=2010),"OK","Invalid")</f>
        <v>OK</v>
      </c>
      <c r="AF971" t="str">
        <f t="shared" si="196"/>
        <v>Valid</v>
      </c>
      <c r="AG971" t="str">
        <f t="shared" si="197"/>
        <v>Valid</v>
      </c>
      <c r="AH971" t="str">
        <f t="shared" si="198"/>
        <v>Valid</v>
      </c>
      <c r="AI971" t="str">
        <f t="shared" si="199"/>
        <v>Valid</v>
      </c>
      <c r="AJ971" t="str">
        <f t="shared" si="200"/>
        <v>Valid</v>
      </c>
      <c r="AK971" t="str">
        <f t="shared" si="207"/>
        <v xml:space="preserve">Valid </v>
      </c>
      <c r="AL971" t="str">
        <f>IF(AND(Audit_Data[[#This Row],[Recency]]&gt;=0,Audit_Data[[#This Row],[Recency]]&lt;=100),"Valid","Invalid")</f>
        <v>Valid</v>
      </c>
      <c r="AM971" t="str">
        <f t="shared" si="201"/>
        <v>Valid</v>
      </c>
      <c r="AN971" t="str">
        <f t="shared" si="202"/>
        <v>Valid</v>
      </c>
      <c r="AO971" t="str">
        <f t="shared" si="203"/>
        <v>Valid</v>
      </c>
      <c r="AP971" t="str">
        <f t="shared" si="204"/>
        <v>Valid</v>
      </c>
      <c r="AQ971" t="str">
        <f>IF(Audit_Data[[#This Row],[Z_CostContact]]=3,"Valid","Invalid")</f>
        <v>Valid</v>
      </c>
      <c r="AR971" t="str">
        <f t="shared" si="205"/>
        <v>Valid</v>
      </c>
      <c r="AS971" t="str">
        <f t="shared" si="206"/>
        <v>Valid</v>
      </c>
    </row>
    <row r="972" spans="1:45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 t="str">
        <f t="shared" si="195"/>
        <v>Ok</v>
      </c>
      <c r="AE972" t="str">
        <f>IF(AND(Audit_Data[[#This Row],[Year_Birth]]&gt;=1900,Audit_Data[[#This Row],[Year_Birth]]&lt;=2010),"OK","Invalid")</f>
        <v>OK</v>
      </c>
      <c r="AF972" t="str">
        <f t="shared" si="196"/>
        <v>Valid</v>
      </c>
      <c r="AG972" t="str">
        <f t="shared" si="197"/>
        <v>Valid</v>
      </c>
      <c r="AH972" t="str">
        <f t="shared" si="198"/>
        <v>Valid</v>
      </c>
      <c r="AI972" t="str">
        <f t="shared" si="199"/>
        <v>Valid</v>
      </c>
      <c r="AJ972" t="str">
        <f t="shared" si="200"/>
        <v>Valid</v>
      </c>
      <c r="AK972" t="str">
        <f t="shared" si="207"/>
        <v xml:space="preserve">Valid </v>
      </c>
      <c r="AL972" t="str">
        <f>IF(AND(Audit_Data[[#This Row],[Recency]]&gt;=0,Audit_Data[[#This Row],[Recency]]&lt;=100),"Valid","Invalid")</f>
        <v>Valid</v>
      </c>
      <c r="AM972" t="str">
        <f t="shared" si="201"/>
        <v>Valid</v>
      </c>
      <c r="AN972" t="str">
        <f t="shared" si="202"/>
        <v>Valid</v>
      </c>
      <c r="AO972" t="str">
        <f t="shared" si="203"/>
        <v>Valid</v>
      </c>
      <c r="AP972" t="str">
        <f t="shared" si="204"/>
        <v>Valid</v>
      </c>
      <c r="AQ972" t="str">
        <f>IF(Audit_Data[[#This Row],[Z_CostContact]]=3,"Valid","Invalid")</f>
        <v>Valid</v>
      </c>
      <c r="AR972" t="str">
        <f t="shared" si="205"/>
        <v>Valid</v>
      </c>
      <c r="AS972" t="str">
        <f t="shared" si="206"/>
        <v>Valid</v>
      </c>
    </row>
    <row r="973" spans="1:45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 t="str">
        <f t="shared" si="195"/>
        <v>Ok</v>
      </c>
      <c r="AE973" t="str">
        <f>IF(AND(Audit_Data[[#This Row],[Year_Birth]]&gt;=1900,Audit_Data[[#This Row],[Year_Birth]]&lt;=2010),"OK","Invalid")</f>
        <v>OK</v>
      </c>
      <c r="AF973" t="str">
        <f t="shared" si="196"/>
        <v>Valid</v>
      </c>
      <c r="AG973" t="str">
        <f t="shared" si="197"/>
        <v>Valid</v>
      </c>
      <c r="AH973" t="str">
        <f t="shared" si="198"/>
        <v>Valid</v>
      </c>
      <c r="AI973" t="str">
        <f t="shared" si="199"/>
        <v>Valid</v>
      </c>
      <c r="AJ973" t="str">
        <f t="shared" si="200"/>
        <v>Valid</v>
      </c>
      <c r="AK973" t="str">
        <f t="shared" si="207"/>
        <v xml:space="preserve">Valid </v>
      </c>
      <c r="AL973" t="str">
        <f>IF(AND(Audit_Data[[#This Row],[Recency]]&gt;=0,Audit_Data[[#This Row],[Recency]]&lt;=100),"Valid","Invalid")</f>
        <v>Valid</v>
      </c>
      <c r="AM973" t="str">
        <f t="shared" si="201"/>
        <v>Valid</v>
      </c>
      <c r="AN973" t="str">
        <f t="shared" si="202"/>
        <v>Valid</v>
      </c>
      <c r="AO973" t="str">
        <f t="shared" si="203"/>
        <v>Valid</v>
      </c>
      <c r="AP973" t="str">
        <f t="shared" si="204"/>
        <v>Valid</v>
      </c>
      <c r="AQ973" t="str">
        <f>IF(Audit_Data[[#This Row],[Z_CostContact]]=3,"Valid","Invalid")</f>
        <v>Valid</v>
      </c>
      <c r="AR973" t="str">
        <f t="shared" si="205"/>
        <v>Valid</v>
      </c>
      <c r="AS973" t="str">
        <f t="shared" si="206"/>
        <v>Valid</v>
      </c>
    </row>
    <row r="974" spans="1:45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 t="str">
        <f t="shared" si="195"/>
        <v>Ok</v>
      </c>
      <c r="AE974" t="str">
        <f>IF(AND(Audit_Data[[#This Row],[Year_Birth]]&gt;=1900,Audit_Data[[#This Row],[Year_Birth]]&lt;=2010),"OK","Invalid")</f>
        <v>OK</v>
      </c>
      <c r="AF974" t="str">
        <f t="shared" si="196"/>
        <v>Valid</v>
      </c>
      <c r="AG974" t="str">
        <f t="shared" si="197"/>
        <v>Valid</v>
      </c>
      <c r="AH974" t="str">
        <f t="shared" si="198"/>
        <v>Valid</v>
      </c>
      <c r="AI974" t="str">
        <f t="shared" si="199"/>
        <v>Valid</v>
      </c>
      <c r="AJ974" t="str">
        <f t="shared" si="200"/>
        <v>Valid</v>
      </c>
      <c r="AK974" t="str">
        <f t="shared" si="207"/>
        <v xml:space="preserve">Valid </v>
      </c>
      <c r="AL974" t="str">
        <f>IF(AND(Audit_Data[[#This Row],[Recency]]&gt;=0,Audit_Data[[#This Row],[Recency]]&lt;=100),"Valid","Invalid")</f>
        <v>Valid</v>
      </c>
      <c r="AM974" t="str">
        <f t="shared" si="201"/>
        <v>Valid</v>
      </c>
      <c r="AN974" t="str">
        <f t="shared" si="202"/>
        <v>Valid</v>
      </c>
      <c r="AO974" t="str">
        <f t="shared" si="203"/>
        <v>Valid</v>
      </c>
      <c r="AP974" t="str">
        <f t="shared" si="204"/>
        <v>Valid</v>
      </c>
      <c r="AQ974" t="str">
        <f>IF(Audit_Data[[#This Row],[Z_CostContact]]=3,"Valid","Invalid")</f>
        <v>Valid</v>
      </c>
      <c r="AR974" t="str">
        <f t="shared" si="205"/>
        <v>Valid</v>
      </c>
      <c r="AS974" t="str">
        <f t="shared" si="206"/>
        <v>Valid</v>
      </c>
    </row>
    <row r="975" spans="1:45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 t="str">
        <f t="shared" si="195"/>
        <v>Ok</v>
      </c>
      <c r="AE975" t="str">
        <f>IF(AND(Audit_Data[[#This Row],[Year_Birth]]&gt;=1900,Audit_Data[[#This Row],[Year_Birth]]&lt;=2010),"OK","Invalid")</f>
        <v>OK</v>
      </c>
      <c r="AF975" t="str">
        <f t="shared" si="196"/>
        <v>Valid</v>
      </c>
      <c r="AG975" t="str">
        <f t="shared" si="197"/>
        <v>Valid</v>
      </c>
      <c r="AH975" t="str">
        <f t="shared" si="198"/>
        <v>Valid</v>
      </c>
      <c r="AI975" t="str">
        <f t="shared" si="199"/>
        <v>Valid</v>
      </c>
      <c r="AJ975" t="str">
        <f t="shared" si="200"/>
        <v>Valid</v>
      </c>
      <c r="AK975" t="str">
        <f t="shared" si="207"/>
        <v xml:space="preserve">Valid </v>
      </c>
      <c r="AL975" t="str">
        <f>IF(AND(Audit_Data[[#This Row],[Recency]]&gt;=0,Audit_Data[[#This Row],[Recency]]&lt;=100),"Valid","Invalid")</f>
        <v>Valid</v>
      </c>
      <c r="AM975" t="str">
        <f t="shared" si="201"/>
        <v>Valid</v>
      </c>
      <c r="AN975" t="str">
        <f t="shared" si="202"/>
        <v>Valid</v>
      </c>
      <c r="AO975" t="str">
        <f t="shared" si="203"/>
        <v>Valid</v>
      </c>
      <c r="AP975" t="str">
        <f t="shared" si="204"/>
        <v>Valid</v>
      </c>
      <c r="AQ975" t="str">
        <f>IF(Audit_Data[[#This Row],[Z_CostContact]]=3,"Valid","Invalid")</f>
        <v>Valid</v>
      </c>
      <c r="AR975" t="str">
        <f t="shared" si="205"/>
        <v>Valid</v>
      </c>
      <c r="AS975" t="str">
        <f t="shared" si="206"/>
        <v>Valid</v>
      </c>
    </row>
    <row r="976" spans="1:45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 t="str">
        <f t="shared" si="195"/>
        <v>Ok</v>
      </c>
      <c r="AE976" t="str">
        <f>IF(AND(Audit_Data[[#This Row],[Year_Birth]]&gt;=1900,Audit_Data[[#This Row],[Year_Birth]]&lt;=2010),"OK","Invalid")</f>
        <v>OK</v>
      </c>
      <c r="AF976" t="str">
        <f t="shared" si="196"/>
        <v>Valid</v>
      </c>
      <c r="AG976" t="str">
        <f t="shared" si="197"/>
        <v>Valid</v>
      </c>
      <c r="AH976" t="str">
        <f t="shared" si="198"/>
        <v>Valid</v>
      </c>
      <c r="AI976" t="str">
        <f t="shared" si="199"/>
        <v>Valid</v>
      </c>
      <c r="AJ976" t="str">
        <f t="shared" si="200"/>
        <v>Valid</v>
      </c>
      <c r="AK976" t="str">
        <f t="shared" si="207"/>
        <v xml:space="preserve">Valid </v>
      </c>
      <c r="AL976" t="str">
        <f>IF(AND(Audit_Data[[#This Row],[Recency]]&gt;=0,Audit_Data[[#This Row],[Recency]]&lt;=100),"Valid","Invalid")</f>
        <v>Valid</v>
      </c>
      <c r="AM976" t="str">
        <f t="shared" si="201"/>
        <v>Valid</v>
      </c>
      <c r="AN976" t="str">
        <f t="shared" si="202"/>
        <v>Valid</v>
      </c>
      <c r="AO976" t="str">
        <f t="shared" si="203"/>
        <v>Valid</v>
      </c>
      <c r="AP976" t="str">
        <f t="shared" si="204"/>
        <v>Valid</v>
      </c>
      <c r="AQ976" t="str">
        <f>IF(Audit_Data[[#This Row],[Z_CostContact]]=3,"Valid","Invalid")</f>
        <v>Valid</v>
      </c>
      <c r="AR976" t="str">
        <f t="shared" si="205"/>
        <v>Valid</v>
      </c>
      <c r="AS976" t="str">
        <f t="shared" si="206"/>
        <v>Valid</v>
      </c>
    </row>
    <row r="977" spans="1:45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 t="str">
        <f t="shared" si="195"/>
        <v>Ok</v>
      </c>
      <c r="AE977" t="str">
        <f>IF(AND(Audit_Data[[#This Row],[Year_Birth]]&gt;=1900,Audit_Data[[#This Row],[Year_Birth]]&lt;=2010),"OK","Invalid")</f>
        <v>OK</v>
      </c>
      <c r="AF977" t="str">
        <f t="shared" si="196"/>
        <v>Valid</v>
      </c>
      <c r="AG977" t="str">
        <f t="shared" si="197"/>
        <v>Valid</v>
      </c>
      <c r="AH977" t="str">
        <f t="shared" si="198"/>
        <v>Valid</v>
      </c>
      <c r="AI977" t="str">
        <f t="shared" si="199"/>
        <v>Valid</v>
      </c>
      <c r="AJ977" t="str">
        <f t="shared" si="200"/>
        <v>Valid</v>
      </c>
      <c r="AK977" t="str">
        <f t="shared" si="207"/>
        <v xml:space="preserve">Valid </v>
      </c>
      <c r="AL977" t="str">
        <f>IF(AND(Audit_Data[[#This Row],[Recency]]&gt;=0,Audit_Data[[#This Row],[Recency]]&lt;=100),"Valid","Invalid")</f>
        <v>Valid</v>
      </c>
      <c r="AM977" t="str">
        <f t="shared" si="201"/>
        <v>Valid</v>
      </c>
      <c r="AN977" t="str">
        <f t="shared" si="202"/>
        <v>Valid</v>
      </c>
      <c r="AO977" t="str">
        <f t="shared" si="203"/>
        <v>Valid</v>
      </c>
      <c r="AP977" t="str">
        <f t="shared" si="204"/>
        <v>Valid</v>
      </c>
      <c r="AQ977" t="str">
        <f>IF(Audit_Data[[#This Row],[Z_CostContact]]=3,"Valid","Invalid")</f>
        <v>Valid</v>
      </c>
      <c r="AR977" t="str">
        <f t="shared" si="205"/>
        <v>Valid</v>
      </c>
      <c r="AS977" t="str">
        <f t="shared" si="206"/>
        <v>Valid</v>
      </c>
    </row>
    <row r="978" spans="1:45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 t="str">
        <f t="shared" si="195"/>
        <v>Ok</v>
      </c>
      <c r="AE978" t="str">
        <f>IF(AND(Audit_Data[[#This Row],[Year_Birth]]&gt;=1900,Audit_Data[[#This Row],[Year_Birth]]&lt;=2010),"OK","Invalid")</f>
        <v>OK</v>
      </c>
      <c r="AF978" t="str">
        <f t="shared" si="196"/>
        <v>Valid</v>
      </c>
      <c r="AG978" t="str">
        <f t="shared" si="197"/>
        <v>Valid</v>
      </c>
      <c r="AH978" t="str">
        <f t="shared" si="198"/>
        <v>Valid</v>
      </c>
      <c r="AI978" t="str">
        <f t="shared" si="199"/>
        <v>Valid</v>
      </c>
      <c r="AJ978" t="str">
        <f t="shared" si="200"/>
        <v>Valid</v>
      </c>
      <c r="AK978" t="str">
        <f t="shared" si="207"/>
        <v xml:space="preserve">Valid </v>
      </c>
      <c r="AL978" t="str">
        <f>IF(AND(Audit_Data[[#This Row],[Recency]]&gt;=0,Audit_Data[[#This Row],[Recency]]&lt;=100),"Valid","Invalid")</f>
        <v>Valid</v>
      </c>
      <c r="AM978" t="str">
        <f t="shared" si="201"/>
        <v>Valid</v>
      </c>
      <c r="AN978" t="str">
        <f t="shared" si="202"/>
        <v>Valid</v>
      </c>
      <c r="AO978" t="str">
        <f t="shared" si="203"/>
        <v>Valid</v>
      </c>
      <c r="AP978" t="str">
        <f t="shared" si="204"/>
        <v>Valid</v>
      </c>
      <c r="AQ978" t="str">
        <f>IF(Audit_Data[[#This Row],[Z_CostContact]]=3,"Valid","Invalid")</f>
        <v>Valid</v>
      </c>
      <c r="AR978" t="str">
        <f t="shared" si="205"/>
        <v>Valid</v>
      </c>
      <c r="AS978" t="str">
        <f t="shared" si="206"/>
        <v>Valid</v>
      </c>
    </row>
    <row r="979" spans="1:45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 t="str">
        <f t="shared" si="195"/>
        <v>Ok</v>
      </c>
      <c r="AE979" t="str">
        <f>IF(AND(Audit_Data[[#This Row],[Year_Birth]]&gt;=1900,Audit_Data[[#This Row],[Year_Birth]]&lt;=2010),"OK","Invalid")</f>
        <v>OK</v>
      </c>
      <c r="AF979" t="str">
        <f t="shared" si="196"/>
        <v>Valid</v>
      </c>
      <c r="AG979" t="str">
        <f t="shared" si="197"/>
        <v>Valid</v>
      </c>
      <c r="AH979" t="str">
        <f t="shared" si="198"/>
        <v>Valid</v>
      </c>
      <c r="AI979" t="str">
        <f t="shared" si="199"/>
        <v>Valid</v>
      </c>
      <c r="AJ979" t="str">
        <f t="shared" si="200"/>
        <v>Valid</v>
      </c>
      <c r="AK979" t="str">
        <f t="shared" si="207"/>
        <v xml:space="preserve">Valid </v>
      </c>
      <c r="AL979" t="str">
        <f>IF(AND(Audit_Data[[#This Row],[Recency]]&gt;=0,Audit_Data[[#This Row],[Recency]]&lt;=100),"Valid","Invalid")</f>
        <v>Valid</v>
      </c>
      <c r="AM979" t="str">
        <f t="shared" si="201"/>
        <v>Valid</v>
      </c>
      <c r="AN979" t="str">
        <f t="shared" si="202"/>
        <v>Valid</v>
      </c>
      <c r="AO979" t="str">
        <f t="shared" si="203"/>
        <v>Valid</v>
      </c>
      <c r="AP979" t="str">
        <f t="shared" si="204"/>
        <v>Valid</v>
      </c>
      <c r="AQ979" t="str">
        <f>IF(Audit_Data[[#This Row],[Z_CostContact]]=3,"Valid","Invalid")</f>
        <v>Valid</v>
      </c>
      <c r="AR979" t="str">
        <f t="shared" si="205"/>
        <v>Valid</v>
      </c>
      <c r="AS979" t="str">
        <f t="shared" si="206"/>
        <v>Valid</v>
      </c>
    </row>
    <row r="980" spans="1:45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 t="str">
        <f t="shared" si="195"/>
        <v>Ok</v>
      </c>
      <c r="AE980" t="str">
        <f>IF(AND(Audit_Data[[#This Row],[Year_Birth]]&gt;=1900,Audit_Data[[#This Row],[Year_Birth]]&lt;=2010),"OK","Invalid")</f>
        <v>OK</v>
      </c>
      <c r="AF980" t="str">
        <f t="shared" si="196"/>
        <v>Valid</v>
      </c>
      <c r="AG980" t="str">
        <f t="shared" si="197"/>
        <v>Valid</v>
      </c>
      <c r="AH980" t="str">
        <f t="shared" si="198"/>
        <v>Valid</v>
      </c>
      <c r="AI980" t="str">
        <f t="shared" si="199"/>
        <v>Valid</v>
      </c>
      <c r="AJ980" t="str">
        <f t="shared" si="200"/>
        <v>Valid</v>
      </c>
      <c r="AK980" t="str">
        <f t="shared" si="207"/>
        <v xml:space="preserve">Valid </v>
      </c>
      <c r="AL980" t="str">
        <f>IF(AND(Audit_Data[[#This Row],[Recency]]&gt;=0,Audit_Data[[#This Row],[Recency]]&lt;=100),"Valid","Invalid")</f>
        <v>Valid</v>
      </c>
      <c r="AM980" t="str">
        <f t="shared" si="201"/>
        <v>Valid</v>
      </c>
      <c r="AN980" t="str">
        <f t="shared" si="202"/>
        <v>Valid</v>
      </c>
      <c r="AO980" t="str">
        <f t="shared" si="203"/>
        <v>Valid</v>
      </c>
      <c r="AP980" t="str">
        <f t="shared" si="204"/>
        <v>Valid</v>
      </c>
      <c r="AQ980" t="str">
        <f>IF(Audit_Data[[#This Row],[Z_CostContact]]=3,"Valid","Invalid")</f>
        <v>Valid</v>
      </c>
      <c r="AR980" t="str">
        <f t="shared" si="205"/>
        <v>Valid</v>
      </c>
      <c r="AS980" t="str">
        <f t="shared" si="206"/>
        <v>Valid</v>
      </c>
    </row>
    <row r="981" spans="1:45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 t="str">
        <f t="shared" si="195"/>
        <v>Ok</v>
      </c>
      <c r="AE981" t="str">
        <f>IF(AND(Audit_Data[[#This Row],[Year_Birth]]&gt;=1900,Audit_Data[[#This Row],[Year_Birth]]&lt;=2010),"OK","Invalid")</f>
        <v>OK</v>
      </c>
      <c r="AF981" t="str">
        <f t="shared" si="196"/>
        <v>Valid</v>
      </c>
      <c r="AG981" t="str">
        <f t="shared" si="197"/>
        <v>Valid</v>
      </c>
      <c r="AH981" t="str">
        <f t="shared" si="198"/>
        <v>Valid</v>
      </c>
      <c r="AI981" t="str">
        <f t="shared" si="199"/>
        <v>Valid</v>
      </c>
      <c r="AJ981" t="str">
        <f t="shared" si="200"/>
        <v>Valid</v>
      </c>
      <c r="AK981" t="str">
        <f t="shared" si="207"/>
        <v xml:space="preserve">Valid </v>
      </c>
      <c r="AL981" t="str">
        <f>IF(AND(Audit_Data[[#This Row],[Recency]]&gt;=0,Audit_Data[[#This Row],[Recency]]&lt;=100),"Valid","Invalid")</f>
        <v>Valid</v>
      </c>
      <c r="AM981" t="str">
        <f t="shared" si="201"/>
        <v>Valid</v>
      </c>
      <c r="AN981" t="str">
        <f t="shared" si="202"/>
        <v>Valid</v>
      </c>
      <c r="AO981" t="str">
        <f t="shared" si="203"/>
        <v>Valid</v>
      </c>
      <c r="AP981" t="str">
        <f t="shared" si="204"/>
        <v>Valid</v>
      </c>
      <c r="AQ981" t="str">
        <f>IF(Audit_Data[[#This Row],[Z_CostContact]]=3,"Valid","Invalid")</f>
        <v>Valid</v>
      </c>
      <c r="AR981" t="str">
        <f t="shared" si="205"/>
        <v>Valid</v>
      </c>
      <c r="AS981" t="str">
        <f t="shared" si="206"/>
        <v>Valid</v>
      </c>
    </row>
    <row r="982" spans="1:45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 t="str">
        <f t="shared" si="195"/>
        <v>Ok</v>
      </c>
      <c r="AE982" t="str">
        <f>IF(AND(Audit_Data[[#This Row],[Year_Birth]]&gt;=1900,Audit_Data[[#This Row],[Year_Birth]]&lt;=2010),"OK","Invalid")</f>
        <v>OK</v>
      </c>
      <c r="AF982" t="str">
        <f t="shared" si="196"/>
        <v>Valid</v>
      </c>
      <c r="AG982" t="str">
        <f t="shared" si="197"/>
        <v>Valid</v>
      </c>
      <c r="AH982" t="str">
        <f t="shared" si="198"/>
        <v>Valid</v>
      </c>
      <c r="AI982" t="str">
        <f t="shared" si="199"/>
        <v>Valid</v>
      </c>
      <c r="AJ982" t="str">
        <f t="shared" si="200"/>
        <v>Valid</v>
      </c>
      <c r="AK982" t="str">
        <f t="shared" si="207"/>
        <v xml:space="preserve">Valid </v>
      </c>
      <c r="AL982" t="str">
        <f>IF(AND(Audit_Data[[#This Row],[Recency]]&gt;=0,Audit_Data[[#This Row],[Recency]]&lt;=100),"Valid","Invalid")</f>
        <v>Valid</v>
      </c>
      <c r="AM982" t="str">
        <f t="shared" si="201"/>
        <v>Valid</v>
      </c>
      <c r="AN982" t="str">
        <f t="shared" si="202"/>
        <v>Valid</v>
      </c>
      <c r="AO982" t="str">
        <f t="shared" si="203"/>
        <v>Valid</v>
      </c>
      <c r="AP982" t="str">
        <f t="shared" si="204"/>
        <v>Valid</v>
      </c>
      <c r="AQ982" t="str">
        <f>IF(Audit_Data[[#This Row],[Z_CostContact]]=3,"Valid","Invalid")</f>
        <v>Valid</v>
      </c>
      <c r="AR982" t="str">
        <f t="shared" si="205"/>
        <v>Valid</v>
      </c>
      <c r="AS982" t="str">
        <f t="shared" si="206"/>
        <v>Valid</v>
      </c>
    </row>
    <row r="983" spans="1:45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 t="str">
        <f t="shared" si="195"/>
        <v>Ok</v>
      </c>
      <c r="AE983" t="str">
        <f>IF(AND(Audit_Data[[#This Row],[Year_Birth]]&gt;=1900,Audit_Data[[#This Row],[Year_Birth]]&lt;=2010),"OK","Invalid")</f>
        <v>OK</v>
      </c>
      <c r="AF983" t="str">
        <f t="shared" si="196"/>
        <v>Valid</v>
      </c>
      <c r="AG983" t="str">
        <f t="shared" si="197"/>
        <v>Valid</v>
      </c>
      <c r="AH983" t="str">
        <f t="shared" si="198"/>
        <v>Valid</v>
      </c>
      <c r="AI983" t="str">
        <f t="shared" si="199"/>
        <v>Valid</v>
      </c>
      <c r="AJ983" t="str">
        <f t="shared" si="200"/>
        <v>Valid</v>
      </c>
      <c r="AK983" t="str">
        <f t="shared" si="207"/>
        <v xml:space="preserve">Valid </v>
      </c>
      <c r="AL983" t="str">
        <f>IF(AND(Audit_Data[[#This Row],[Recency]]&gt;=0,Audit_Data[[#This Row],[Recency]]&lt;=100),"Valid","Invalid")</f>
        <v>Valid</v>
      </c>
      <c r="AM983" t="str">
        <f t="shared" si="201"/>
        <v>Valid</v>
      </c>
      <c r="AN983" t="str">
        <f t="shared" si="202"/>
        <v>Valid</v>
      </c>
      <c r="AO983" t="str">
        <f t="shared" si="203"/>
        <v>Valid</v>
      </c>
      <c r="AP983" t="str">
        <f t="shared" si="204"/>
        <v>Valid</v>
      </c>
      <c r="AQ983" t="str">
        <f>IF(Audit_Data[[#This Row],[Z_CostContact]]=3,"Valid","Invalid")</f>
        <v>Valid</v>
      </c>
      <c r="AR983" t="str">
        <f t="shared" si="205"/>
        <v>Valid</v>
      </c>
      <c r="AS983" t="str">
        <f t="shared" si="206"/>
        <v>Valid</v>
      </c>
    </row>
    <row r="984" spans="1:45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 t="str">
        <f t="shared" si="195"/>
        <v>Ok</v>
      </c>
      <c r="AE984" t="str">
        <f>IF(AND(Audit_Data[[#This Row],[Year_Birth]]&gt;=1900,Audit_Data[[#This Row],[Year_Birth]]&lt;=2010),"OK","Invalid")</f>
        <v>OK</v>
      </c>
      <c r="AF984" t="str">
        <f t="shared" si="196"/>
        <v>Valid</v>
      </c>
      <c r="AG984" t="str">
        <f t="shared" si="197"/>
        <v>Valid</v>
      </c>
      <c r="AH984" t="str">
        <f t="shared" si="198"/>
        <v>Valid</v>
      </c>
      <c r="AI984" t="str">
        <f t="shared" si="199"/>
        <v>Valid</v>
      </c>
      <c r="AJ984" t="str">
        <f t="shared" si="200"/>
        <v>Valid</v>
      </c>
      <c r="AK984" t="str">
        <f t="shared" si="207"/>
        <v xml:space="preserve">Valid </v>
      </c>
      <c r="AL984" t="str">
        <f>IF(AND(Audit_Data[[#This Row],[Recency]]&gt;=0,Audit_Data[[#This Row],[Recency]]&lt;=100),"Valid","Invalid")</f>
        <v>Valid</v>
      </c>
      <c r="AM984" t="str">
        <f t="shared" si="201"/>
        <v>Valid</v>
      </c>
      <c r="AN984" t="str">
        <f t="shared" si="202"/>
        <v>Valid</v>
      </c>
      <c r="AO984" t="str">
        <f t="shared" si="203"/>
        <v>Valid</v>
      </c>
      <c r="AP984" t="str">
        <f t="shared" si="204"/>
        <v>Valid</v>
      </c>
      <c r="AQ984" t="str">
        <f>IF(Audit_Data[[#This Row],[Z_CostContact]]=3,"Valid","Invalid")</f>
        <v>Valid</v>
      </c>
      <c r="AR984" t="str">
        <f t="shared" si="205"/>
        <v>Valid</v>
      </c>
      <c r="AS984" t="str">
        <f t="shared" si="206"/>
        <v>Valid</v>
      </c>
    </row>
    <row r="985" spans="1:45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 t="str">
        <f t="shared" si="195"/>
        <v>Ok</v>
      </c>
      <c r="AE985" t="str">
        <f>IF(AND(Audit_Data[[#This Row],[Year_Birth]]&gt;=1900,Audit_Data[[#This Row],[Year_Birth]]&lt;=2010),"OK","Invalid")</f>
        <v>OK</v>
      </c>
      <c r="AF985" t="str">
        <f t="shared" si="196"/>
        <v>Valid</v>
      </c>
      <c r="AG985" t="str">
        <f t="shared" si="197"/>
        <v>Valid</v>
      </c>
      <c r="AH985" t="str">
        <f t="shared" si="198"/>
        <v>Valid</v>
      </c>
      <c r="AI985" t="str">
        <f t="shared" si="199"/>
        <v>Valid</v>
      </c>
      <c r="AJ985" t="str">
        <f t="shared" si="200"/>
        <v>Valid</v>
      </c>
      <c r="AK985" t="str">
        <f t="shared" si="207"/>
        <v xml:space="preserve">Valid </v>
      </c>
      <c r="AL985" t="str">
        <f>IF(AND(Audit_Data[[#This Row],[Recency]]&gt;=0,Audit_Data[[#This Row],[Recency]]&lt;=100),"Valid","Invalid")</f>
        <v>Valid</v>
      </c>
      <c r="AM985" t="str">
        <f t="shared" si="201"/>
        <v>Valid</v>
      </c>
      <c r="AN985" t="str">
        <f t="shared" si="202"/>
        <v>Valid</v>
      </c>
      <c r="AO985" t="str">
        <f t="shared" si="203"/>
        <v>Valid</v>
      </c>
      <c r="AP985" t="str">
        <f t="shared" si="204"/>
        <v>Valid</v>
      </c>
      <c r="AQ985" t="str">
        <f>IF(Audit_Data[[#This Row],[Z_CostContact]]=3,"Valid","Invalid")</f>
        <v>Valid</v>
      </c>
      <c r="AR985" t="str">
        <f t="shared" si="205"/>
        <v>Valid</v>
      </c>
      <c r="AS985" t="str">
        <f t="shared" si="206"/>
        <v>Valid</v>
      </c>
    </row>
    <row r="986" spans="1:45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 t="str">
        <f t="shared" si="195"/>
        <v>Ok</v>
      </c>
      <c r="AE986" t="str">
        <f>IF(AND(Audit_Data[[#This Row],[Year_Birth]]&gt;=1900,Audit_Data[[#This Row],[Year_Birth]]&lt;=2010),"OK","Invalid")</f>
        <v>OK</v>
      </c>
      <c r="AF986" t="str">
        <f t="shared" si="196"/>
        <v>Valid</v>
      </c>
      <c r="AG986" t="str">
        <f t="shared" si="197"/>
        <v>Valid</v>
      </c>
      <c r="AH986" t="str">
        <f t="shared" si="198"/>
        <v>Valid</v>
      </c>
      <c r="AI986" t="str">
        <f t="shared" si="199"/>
        <v>Valid</v>
      </c>
      <c r="AJ986" t="str">
        <f t="shared" si="200"/>
        <v>Valid</v>
      </c>
      <c r="AK986" t="str">
        <f t="shared" si="207"/>
        <v xml:space="preserve">Valid </v>
      </c>
      <c r="AL986" t="str">
        <f>IF(AND(Audit_Data[[#This Row],[Recency]]&gt;=0,Audit_Data[[#This Row],[Recency]]&lt;=100),"Valid","Invalid")</f>
        <v>Valid</v>
      </c>
      <c r="AM986" t="str">
        <f t="shared" si="201"/>
        <v>Valid</v>
      </c>
      <c r="AN986" t="str">
        <f t="shared" si="202"/>
        <v>Valid</v>
      </c>
      <c r="AO986" t="str">
        <f t="shared" si="203"/>
        <v>Valid</v>
      </c>
      <c r="AP986" t="str">
        <f t="shared" si="204"/>
        <v>Valid</v>
      </c>
      <c r="AQ986" t="str">
        <f>IF(Audit_Data[[#This Row],[Z_CostContact]]=3,"Valid","Invalid")</f>
        <v>Valid</v>
      </c>
      <c r="AR986" t="str">
        <f t="shared" si="205"/>
        <v>Valid</v>
      </c>
      <c r="AS986" t="str">
        <f t="shared" si="206"/>
        <v>Valid</v>
      </c>
    </row>
    <row r="987" spans="1:45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 t="str">
        <f t="shared" si="195"/>
        <v>Ok</v>
      </c>
      <c r="AE987" t="str">
        <f>IF(AND(Audit_Data[[#This Row],[Year_Birth]]&gt;=1900,Audit_Data[[#This Row],[Year_Birth]]&lt;=2010),"OK","Invalid")</f>
        <v>OK</v>
      </c>
      <c r="AF987" t="str">
        <f t="shared" si="196"/>
        <v>Valid</v>
      </c>
      <c r="AG987" t="str">
        <f t="shared" si="197"/>
        <v>Valid</v>
      </c>
      <c r="AH987" t="str">
        <f t="shared" si="198"/>
        <v>Valid</v>
      </c>
      <c r="AI987" t="str">
        <f t="shared" si="199"/>
        <v>Valid</v>
      </c>
      <c r="AJ987" t="str">
        <f t="shared" si="200"/>
        <v>Valid</v>
      </c>
      <c r="AK987" t="str">
        <f t="shared" si="207"/>
        <v xml:space="preserve">Valid </v>
      </c>
      <c r="AL987" t="str">
        <f>IF(AND(Audit_Data[[#This Row],[Recency]]&gt;=0,Audit_Data[[#This Row],[Recency]]&lt;=100),"Valid","Invalid")</f>
        <v>Valid</v>
      </c>
      <c r="AM987" t="str">
        <f t="shared" si="201"/>
        <v>Valid</v>
      </c>
      <c r="AN987" t="str">
        <f t="shared" si="202"/>
        <v>Valid</v>
      </c>
      <c r="AO987" t="str">
        <f t="shared" si="203"/>
        <v>Valid</v>
      </c>
      <c r="AP987" t="str">
        <f t="shared" si="204"/>
        <v>Valid</v>
      </c>
      <c r="AQ987" t="str">
        <f>IF(Audit_Data[[#This Row],[Z_CostContact]]=3,"Valid","Invalid")</f>
        <v>Valid</v>
      </c>
      <c r="AR987" t="str">
        <f t="shared" si="205"/>
        <v>Valid</v>
      </c>
      <c r="AS987" t="str">
        <f t="shared" si="206"/>
        <v>Valid</v>
      </c>
    </row>
    <row r="988" spans="1:45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 t="str">
        <f t="shared" si="195"/>
        <v>Ok</v>
      </c>
      <c r="AE988" t="str">
        <f>IF(AND(Audit_Data[[#This Row],[Year_Birth]]&gt;=1900,Audit_Data[[#This Row],[Year_Birth]]&lt;=2010),"OK","Invalid")</f>
        <v>OK</v>
      </c>
      <c r="AF988" t="str">
        <f t="shared" si="196"/>
        <v>Valid</v>
      </c>
      <c r="AG988" t="str">
        <f t="shared" si="197"/>
        <v>Valid</v>
      </c>
      <c r="AH988" t="str">
        <f t="shared" si="198"/>
        <v>Valid</v>
      </c>
      <c r="AI988" t="str">
        <f t="shared" si="199"/>
        <v>Valid</v>
      </c>
      <c r="AJ988" t="str">
        <f t="shared" si="200"/>
        <v>Valid</v>
      </c>
      <c r="AK988" t="str">
        <f t="shared" si="207"/>
        <v xml:space="preserve">Valid </v>
      </c>
      <c r="AL988" t="str">
        <f>IF(AND(Audit_Data[[#This Row],[Recency]]&gt;=0,Audit_Data[[#This Row],[Recency]]&lt;=100),"Valid","Invalid")</f>
        <v>Valid</v>
      </c>
      <c r="AM988" t="str">
        <f t="shared" si="201"/>
        <v>Valid</v>
      </c>
      <c r="AN988" t="str">
        <f t="shared" si="202"/>
        <v>Valid</v>
      </c>
      <c r="AO988" t="str">
        <f t="shared" si="203"/>
        <v>Valid</v>
      </c>
      <c r="AP988" t="str">
        <f t="shared" si="204"/>
        <v>Valid</v>
      </c>
      <c r="AQ988" t="str">
        <f>IF(Audit_Data[[#This Row],[Z_CostContact]]=3,"Valid","Invalid")</f>
        <v>Valid</v>
      </c>
      <c r="AR988" t="str">
        <f t="shared" si="205"/>
        <v>Valid</v>
      </c>
      <c r="AS988" t="str">
        <f t="shared" si="206"/>
        <v>Valid</v>
      </c>
    </row>
    <row r="989" spans="1:45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 t="str">
        <f t="shared" si="195"/>
        <v>Ok</v>
      </c>
      <c r="AE989" t="str">
        <f>IF(AND(Audit_Data[[#This Row],[Year_Birth]]&gt;=1900,Audit_Data[[#This Row],[Year_Birth]]&lt;=2010),"OK","Invalid")</f>
        <v>OK</v>
      </c>
      <c r="AF989" t="str">
        <f t="shared" si="196"/>
        <v>Valid</v>
      </c>
      <c r="AG989" t="str">
        <f t="shared" si="197"/>
        <v>Valid</v>
      </c>
      <c r="AH989" t="str">
        <f t="shared" si="198"/>
        <v>Valid</v>
      </c>
      <c r="AI989" t="str">
        <f t="shared" si="199"/>
        <v>Valid</v>
      </c>
      <c r="AJ989" t="str">
        <f t="shared" si="200"/>
        <v>Valid</v>
      </c>
      <c r="AK989" t="str">
        <f t="shared" si="207"/>
        <v xml:space="preserve">Valid </v>
      </c>
      <c r="AL989" t="str">
        <f>IF(AND(Audit_Data[[#This Row],[Recency]]&gt;=0,Audit_Data[[#This Row],[Recency]]&lt;=100),"Valid","Invalid")</f>
        <v>Valid</v>
      </c>
      <c r="AM989" t="str">
        <f t="shared" si="201"/>
        <v>Valid</v>
      </c>
      <c r="AN989" t="str">
        <f t="shared" si="202"/>
        <v>Valid</v>
      </c>
      <c r="AO989" t="str">
        <f t="shared" si="203"/>
        <v>Valid</v>
      </c>
      <c r="AP989" t="str">
        <f t="shared" si="204"/>
        <v>Valid</v>
      </c>
      <c r="AQ989" t="str">
        <f>IF(Audit_Data[[#This Row],[Z_CostContact]]=3,"Valid","Invalid")</f>
        <v>Valid</v>
      </c>
      <c r="AR989" t="str">
        <f t="shared" si="205"/>
        <v>Valid</v>
      </c>
      <c r="AS989" t="str">
        <f t="shared" si="206"/>
        <v>Valid</v>
      </c>
    </row>
    <row r="990" spans="1:45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 t="str">
        <f t="shared" si="195"/>
        <v>Ok</v>
      </c>
      <c r="AE990" t="str">
        <f>IF(AND(Audit_Data[[#This Row],[Year_Birth]]&gt;=1900,Audit_Data[[#This Row],[Year_Birth]]&lt;=2010),"OK","Invalid")</f>
        <v>OK</v>
      </c>
      <c r="AF990" t="str">
        <f t="shared" si="196"/>
        <v>Valid</v>
      </c>
      <c r="AG990" t="str">
        <f t="shared" si="197"/>
        <v>Valid</v>
      </c>
      <c r="AH990" t="str">
        <f t="shared" si="198"/>
        <v>Valid</v>
      </c>
      <c r="AI990" t="str">
        <f t="shared" si="199"/>
        <v>Valid</v>
      </c>
      <c r="AJ990" t="str">
        <f t="shared" si="200"/>
        <v>Valid</v>
      </c>
      <c r="AK990" t="str">
        <f t="shared" si="207"/>
        <v xml:space="preserve">Valid </v>
      </c>
      <c r="AL990" t="str">
        <f>IF(AND(Audit_Data[[#This Row],[Recency]]&gt;=0,Audit_Data[[#This Row],[Recency]]&lt;=100),"Valid","Invalid")</f>
        <v>Valid</v>
      </c>
      <c r="AM990" t="str">
        <f t="shared" si="201"/>
        <v>Valid</v>
      </c>
      <c r="AN990" t="str">
        <f t="shared" si="202"/>
        <v>Valid</v>
      </c>
      <c r="AO990" t="str">
        <f t="shared" si="203"/>
        <v>Valid</v>
      </c>
      <c r="AP990" t="str">
        <f t="shared" si="204"/>
        <v>Valid</v>
      </c>
      <c r="AQ990" t="str">
        <f>IF(Audit_Data[[#This Row],[Z_CostContact]]=3,"Valid","Invalid")</f>
        <v>Valid</v>
      </c>
      <c r="AR990" t="str">
        <f t="shared" si="205"/>
        <v>Valid</v>
      </c>
      <c r="AS990" t="str">
        <f t="shared" si="206"/>
        <v>Valid</v>
      </c>
    </row>
    <row r="991" spans="1:45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 t="str">
        <f t="shared" si="195"/>
        <v>Ok</v>
      </c>
      <c r="AE991" t="str">
        <f>IF(AND(Audit_Data[[#This Row],[Year_Birth]]&gt;=1900,Audit_Data[[#This Row],[Year_Birth]]&lt;=2010),"OK","Invalid")</f>
        <v>OK</v>
      </c>
      <c r="AF991" t="str">
        <f t="shared" si="196"/>
        <v>Valid</v>
      </c>
      <c r="AG991" t="str">
        <f t="shared" si="197"/>
        <v>Valid</v>
      </c>
      <c r="AH991" t="str">
        <f t="shared" si="198"/>
        <v>Valid</v>
      </c>
      <c r="AI991" t="str">
        <f t="shared" si="199"/>
        <v>Valid</v>
      </c>
      <c r="AJ991" t="str">
        <f t="shared" si="200"/>
        <v>Valid</v>
      </c>
      <c r="AK991" t="str">
        <f t="shared" si="207"/>
        <v xml:space="preserve">Valid </v>
      </c>
      <c r="AL991" t="str">
        <f>IF(AND(Audit_Data[[#This Row],[Recency]]&gt;=0,Audit_Data[[#This Row],[Recency]]&lt;=100),"Valid","Invalid")</f>
        <v>Valid</v>
      </c>
      <c r="AM991" t="str">
        <f t="shared" si="201"/>
        <v>Valid</v>
      </c>
      <c r="AN991" t="str">
        <f t="shared" si="202"/>
        <v>Valid</v>
      </c>
      <c r="AO991" t="str">
        <f t="shared" si="203"/>
        <v>Valid</v>
      </c>
      <c r="AP991" t="str">
        <f t="shared" si="204"/>
        <v>Valid</v>
      </c>
      <c r="AQ991" t="str">
        <f>IF(Audit_Data[[#This Row],[Z_CostContact]]=3,"Valid","Invalid")</f>
        <v>Valid</v>
      </c>
      <c r="AR991" t="str">
        <f t="shared" si="205"/>
        <v>Valid</v>
      </c>
      <c r="AS991" t="str">
        <f t="shared" si="206"/>
        <v>Valid</v>
      </c>
    </row>
    <row r="992" spans="1:45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 t="str">
        <f t="shared" si="195"/>
        <v>Ok</v>
      </c>
      <c r="AE992" t="str">
        <f>IF(AND(Audit_Data[[#This Row],[Year_Birth]]&gt;=1900,Audit_Data[[#This Row],[Year_Birth]]&lt;=2010),"OK","Invalid")</f>
        <v>OK</v>
      </c>
      <c r="AF992" t="str">
        <f t="shared" si="196"/>
        <v>Valid</v>
      </c>
      <c r="AG992" t="str">
        <f t="shared" si="197"/>
        <v>Valid</v>
      </c>
      <c r="AH992" t="str">
        <f t="shared" si="198"/>
        <v>Valid</v>
      </c>
      <c r="AI992" t="str">
        <f t="shared" si="199"/>
        <v>Valid</v>
      </c>
      <c r="AJ992" t="str">
        <f t="shared" si="200"/>
        <v>Valid</v>
      </c>
      <c r="AK992" t="str">
        <f t="shared" si="207"/>
        <v xml:space="preserve">Valid </v>
      </c>
      <c r="AL992" t="str">
        <f>IF(AND(Audit_Data[[#This Row],[Recency]]&gt;=0,Audit_Data[[#This Row],[Recency]]&lt;=100),"Valid","Invalid")</f>
        <v>Valid</v>
      </c>
      <c r="AM992" t="str">
        <f t="shared" si="201"/>
        <v>Valid</v>
      </c>
      <c r="AN992" t="str">
        <f t="shared" si="202"/>
        <v>Valid</v>
      </c>
      <c r="AO992" t="str">
        <f t="shared" si="203"/>
        <v>Valid</v>
      </c>
      <c r="AP992" t="str">
        <f t="shared" si="204"/>
        <v>Valid</v>
      </c>
      <c r="AQ992" t="str">
        <f>IF(Audit_Data[[#This Row],[Z_CostContact]]=3,"Valid","Invalid")</f>
        <v>Valid</v>
      </c>
      <c r="AR992" t="str">
        <f t="shared" si="205"/>
        <v>Valid</v>
      </c>
      <c r="AS992" t="str">
        <f t="shared" si="206"/>
        <v>Valid</v>
      </c>
    </row>
    <row r="993" spans="1:45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 t="str">
        <f t="shared" si="195"/>
        <v>Ok</v>
      </c>
      <c r="AE993" t="str">
        <f>IF(AND(Audit_Data[[#This Row],[Year_Birth]]&gt;=1900,Audit_Data[[#This Row],[Year_Birth]]&lt;=2010),"OK","Invalid")</f>
        <v>OK</v>
      </c>
      <c r="AF993" t="str">
        <f t="shared" si="196"/>
        <v>Valid</v>
      </c>
      <c r="AG993" t="str">
        <f t="shared" si="197"/>
        <v>Valid</v>
      </c>
      <c r="AH993" t="str">
        <f t="shared" si="198"/>
        <v>Valid</v>
      </c>
      <c r="AI993" t="str">
        <f t="shared" si="199"/>
        <v>Valid</v>
      </c>
      <c r="AJ993" t="str">
        <f t="shared" si="200"/>
        <v>Valid</v>
      </c>
      <c r="AK993" t="str">
        <f t="shared" si="207"/>
        <v xml:space="preserve">Valid </v>
      </c>
      <c r="AL993" t="str">
        <f>IF(AND(Audit_Data[[#This Row],[Recency]]&gt;=0,Audit_Data[[#This Row],[Recency]]&lt;=100),"Valid","Invalid")</f>
        <v>Valid</v>
      </c>
      <c r="AM993" t="str">
        <f t="shared" si="201"/>
        <v>Valid</v>
      </c>
      <c r="AN993" t="str">
        <f t="shared" si="202"/>
        <v>Valid</v>
      </c>
      <c r="AO993" t="str">
        <f t="shared" si="203"/>
        <v>Valid</v>
      </c>
      <c r="AP993" t="str">
        <f t="shared" si="204"/>
        <v>Valid</v>
      </c>
      <c r="AQ993" t="str">
        <f>IF(Audit_Data[[#This Row],[Z_CostContact]]=3,"Valid","Invalid")</f>
        <v>Valid</v>
      </c>
      <c r="AR993" t="str">
        <f t="shared" si="205"/>
        <v>Valid</v>
      </c>
      <c r="AS993" t="str">
        <f t="shared" si="206"/>
        <v>Valid</v>
      </c>
    </row>
    <row r="994" spans="1:45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 t="str">
        <f t="shared" si="195"/>
        <v>Ok</v>
      </c>
      <c r="AE994" t="str">
        <f>IF(AND(Audit_Data[[#This Row],[Year_Birth]]&gt;=1900,Audit_Data[[#This Row],[Year_Birth]]&lt;=2010),"OK","Invalid")</f>
        <v>OK</v>
      </c>
      <c r="AF994" t="str">
        <f t="shared" si="196"/>
        <v>Valid</v>
      </c>
      <c r="AG994" t="str">
        <f t="shared" si="197"/>
        <v>Valid</v>
      </c>
      <c r="AH994" t="str">
        <f t="shared" si="198"/>
        <v>Valid</v>
      </c>
      <c r="AI994" t="str">
        <f t="shared" si="199"/>
        <v>Valid</v>
      </c>
      <c r="AJ994" t="str">
        <f t="shared" si="200"/>
        <v>Valid</v>
      </c>
      <c r="AK994" t="str">
        <f t="shared" si="207"/>
        <v xml:space="preserve">Valid </v>
      </c>
      <c r="AL994" t="str">
        <f>IF(AND(Audit_Data[[#This Row],[Recency]]&gt;=0,Audit_Data[[#This Row],[Recency]]&lt;=100),"Valid","Invalid")</f>
        <v>Valid</v>
      </c>
      <c r="AM994" t="str">
        <f t="shared" si="201"/>
        <v>Valid</v>
      </c>
      <c r="AN994" t="str">
        <f t="shared" si="202"/>
        <v>Valid</v>
      </c>
      <c r="AO994" t="str">
        <f t="shared" si="203"/>
        <v>Valid</v>
      </c>
      <c r="AP994" t="str">
        <f t="shared" si="204"/>
        <v>Valid</v>
      </c>
      <c r="AQ994" t="str">
        <f>IF(Audit_Data[[#This Row],[Z_CostContact]]=3,"Valid","Invalid")</f>
        <v>Valid</v>
      </c>
      <c r="AR994" t="str">
        <f t="shared" si="205"/>
        <v>Valid</v>
      </c>
      <c r="AS994" t="str">
        <f t="shared" si="206"/>
        <v>Valid</v>
      </c>
    </row>
    <row r="995" spans="1:45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 t="str">
        <f t="shared" si="195"/>
        <v>Ok</v>
      </c>
      <c r="AE995" t="str">
        <f>IF(AND(Audit_Data[[#This Row],[Year_Birth]]&gt;=1900,Audit_Data[[#This Row],[Year_Birth]]&lt;=2010),"OK","Invalid")</f>
        <v>OK</v>
      </c>
      <c r="AF995" t="str">
        <f t="shared" si="196"/>
        <v>Valid</v>
      </c>
      <c r="AG995" t="str">
        <f t="shared" si="197"/>
        <v>Valid</v>
      </c>
      <c r="AH995" t="str">
        <f t="shared" si="198"/>
        <v>Valid</v>
      </c>
      <c r="AI995" t="str">
        <f t="shared" si="199"/>
        <v>Valid</v>
      </c>
      <c r="AJ995" t="str">
        <f t="shared" si="200"/>
        <v>Valid</v>
      </c>
      <c r="AK995" t="str">
        <f t="shared" si="207"/>
        <v xml:space="preserve">Valid </v>
      </c>
      <c r="AL995" t="str">
        <f>IF(AND(Audit_Data[[#This Row],[Recency]]&gt;=0,Audit_Data[[#This Row],[Recency]]&lt;=100),"Valid","Invalid")</f>
        <v>Valid</v>
      </c>
      <c r="AM995" t="str">
        <f t="shared" si="201"/>
        <v>Valid</v>
      </c>
      <c r="AN995" t="str">
        <f t="shared" si="202"/>
        <v>Valid</v>
      </c>
      <c r="AO995" t="str">
        <f t="shared" si="203"/>
        <v>Valid</v>
      </c>
      <c r="AP995" t="str">
        <f t="shared" si="204"/>
        <v>Valid</v>
      </c>
      <c r="AQ995" t="str">
        <f>IF(Audit_Data[[#This Row],[Z_CostContact]]=3,"Valid","Invalid")</f>
        <v>Valid</v>
      </c>
      <c r="AR995" t="str">
        <f t="shared" si="205"/>
        <v>Valid</v>
      </c>
      <c r="AS995" t="str">
        <f t="shared" si="206"/>
        <v>Valid</v>
      </c>
    </row>
    <row r="996" spans="1:45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 t="str">
        <f t="shared" si="195"/>
        <v>Ok</v>
      </c>
      <c r="AE996" t="str">
        <f>IF(AND(Audit_Data[[#This Row],[Year_Birth]]&gt;=1900,Audit_Data[[#This Row],[Year_Birth]]&lt;=2010),"OK","Invalid")</f>
        <v>OK</v>
      </c>
      <c r="AF996" t="str">
        <f t="shared" si="196"/>
        <v>Valid</v>
      </c>
      <c r="AG996" t="str">
        <f t="shared" si="197"/>
        <v>Valid</v>
      </c>
      <c r="AH996" t="str">
        <f t="shared" si="198"/>
        <v>Valid</v>
      </c>
      <c r="AI996" t="str">
        <f t="shared" si="199"/>
        <v>Valid</v>
      </c>
      <c r="AJ996" t="str">
        <f t="shared" si="200"/>
        <v>Valid</v>
      </c>
      <c r="AK996" t="str">
        <f t="shared" si="207"/>
        <v xml:space="preserve">Valid </v>
      </c>
      <c r="AL996" t="str">
        <f>IF(AND(Audit_Data[[#This Row],[Recency]]&gt;=0,Audit_Data[[#This Row],[Recency]]&lt;=100),"Valid","Invalid")</f>
        <v>Valid</v>
      </c>
      <c r="AM996" t="str">
        <f t="shared" si="201"/>
        <v>Valid</v>
      </c>
      <c r="AN996" t="str">
        <f t="shared" si="202"/>
        <v>Valid</v>
      </c>
      <c r="AO996" t="str">
        <f t="shared" si="203"/>
        <v>Valid</v>
      </c>
      <c r="AP996" t="str">
        <f t="shared" si="204"/>
        <v>Valid</v>
      </c>
      <c r="AQ996" t="str">
        <f>IF(Audit_Data[[#This Row],[Z_CostContact]]=3,"Valid","Invalid")</f>
        <v>Valid</v>
      </c>
      <c r="AR996" t="str">
        <f t="shared" si="205"/>
        <v>Valid</v>
      </c>
      <c r="AS996" t="str">
        <f t="shared" si="206"/>
        <v>Valid</v>
      </c>
    </row>
    <row r="997" spans="1:45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 t="str">
        <f t="shared" si="195"/>
        <v>Ok</v>
      </c>
      <c r="AE997" t="str">
        <f>IF(AND(Audit_Data[[#This Row],[Year_Birth]]&gt;=1900,Audit_Data[[#This Row],[Year_Birth]]&lt;=2010),"OK","Invalid")</f>
        <v>OK</v>
      </c>
      <c r="AF997" t="str">
        <f t="shared" si="196"/>
        <v>Valid</v>
      </c>
      <c r="AG997" t="str">
        <f t="shared" si="197"/>
        <v>Valid</v>
      </c>
      <c r="AH997" t="str">
        <f t="shared" si="198"/>
        <v>Valid</v>
      </c>
      <c r="AI997" t="str">
        <f t="shared" si="199"/>
        <v>Valid</v>
      </c>
      <c r="AJ997" t="str">
        <f t="shared" si="200"/>
        <v>Valid</v>
      </c>
      <c r="AK997" t="str">
        <f t="shared" si="207"/>
        <v xml:space="preserve">Valid </v>
      </c>
      <c r="AL997" t="str">
        <f>IF(AND(Audit_Data[[#This Row],[Recency]]&gt;=0,Audit_Data[[#This Row],[Recency]]&lt;=100),"Valid","Invalid")</f>
        <v>Valid</v>
      </c>
      <c r="AM997" t="str">
        <f t="shared" si="201"/>
        <v>Valid</v>
      </c>
      <c r="AN997" t="str">
        <f t="shared" si="202"/>
        <v>Valid</v>
      </c>
      <c r="AO997" t="str">
        <f t="shared" si="203"/>
        <v>Valid</v>
      </c>
      <c r="AP997" t="str">
        <f t="shared" si="204"/>
        <v>Valid</v>
      </c>
      <c r="AQ997" t="str">
        <f>IF(Audit_Data[[#This Row],[Z_CostContact]]=3,"Valid","Invalid")</f>
        <v>Valid</v>
      </c>
      <c r="AR997" t="str">
        <f t="shared" si="205"/>
        <v>Valid</v>
      </c>
      <c r="AS997" t="str">
        <f t="shared" si="206"/>
        <v>Valid</v>
      </c>
    </row>
    <row r="998" spans="1:45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 t="str">
        <f t="shared" si="195"/>
        <v>Ok</v>
      </c>
      <c r="AE998" t="str">
        <f>IF(AND(Audit_Data[[#This Row],[Year_Birth]]&gt;=1900,Audit_Data[[#This Row],[Year_Birth]]&lt;=2010),"OK","Invalid")</f>
        <v>OK</v>
      </c>
      <c r="AF998" t="str">
        <f t="shared" si="196"/>
        <v>Valid</v>
      </c>
      <c r="AG998" t="str">
        <f t="shared" si="197"/>
        <v>Valid</v>
      </c>
      <c r="AH998" t="str">
        <f t="shared" si="198"/>
        <v>Valid</v>
      </c>
      <c r="AI998" t="str">
        <f t="shared" si="199"/>
        <v>Valid</v>
      </c>
      <c r="AJ998" t="str">
        <f t="shared" si="200"/>
        <v>Valid</v>
      </c>
      <c r="AK998" t="str">
        <f t="shared" si="207"/>
        <v xml:space="preserve">Valid </v>
      </c>
      <c r="AL998" t="str">
        <f>IF(AND(Audit_Data[[#This Row],[Recency]]&gt;=0,Audit_Data[[#This Row],[Recency]]&lt;=100),"Valid","Invalid")</f>
        <v>Valid</v>
      </c>
      <c r="AM998" t="str">
        <f t="shared" si="201"/>
        <v>Valid</v>
      </c>
      <c r="AN998" t="str">
        <f t="shared" si="202"/>
        <v>Valid</v>
      </c>
      <c r="AO998" t="str">
        <f t="shared" si="203"/>
        <v>Valid</v>
      </c>
      <c r="AP998" t="str">
        <f t="shared" si="204"/>
        <v>Valid</v>
      </c>
      <c r="AQ998" t="str">
        <f>IF(Audit_Data[[#This Row],[Z_CostContact]]=3,"Valid","Invalid")</f>
        <v>Valid</v>
      </c>
      <c r="AR998" t="str">
        <f t="shared" si="205"/>
        <v>Valid</v>
      </c>
      <c r="AS998" t="str">
        <f t="shared" si="206"/>
        <v>Valid</v>
      </c>
    </row>
    <row r="999" spans="1:45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 t="str">
        <f t="shared" si="195"/>
        <v>Ok</v>
      </c>
      <c r="AE999" t="str">
        <f>IF(AND(Audit_Data[[#This Row],[Year_Birth]]&gt;=1900,Audit_Data[[#This Row],[Year_Birth]]&lt;=2010),"OK","Invalid")</f>
        <v>OK</v>
      </c>
      <c r="AF999" t="str">
        <f t="shared" si="196"/>
        <v>Valid</v>
      </c>
      <c r="AG999" t="str">
        <f t="shared" si="197"/>
        <v>Valid</v>
      </c>
      <c r="AH999" t="str">
        <f t="shared" si="198"/>
        <v>Valid</v>
      </c>
      <c r="AI999" t="str">
        <f t="shared" si="199"/>
        <v>Valid</v>
      </c>
      <c r="AJ999" t="str">
        <f t="shared" si="200"/>
        <v>Valid</v>
      </c>
      <c r="AK999" t="str">
        <f t="shared" si="207"/>
        <v xml:space="preserve">Valid </v>
      </c>
      <c r="AL999" t="str">
        <f>IF(AND(Audit_Data[[#This Row],[Recency]]&gt;=0,Audit_Data[[#This Row],[Recency]]&lt;=100),"Valid","Invalid")</f>
        <v>Valid</v>
      </c>
      <c r="AM999" t="str">
        <f t="shared" si="201"/>
        <v>Valid</v>
      </c>
      <c r="AN999" t="str">
        <f t="shared" si="202"/>
        <v>Valid</v>
      </c>
      <c r="AO999" t="str">
        <f t="shared" si="203"/>
        <v>Valid</v>
      </c>
      <c r="AP999" t="str">
        <f t="shared" si="204"/>
        <v>Valid</v>
      </c>
      <c r="AQ999" t="str">
        <f>IF(Audit_Data[[#This Row],[Z_CostContact]]=3,"Valid","Invalid")</f>
        <v>Valid</v>
      </c>
      <c r="AR999" t="str">
        <f t="shared" si="205"/>
        <v>Valid</v>
      </c>
      <c r="AS999" t="str">
        <f t="shared" si="206"/>
        <v>Valid</v>
      </c>
    </row>
    <row r="1000" spans="1:45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 t="str">
        <f t="shared" si="195"/>
        <v>Ok</v>
      </c>
      <c r="AE1000" t="str">
        <f>IF(AND(Audit_Data[[#This Row],[Year_Birth]]&gt;=1900,Audit_Data[[#This Row],[Year_Birth]]&lt;=2010),"OK","Invalid")</f>
        <v>OK</v>
      </c>
      <c r="AF1000" t="str">
        <f t="shared" si="196"/>
        <v>Valid</v>
      </c>
      <c r="AG1000" t="str">
        <f t="shared" si="197"/>
        <v>Valid</v>
      </c>
      <c r="AH1000" t="str">
        <f t="shared" si="198"/>
        <v>Valid</v>
      </c>
      <c r="AI1000" t="str">
        <f t="shared" si="199"/>
        <v>Valid</v>
      </c>
      <c r="AJ1000" t="str">
        <f t="shared" si="200"/>
        <v>Valid</v>
      </c>
      <c r="AK1000" t="str">
        <f t="shared" si="207"/>
        <v xml:space="preserve">Valid </v>
      </c>
      <c r="AL1000" t="str">
        <f>IF(AND(Audit_Data[[#This Row],[Recency]]&gt;=0,Audit_Data[[#This Row],[Recency]]&lt;=100),"Valid","Invalid")</f>
        <v>Valid</v>
      </c>
      <c r="AM1000" t="str">
        <f t="shared" si="201"/>
        <v>Valid</v>
      </c>
      <c r="AN1000" t="str">
        <f t="shared" si="202"/>
        <v>Valid</v>
      </c>
      <c r="AO1000" t="str">
        <f t="shared" si="203"/>
        <v>Valid</v>
      </c>
      <c r="AP1000" t="str">
        <f t="shared" si="204"/>
        <v>Valid</v>
      </c>
      <c r="AQ1000" t="str">
        <f>IF(Audit_Data[[#This Row],[Z_CostContact]]=3,"Valid","Invalid")</f>
        <v>Valid</v>
      </c>
      <c r="AR1000" t="str">
        <f t="shared" si="205"/>
        <v>Valid</v>
      </c>
      <c r="AS1000" t="str">
        <f t="shared" si="206"/>
        <v>Valid</v>
      </c>
    </row>
    <row r="1001" spans="1:45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 t="str">
        <f t="shared" si="195"/>
        <v>Ok</v>
      </c>
      <c r="AE1001" t="str">
        <f>IF(AND(Audit_Data[[#This Row],[Year_Birth]]&gt;=1900,Audit_Data[[#This Row],[Year_Birth]]&lt;=2010),"OK","Invalid")</f>
        <v>OK</v>
      </c>
      <c r="AF1001" t="str">
        <f t="shared" si="196"/>
        <v>Valid</v>
      </c>
      <c r="AG1001" t="str">
        <f t="shared" si="197"/>
        <v>Valid</v>
      </c>
      <c r="AH1001" t="str">
        <f t="shared" si="198"/>
        <v>Valid</v>
      </c>
      <c r="AI1001" t="str">
        <f t="shared" si="199"/>
        <v>Valid</v>
      </c>
      <c r="AJ1001" t="str">
        <f t="shared" si="200"/>
        <v>Valid</v>
      </c>
      <c r="AK1001" t="str">
        <f t="shared" si="207"/>
        <v xml:space="preserve">Valid </v>
      </c>
      <c r="AL1001" t="str">
        <f>IF(AND(Audit_Data[[#This Row],[Recency]]&gt;=0,Audit_Data[[#This Row],[Recency]]&lt;=100),"Valid","Invalid")</f>
        <v>Valid</v>
      </c>
      <c r="AM1001" t="str">
        <f t="shared" si="201"/>
        <v>Valid</v>
      </c>
      <c r="AN1001" t="str">
        <f t="shared" si="202"/>
        <v>Valid</v>
      </c>
      <c r="AO1001" t="str">
        <f t="shared" si="203"/>
        <v>Valid</v>
      </c>
      <c r="AP1001" t="str">
        <f t="shared" si="204"/>
        <v>Valid</v>
      </c>
      <c r="AQ1001" t="str">
        <f>IF(Audit_Data[[#This Row],[Z_CostContact]]=3,"Valid","Invalid")</f>
        <v>Valid</v>
      </c>
      <c r="AR1001" t="str">
        <f t="shared" si="205"/>
        <v>Valid</v>
      </c>
      <c r="AS1001" t="str">
        <f t="shared" si="206"/>
        <v>Valid</v>
      </c>
    </row>
    <row r="1002" spans="1:45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 t="str">
        <f t="shared" si="195"/>
        <v>Ok</v>
      </c>
      <c r="AE1002" t="str">
        <f>IF(AND(Audit_Data[[#This Row],[Year_Birth]]&gt;=1900,Audit_Data[[#This Row],[Year_Birth]]&lt;=2010),"OK","Invalid")</f>
        <v>OK</v>
      </c>
      <c r="AF1002" t="str">
        <f t="shared" si="196"/>
        <v>Valid</v>
      </c>
      <c r="AG1002" t="str">
        <f t="shared" si="197"/>
        <v>Valid</v>
      </c>
      <c r="AH1002" t="str">
        <f t="shared" si="198"/>
        <v>Valid</v>
      </c>
      <c r="AI1002" t="str">
        <f t="shared" si="199"/>
        <v>Valid</v>
      </c>
      <c r="AJ1002" t="str">
        <f t="shared" si="200"/>
        <v>Valid</v>
      </c>
      <c r="AK1002" t="str">
        <f t="shared" si="207"/>
        <v xml:space="preserve">Valid </v>
      </c>
      <c r="AL1002" t="str">
        <f>IF(AND(Audit_Data[[#This Row],[Recency]]&gt;=0,Audit_Data[[#This Row],[Recency]]&lt;=100),"Valid","Invalid")</f>
        <v>Valid</v>
      </c>
      <c r="AM1002" t="str">
        <f t="shared" si="201"/>
        <v>Valid</v>
      </c>
      <c r="AN1002" t="str">
        <f t="shared" si="202"/>
        <v>Valid</v>
      </c>
      <c r="AO1002" t="str">
        <f t="shared" si="203"/>
        <v>Valid</v>
      </c>
      <c r="AP1002" t="str">
        <f t="shared" si="204"/>
        <v>Valid</v>
      </c>
      <c r="AQ1002" t="str">
        <f>IF(Audit_Data[[#This Row],[Z_CostContact]]=3,"Valid","Invalid")</f>
        <v>Valid</v>
      </c>
      <c r="AR1002" t="str">
        <f t="shared" si="205"/>
        <v>Valid</v>
      </c>
      <c r="AS1002" t="str">
        <f t="shared" si="206"/>
        <v>Valid</v>
      </c>
    </row>
    <row r="1003" spans="1:45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 t="str">
        <f t="shared" si="195"/>
        <v>Ok</v>
      </c>
      <c r="AE1003" t="str">
        <f>IF(AND(Audit_Data[[#This Row],[Year_Birth]]&gt;=1900,Audit_Data[[#This Row],[Year_Birth]]&lt;=2010),"OK","Invalid")</f>
        <v>OK</v>
      </c>
      <c r="AF1003" t="str">
        <f t="shared" si="196"/>
        <v>Valid</v>
      </c>
      <c r="AG1003" t="str">
        <f t="shared" si="197"/>
        <v>Valid</v>
      </c>
      <c r="AH1003" t="str">
        <f t="shared" si="198"/>
        <v>Valid</v>
      </c>
      <c r="AI1003" t="str">
        <f t="shared" si="199"/>
        <v>Valid</v>
      </c>
      <c r="AJ1003" t="str">
        <f t="shared" si="200"/>
        <v>Valid</v>
      </c>
      <c r="AK1003" t="str">
        <f t="shared" si="207"/>
        <v xml:space="preserve">Valid </v>
      </c>
      <c r="AL1003" t="str">
        <f>IF(AND(Audit_Data[[#This Row],[Recency]]&gt;=0,Audit_Data[[#This Row],[Recency]]&lt;=100),"Valid","Invalid")</f>
        <v>Valid</v>
      </c>
      <c r="AM1003" t="str">
        <f t="shared" si="201"/>
        <v>Valid</v>
      </c>
      <c r="AN1003" t="str">
        <f t="shared" si="202"/>
        <v>Valid</v>
      </c>
      <c r="AO1003" t="str">
        <f t="shared" si="203"/>
        <v>Valid</v>
      </c>
      <c r="AP1003" t="str">
        <f t="shared" si="204"/>
        <v>Valid</v>
      </c>
      <c r="AQ1003" t="str">
        <f>IF(Audit_Data[[#This Row],[Z_CostContact]]=3,"Valid","Invalid")</f>
        <v>Valid</v>
      </c>
      <c r="AR1003" t="str">
        <f t="shared" si="205"/>
        <v>Valid</v>
      </c>
      <c r="AS1003" t="str">
        <f t="shared" si="206"/>
        <v>Valid</v>
      </c>
    </row>
    <row r="1004" spans="1:45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 t="str">
        <f t="shared" si="195"/>
        <v>Ok</v>
      </c>
      <c r="AE1004" t="str">
        <f>IF(AND(Audit_Data[[#This Row],[Year_Birth]]&gt;=1900,Audit_Data[[#This Row],[Year_Birth]]&lt;=2010),"OK","Invalid")</f>
        <v>OK</v>
      </c>
      <c r="AF1004" t="str">
        <f t="shared" si="196"/>
        <v>Valid</v>
      </c>
      <c r="AG1004" t="str">
        <f t="shared" si="197"/>
        <v>Valid</v>
      </c>
      <c r="AH1004" t="str">
        <f t="shared" si="198"/>
        <v>Valid</v>
      </c>
      <c r="AI1004" t="str">
        <f t="shared" si="199"/>
        <v>Valid</v>
      </c>
      <c r="AJ1004" t="str">
        <f t="shared" si="200"/>
        <v>Valid</v>
      </c>
      <c r="AK1004" t="str">
        <f t="shared" si="207"/>
        <v xml:space="preserve">Valid </v>
      </c>
      <c r="AL1004" t="str">
        <f>IF(AND(Audit_Data[[#This Row],[Recency]]&gt;=0,Audit_Data[[#This Row],[Recency]]&lt;=100),"Valid","Invalid")</f>
        <v>Valid</v>
      </c>
      <c r="AM1004" t="str">
        <f t="shared" si="201"/>
        <v>Valid</v>
      </c>
      <c r="AN1004" t="str">
        <f t="shared" si="202"/>
        <v>Valid</v>
      </c>
      <c r="AO1004" t="str">
        <f t="shared" si="203"/>
        <v>Valid</v>
      </c>
      <c r="AP1004" t="str">
        <f t="shared" si="204"/>
        <v>Valid</v>
      </c>
      <c r="AQ1004" t="str">
        <f>IF(Audit_Data[[#This Row],[Z_CostContact]]=3,"Valid","Invalid")</f>
        <v>Valid</v>
      </c>
      <c r="AR1004" t="str">
        <f t="shared" si="205"/>
        <v>Valid</v>
      </c>
      <c r="AS1004" t="str">
        <f t="shared" si="206"/>
        <v>Valid</v>
      </c>
    </row>
    <row r="1005" spans="1:45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 t="str">
        <f t="shared" si="195"/>
        <v>Ok</v>
      </c>
      <c r="AE1005" t="str">
        <f>IF(AND(Audit_Data[[#This Row],[Year_Birth]]&gt;=1900,Audit_Data[[#This Row],[Year_Birth]]&lt;=2010),"OK","Invalid")</f>
        <v>OK</v>
      </c>
      <c r="AF1005" t="str">
        <f t="shared" si="196"/>
        <v>Valid</v>
      </c>
      <c r="AG1005" t="str">
        <f t="shared" si="197"/>
        <v>Valid</v>
      </c>
      <c r="AH1005" t="str">
        <f t="shared" si="198"/>
        <v>Valid</v>
      </c>
      <c r="AI1005" t="str">
        <f t="shared" si="199"/>
        <v>Valid</v>
      </c>
      <c r="AJ1005" t="str">
        <f t="shared" si="200"/>
        <v>Valid</v>
      </c>
      <c r="AK1005" t="str">
        <f t="shared" si="207"/>
        <v xml:space="preserve">Valid </v>
      </c>
      <c r="AL1005" t="str">
        <f>IF(AND(Audit_Data[[#This Row],[Recency]]&gt;=0,Audit_Data[[#This Row],[Recency]]&lt;=100),"Valid","Invalid")</f>
        <v>Valid</v>
      </c>
      <c r="AM1005" t="str">
        <f t="shared" si="201"/>
        <v>Valid</v>
      </c>
      <c r="AN1005" t="str">
        <f t="shared" si="202"/>
        <v>Valid</v>
      </c>
      <c r="AO1005" t="str">
        <f t="shared" si="203"/>
        <v>Valid</v>
      </c>
      <c r="AP1005" t="str">
        <f t="shared" si="204"/>
        <v>Valid</v>
      </c>
      <c r="AQ1005" t="str">
        <f>IF(Audit_Data[[#This Row],[Z_CostContact]]=3,"Valid","Invalid")</f>
        <v>Valid</v>
      </c>
      <c r="AR1005" t="str">
        <f t="shared" si="205"/>
        <v>Valid</v>
      </c>
      <c r="AS1005" t="str">
        <f t="shared" si="206"/>
        <v>Valid</v>
      </c>
    </row>
    <row r="1006" spans="1:45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 t="str">
        <f t="shared" si="195"/>
        <v>Ok</v>
      </c>
      <c r="AE1006" t="str">
        <f>IF(AND(Audit_Data[[#This Row],[Year_Birth]]&gt;=1900,Audit_Data[[#This Row],[Year_Birth]]&lt;=2010),"OK","Invalid")</f>
        <v>OK</v>
      </c>
      <c r="AF1006" t="str">
        <f t="shared" si="196"/>
        <v>Valid</v>
      </c>
      <c r="AG1006" t="str">
        <f t="shared" si="197"/>
        <v>Valid</v>
      </c>
      <c r="AH1006" t="str">
        <f t="shared" si="198"/>
        <v>Valid</v>
      </c>
      <c r="AI1006" t="str">
        <f t="shared" si="199"/>
        <v>Valid</v>
      </c>
      <c r="AJ1006" t="str">
        <f t="shared" si="200"/>
        <v>Valid</v>
      </c>
      <c r="AK1006" t="str">
        <f t="shared" si="207"/>
        <v xml:space="preserve">Valid </v>
      </c>
      <c r="AL1006" t="str">
        <f>IF(AND(Audit_Data[[#This Row],[Recency]]&gt;=0,Audit_Data[[#This Row],[Recency]]&lt;=100),"Valid","Invalid")</f>
        <v>Valid</v>
      </c>
      <c r="AM1006" t="str">
        <f t="shared" si="201"/>
        <v>Valid</v>
      </c>
      <c r="AN1006" t="str">
        <f t="shared" si="202"/>
        <v>Valid</v>
      </c>
      <c r="AO1006" t="str">
        <f t="shared" si="203"/>
        <v>Valid</v>
      </c>
      <c r="AP1006" t="str">
        <f t="shared" si="204"/>
        <v>Valid</v>
      </c>
      <c r="AQ1006" t="str">
        <f>IF(Audit_Data[[#This Row],[Z_CostContact]]=3,"Valid","Invalid")</f>
        <v>Valid</v>
      </c>
      <c r="AR1006" t="str">
        <f t="shared" si="205"/>
        <v>Valid</v>
      </c>
      <c r="AS1006" t="str">
        <f t="shared" si="206"/>
        <v>Valid</v>
      </c>
    </row>
    <row r="1007" spans="1:45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 t="str">
        <f t="shared" si="195"/>
        <v>Ok</v>
      </c>
      <c r="AE1007" t="str">
        <f>IF(AND(Audit_Data[[#This Row],[Year_Birth]]&gt;=1900,Audit_Data[[#This Row],[Year_Birth]]&lt;=2010),"OK","Invalid")</f>
        <v>OK</v>
      </c>
      <c r="AF1007" t="str">
        <f t="shared" si="196"/>
        <v>Valid</v>
      </c>
      <c r="AG1007" t="str">
        <f t="shared" si="197"/>
        <v>Valid</v>
      </c>
      <c r="AH1007" t="str">
        <f t="shared" si="198"/>
        <v>Valid</v>
      </c>
      <c r="AI1007" t="str">
        <f t="shared" si="199"/>
        <v>Valid</v>
      </c>
      <c r="AJ1007" t="str">
        <f t="shared" si="200"/>
        <v>Valid</v>
      </c>
      <c r="AK1007" t="str">
        <f t="shared" si="207"/>
        <v xml:space="preserve">Valid </v>
      </c>
      <c r="AL1007" t="str">
        <f>IF(AND(Audit_Data[[#This Row],[Recency]]&gt;=0,Audit_Data[[#This Row],[Recency]]&lt;=100),"Valid","Invalid")</f>
        <v>Valid</v>
      </c>
      <c r="AM1007" t="str">
        <f t="shared" si="201"/>
        <v>Valid</v>
      </c>
      <c r="AN1007" t="str">
        <f t="shared" si="202"/>
        <v>Valid</v>
      </c>
      <c r="AO1007" t="str">
        <f t="shared" si="203"/>
        <v>Valid</v>
      </c>
      <c r="AP1007" t="str">
        <f t="shared" si="204"/>
        <v>Valid</v>
      </c>
      <c r="AQ1007" t="str">
        <f>IF(Audit_Data[[#This Row],[Z_CostContact]]=3,"Valid","Invalid")</f>
        <v>Valid</v>
      </c>
      <c r="AR1007" t="str">
        <f t="shared" si="205"/>
        <v>Valid</v>
      </c>
      <c r="AS1007" t="str">
        <f t="shared" si="206"/>
        <v>Valid</v>
      </c>
    </row>
    <row r="1008" spans="1:45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 t="str">
        <f t="shared" si="195"/>
        <v>Ok</v>
      </c>
      <c r="AE1008" t="str">
        <f>IF(AND(Audit_Data[[#This Row],[Year_Birth]]&gt;=1900,Audit_Data[[#This Row],[Year_Birth]]&lt;=2010),"OK","Invalid")</f>
        <v>OK</v>
      </c>
      <c r="AF1008" t="str">
        <f t="shared" si="196"/>
        <v>Valid</v>
      </c>
      <c r="AG1008" t="str">
        <f t="shared" si="197"/>
        <v>Valid</v>
      </c>
      <c r="AH1008" t="str">
        <f t="shared" si="198"/>
        <v>Valid</v>
      </c>
      <c r="AI1008" t="str">
        <f t="shared" si="199"/>
        <v>Valid</v>
      </c>
      <c r="AJ1008" t="str">
        <f t="shared" si="200"/>
        <v>Valid</v>
      </c>
      <c r="AK1008" t="str">
        <f t="shared" si="207"/>
        <v xml:space="preserve">Valid </v>
      </c>
      <c r="AL1008" t="str">
        <f>IF(AND(Audit_Data[[#This Row],[Recency]]&gt;=0,Audit_Data[[#This Row],[Recency]]&lt;=100),"Valid","Invalid")</f>
        <v>Valid</v>
      </c>
      <c r="AM1008" t="str">
        <f t="shared" si="201"/>
        <v>Valid</v>
      </c>
      <c r="AN1008" t="str">
        <f t="shared" si="202"/>
        <v>Valid</v>
      </c>
      <c r="AO1008" t="str">
        <f t="shared" si="203"/>
        <v>Valid</v>
      </c>
      <c r="AP1008" t="str">
        <f t="shared" si="204"/>
        <v>Valid</v>
      </c>
      <c r="AQ1008" t="str">
        <f>IF(Audit_Data[[#This Row],[Z_CostContact]]=3,"Valid","Invalid")</f>
        <v>Valid</v>
      </c>
      <c r="AR1008" t="str">
        <f t="shared" si="205"/>
        <v>Valid</v>
      </c>
      <c r="AS1008" t="str">
        <f t="shared" si="206"/>
        <v>Valid</v>
      </c>
    </row>
    <row r="1009" spans="1:45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 t="str">
        <f t="shared" si="195"/>
        <v>Ok</v>
      </c>
      <c r="AE1009" t="str">
        <f>IF(AND(Audit_Data[[#This Row],[Year_Birth]]&gt;=1900,Audit_Data[[#This Row],[Year_Birth]]&lt;=2010),"OK","Invalid")</f>
        <v>OK</v>
      </c>
      <c r="AF1009" t="str">
        <f t="shared" si="196"/>
        <v>Valid</v>
      </c>
      <c r="AG1009" t="str">
        <f t="shared" si="197"/>
        <v>Valid</v>
      </c>
      <c r="AH1009" t="str">
        <f t="shared" si="198"/>
        <v>Valid</v>
      </c>
      <c r="AI1009" t="str">
        <f t="shared" si="199"/>
        <v>Valid</v>
      </c>
      <c r="AJ1009" t="str">
        <f t="shared" si="200"/>
        <v>Valid</v>
      </c>
      <c r="AK1009" t="str">
        <f t="shared" si="207"/>
        <v xml:space="preserve">Valid </v>
      </c>
      <c r="AL1009" t="str">
        <f>IF(AND(Audit_Data[[#This Row],[Recency]]&gt;=0,Audit_Data[[#This Row],[Recency]]&lt;=100),"Valid","Invalid")</f>
        <v>Valid</v>
      </c>
      <c r="AM1009" t="str">
        <f t="shared" si="201"/>
        <v>Valid</v>
      </c>
      <c r="AN1009" t="str">
        <f t="shared" si="202"/>
        <v>Valid</v>
      </c>
      <c r="AO1009" t="str">
        <f t="shared" si="203"/>
        <v>Valid</v>
      </c>
      <c r="AP1009" t="str">
        <f t="shared" si="204"/>
        <v>Valid</v>
      </c>
      <c r="AQ1009" t="str">
        <f>IF(Audit_Data[[#This Row],[Z_CostContact]]=3,"Valid","Invalid")</f>
        <v>Valid</v>
      </c>
      <c r="AR1009" t="str">
        <f t="shared" si="205"/>
        <v>Valid</v>
      </c>
      <c r="AS1009" t="str">
        <f t="shared" si="206"/>
        <v>Valid</v>
      </c>
    </row>
    <row r="1010" spans="1:45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 t="str">
        <f t="shared" si="195"/>
        <v>Ok</v>
      </c>
      <c r="AE1010" t="str">
        <f>IF(AND(Audit_Data[[#This Row],[Year_Birth]]&gt;=1900,Audit_Data[[#This Row],[Year_Birth]]&lt;=2010),"OK","Invalid")</f>
        <v>OK</v>
      </c>
      <c r="AF1010" t="str">
        <f t="shared" si="196"/>
        <v>Valid</v>
      </c>
      <c r="AG1010" t="str">
        <f t="shared" si="197"/>
        <v>Valid</v>
      </c>
      <c r="AH1010" t="str">
        <f t="shared" si="198"/>
        <v>Valid</v>
      </c>
      <c r="AI1010" t="str">
        <f t="shared" si="199"/>
        <v>Valid</v>
      </c>
      <c r="AJ1010" t="str">
        <f t="shared" si="200"/>
        <v>Valid</v>
      </c>
      <c r="AK1010" t="str">
        <f t="shared" si="207"/>
        <v xml:space="preserve">Valid </v>
      </c>
      <c r="AL1010" t="str">
        <f>IF(AND(Audit_Data[[#This Row],[Recency]]&gt;=0,Audit_Data[[#This Row],[Recency]]&lt;=100),"Valid","Invalid")</f>
        <v>Valid</v>
      </c>
      <c r="AM1010" t="str">
        <f t="shared" si="201"/>
        <v>Valid</v>
      </c>
      <c r="AN1010" t="str">
        <f t="shared" si="202"/>
        <v>Valid</v>
      </c>
      <c r="AO1010" t="str">
        <f t="shared" si="203"/>
        <v>Valid</v>
      </c>
      <c r="AP1010" t="str">
        <f t="shared" si="204"/>
        <v>Valid</v>
      </c>
      <c r="AQ1010" t="str">
        <f>IF(Audit_Data[[#This Row],[Z_CostContact]]=3,"Valid","Invalid")</f>
        <v>Valid</v>
      </c>
      <c r="AR1010" t="str">
        <f t="shared" si="205"/>
        <v>Valid</v>
      </c>
      <c r="AS1010" t="str">
        <f t="shared" si="206"/>
        <v>Valid</v>
      </c>
    </row>
    <row r="1011" spans="1:45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 t="str">
        <f t="shared" si="195"/>
        <v>Ok</v>
      </c>
      <c r="AE1011" t="str">
        <f>IF(AND(Audit_Data[[#This Row],[Year_Birth]]&gt;=1900,Audit_Data[[#This Row],[Year_Birth]]&lt;=2010),"OK","Invalid")</f>
        <v>OK</v>
      </c>
      <c r="AF1011" t="str">
        <f t="shared" si="196"/>
        <v>Valid</v>
      </c>
      <c r="AG1011" t="str">
        <f t="shared" si="197"/>
        <v>Valid</v>
      </c>
      <c r="AH1011" t="str">
        <f t="shared" si="198"/>
        <v>Valid</v>
      </c>
      <c r="AI1011" t="str">
        <f t="shared" si="199"/>
        <v>Valid</v>
      </c>
      <c r="AJ1011" t="str">
        <f t="shared" si="200"/>
        <v>Valid</v>
      </c>
      <c r="AK1011" t="str">
        <f t="shared" si="207"/>
        <v xml:space="preserve">Valid </v>
      </c>
      <c r="AL1011" t="str">
        <f>IF(AND(Audit_Data[[#This Row],[Recency]]&gt;=0,Audit_Data[[#This Row],[Recency]]&lt;=100),"Valid","Invalid")</f>
        <v>Valid</v>
      </c>
      <c r="AM1011" t="str">
        <f t="shared" si="201"/>
        <v>Valid</v>
      </c>
      <c r="AN1011" t="str">
        <f t="shared" si="202"/>
        <v>Valid</v>
      </c>
      <c r="AO1011" t="str">
        <f t="shared" si="203"/>
        <v>Valid</v>
      </c>
      <c r="AP1011" t="str">
        <f t="shared" si="204"/>
        <v>Valid</v>
      </c>
      <c r="AQ1011" t="str">
        <f>IF(Audit_Data[[#This Row],[Z_CostContact]]=3,"Valid","Invalid")</f>
        <v>Valid</v>
      </c>
      <c r="AR1011" t="str">
        <f t="shared" si="205"/>
        <v>Valid</v>
      </c>
      <c r="AS1011" t="str">
        <f t="shared" si="206"/>
        <v>Valid</v>
      </c>
    </row>
    <row r="1012" spans="1:45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 t="str">
        <f t="shared" si="195"/>
        <v>Ok</v>
      </c>
      <c r="AE1012" t="str">
        <f>IF(AND(Audit_Data[[#This Row],[Year_Birth]]&gt;=1900,Audit_Data[[#This Row],[Year_Birth]]&lt;=2010),"OK","Invalid")</f>
        <v>OK</v>
      </c>
      <c r="AF1012" t="str">
        <f t="shared" si="196"/>
        <v>Valid</v>
      </c>
      <c r="AG1012" t="str">
        <f t="shared" si="197"/>
        <v>Valid</v>
      </c>
      <c r="AH1012" t="str">
        <f t="shared" si="198"/>
        <v>Valid</v>
      </c>
      <c r="AI1012" t="str">
        <f t="shared" si="199"/>
        <v>Valid</v>
      </c>
      <c r="AJ1012" t="str">
        <f t="shared" si="200"/>
        <v>Valid</v>
      </c>
      <c r="AK1012" t="str">
        <f t="shared" si="207"/>
        <v xml:space="preserve">Valid </v>
      </c>
      <c r="AL1012" t="str">
        <f>IF(AND(Audit_Data[[#This Row],[Recency]]&gt;=0,Audit_Data[[#This Row],[Recency]]&lt;=100),"Valid","Invalid")</f>
        <v>Valid</v>
      </c>
      <c r="AM1012" t="str">
        <f t="shared" si="201"/>
        <v>Valid</v>
      </c>
      <c r="AN1012" t="str">
        <f t="shared" si="202"/>
        <v>Valid</v>
      </c>
      <c r="AO1012" t="str">
        <f t="shared" si="203"/>
        <v>Valid</v>
      </c>
      <c r="AP1012" t="str">
        <f t="shared" si="204"/>
        <v>Valid</v>
      </c>
      <c r="AQ1012" t="str">
        <f>IF(Audit_Data[[#This Row],[Z_CostContact]]=3,"Valid","Invalid")</f>
        <v>Valid</v>
      </c>
      <c r="AR1012" t="str">
        <f t="shared" si="205"/>
        <v>Valid</v>
      </c>
      <c r="AS1012" t="str">
        <f t="shared" si="206"/>
        <v>Valid</v>
      </c>
    </row>
    <row r="1013" spans="1:45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 t="str">
        <f t="shared" si="195"/>
        <v>Ok</v>
      </c>
      <c r="AE1013" t="str">
        <f>IF(AND(Audit_Data[[#This Row],[Year_Birth]]&gt;=1900,Audit_Data[[#This Row],[Year_Birth]]&lt;=2010),"OK","Invalid")</f>
        <v>OK</v>
      </c>
      <c r="AF1013" t="str">
        <f t="shared" si="196"/>
        <v>Valid</v>
      </c>
      <c r="AG1013" t="str">
        <f t="shared" si="197"/>
        <v>Valid</v>
      </c>
      <c r="AH1013" t="str">
        <f t="shared" si="198"/>
        <v>Valid</v>
      </c>
      <c r="AI1013" t="str">
        <f t="shared" si="199"/>
        <v>Valid</v>
      </c>
      <c r="AJ1013" t="str">
        <f t="shared" si="200"/>
        <v>Valid</v>
      </c>
      <c r="AK1013" t="str">
        <f t="shared" si="207"/>
        <v xml:space="preserve">Valid </v>
      </c>
      <c r="AL1013" t="str">
        <f>IF(AND(Audit_Data[[#This Row],[Recency]]&gt;=0,Audit_Data[[#This Row],[Recency]]&lt;=100),"Valid","Invalid")</f>
        <v>Valid</v>
      </c>
      <c r="AM1013" t="str">
        <f t="shared" si="201"/>
        <v>Valid</v>
      </c>
      <c r="AN1013" t="str">
        <f t="shared" si="202"/>
        <v>Valid</v>
      </c>
      <c r="AO1013" t="str">
        <f t="shared" si="203"/>
        <v>Valid</v>
      </c>
      <c r="AP1013" t="str">
        <f t="shared" si="204"/>
        <v>Valid</v>
      </c>
      <c r="AQ1013" t="str">
        <f>IF(Audit_Data[[#This Row],[Z_CostContact]]=3,"Valid","Invalid")</f>
        <v>Valid</v>
      </c>
      <c r="AR1013" t="str">
        <f t="shared" si="205"/>
        <v>Valid</v>
      </c>
      <c r="AS1013" t="str">
        <f t="shared" si="206"/>
        <v>Valid</v>
      </c>
    </row>
    <row r="1014" spans="1:45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 t="str">
        <f t="shared" si="195"/>
        <v>Ok</v>
      </c>
      <c r="AE1014" t="str">
        <f>IF(AND(Audit_Data[[#This Row],[Year_Birth]]&gt;=1900,Audit_Data[[#This Row],[Year_Birth]]&lt;=2010),"OK","Invalid")</f>
        <v>OK</v>
      </c>
      <c r="AF1014" t="str">
        <f t="shared" si="196"/>
        <v>Valid</v>
      </c>
      <c r="AG1014" t="str">
        <f t="shared" si="197"/>
        <v>Valid</v>
      </c>
      <c r="AH1014" t="str">
        <f t="shared" si="198"/>
        <v>Valid</v>
      </c>
      <c r="AI1014" t="str">
        <f t="shared" si="199"/>
        <v>Valid</v>
      </c>
      <c r="AJ1014" t="str">
        <f t="shared" si="200"/>
        <v>Valid</v>
      </c>
      <c r="AK1014" t="str">
        <f t="shared" si="207"/>
        <v xml:space="preserve">Valid </v>
      </c>
      <c r="AL1014" t="str">
        <f>IF(AND(Audit_Data[[#This Row],[Recency]]&gt;=0,Audit_Data[[#This Row],[Recency]]&lt;=100),"Valid","Invalid")</f>
        <v>Valid</v>
      </c>
      <c r="AM1014" t="str">
        <f t="shared" si="201"/>
        <v>Valid</v>
      </c>
      <c r="AN1014" t="str">
        <f t="shared" si="202"/>
        <v>Valid</v>
      </c>
      <c r="AO1014" t="str">
        <f t="shared" si="203"/>
        <v>Valid</v>
      </c>
      <c r="AP1014" t="str">
        <f t="shared" si="204"/>
        <v>Valid</v>
      </c>
      <c r="AQ1014" t="str">
        <f>IF(Audit_Data[[#This Row],[Z_CostContact]]=3,"Valid","Invalid")</f>
        <v>Valid</v>
      </c>
      <c r="AR1014" t="str">
        <f t="shared" si="205"/>
        <v>Valid</v>
      </c>
      <c r="AS1014" t="str">
        <f t="shared" si="206"/>
        <v>Valid</v>
      </c>
    </row>
    <row r="1015" spans="1:45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 t="str">
        <f t="shared" si="195"/>
        <v>Ok</v>
      </c>
      <c r="AE1015" t="str">
        <f>IF(AND(Audit_Data[[#This Row],[Year_Birth]]&gt;=1900,Audit_Data[[#This Row],[Year_Birth]]&lt;=2010),"OK","Invalid")</f>
        <v>OK</v>
      </c>
      <c r="AF1015" t="str">
        <f t="shared" si="196"/>
        <v>Valid</v>
      </c>
      <c r="AG1015" t="str">
        <f t="shared" si="197"/>
        <v>Valid</v>
      </c>
      <c r="AH1015" t="str">
        <f t="shared" si="198"/>
        <v>Valid</v>
      </c>
      <c r="AI1015" t="str">
        <f t="shared" si="199"/>
        <v>Valid</v>
      </c>
      <c r="AJ1015" t="str">
        <f t="shared" si="200"/>
        <v>Valid</v>
      </c>
      <c r="AK1015" t="str">
        <f t="shared" si="207"/>
        <v xml:space="preserve">Valid </v>
      </c>
      <c r="AL1015" t="str">
        <f>IF(AND(Audit_Data[[#This Row],[Recency]]&gt;=0,Audit_Data[[#This Row],[Recency]]&lt;=100),"Valid","Invalid")</f>
        <v>Valid</v>
      </c>
      <c r="AM1015" t="str">
        <f t="shared" si="201"/>
        <v>Valid</v>
      </c>
      <c r="AN1015" t="str">
        <f t="shared" si="202"/>
        <v>Valid</v>
      </c>
      <c r="AO1015" t="str">
        <f t="shared" si="203"/>
        <v>Valid</v>
      </c>
      <c r="AP1015" t="str">
        <f t="shared" si="204"/>
        <v>Valid</v>
      </c>
      <c r="AQ1015" t="str">
        <f>IF(Audit_Data[[#This Row],[Z_CostContact]]=3,"Valid","Invalid")</f>
        <v>Valid</v>
      </c>
      <c r="AR1015" t="str">
        <f t="shared" si="205"/>
        <v>Valid</v>
      </c>
      <c r="AS1015" t="str">
        <f t="shared" si="206"/>
        <v>Valid</v>
      </c>
    </row>
    <row r="1016" spans="1:45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 t="str">
        <f t="shared" si="195"/>
        <v>Ok</v>
      </c>
      <c r="AE1016" t="str">
        <f>IF(AND(Audit_Data[[#This Row],[Year_Birth]]&gt;=1900,Audit_Data[[#This Row],[Year_Birth]]&lt;=2010),"OK","Invalid")</f>
        <v>OK</v>
      </c>
      <c r="AF1016" t="str">
        <f t="shared" si="196"/>
        <v>Valid</v>
      </c>
      <c r="AG1016" t="str">
        <f t="shared" si="197"/>
        <v>Valid</v>
      </c>
      <c r="AH1016" t="str">
        <f t="shared" si="198"/>
        <v>Valid</v>
      </c>
      <c r="AI1016" t="str">
        <f t="shared" si="199"/>
        <v>Valid</v>
      </c>
      <c r="AJ1016" t="str">
        <f t="shared" si="200"/>
        <v>Valid</v>
      </c>
      <c r="AK1016" t="str">
        <f t="shared" si="207"/>
        <v xml:space="preserve">Valid </v>
      </c>
      <c r="AL1016" t="str">
        <f>IF(AND(Audit_Data[[#This Row],[Recency]]&gt;=0,Audit_Data[[#This Row],[Recency]]&lt;=100),"Valid","Invalid")</f>
        <v>Valid</v>
      </c>
      <c r="AM1016" t="str">
        <f t="shared" si="201"/>
        <v>Valid</v>
      </c>
      <c r="AN1016" t="str">
        <f t="shared" si="202"/>
        <v>Valid</v>
      </c>
      <c r="AO1016" t="str">
        <f t="shared" si="203"/>
        <v>Valid</v>
      </c>
      <c r="AP1016" t="str">
        <f t="shared" si="204"/>
        <v>Valid</v>
      </c>
      <c r="AQ1016" t="str">
        <f>IF(Audit_Data[[#This Row],[Z_CostContact]]=3,"Valid","Invalid")</f>
        <v>Valid</v>
      </c>
      <c r="AR1016" t="str">
        <f t="shared" si="205"/>
        <v>Valid</v>
      </c>
      <c r="AS1016" t="str">
        <f t="shared" si="206"/>
        <v>Valid</v>
      </c>
    </row>
    <row r="1017" spans="1:45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 t="str">
        <f t="shared" si="195"/>
        <v>Ok</v>
      </c>
      <c r="AE1017" t="str">
        <f>IF(AND(Audit_Data[[#This Row],[Year_Birth]]&gt;=1900,Audit_Data[[#This Row],[Year_Birth]]&lt;=2010),"OK","Invalid")</f>
        <v>OK</v>
      </c>
      <c r="AF1017" t="str">
        <f t="shared" si="196"/>
        <v>Valid</v>
      </c>
      <c r="AG1017" t="str">
        <f t="shared" si="197"/>
        <v>Valid</v>
      </c>
      <c r="AH1017" t="str">
        <f t="shared" si="198"/>
        <v>Valid</v>
      </c>
      <c r="AI1017" t="str">
        <f t="shared" si="199"/>
        <v>Valid</v>
      </c>
      <c r="AJ1017" t="str">
        <f t="shared" si="200"/>
        <v>Valid</v>
      </c>
      <c r="AK1017" t="str">
        <f t="shared" si="207"/>
        <v xml:space="preserve">Valid </v>
      </c>
      <c r="AL1017" t="str">
        <f>IF(AND(Audit_Data[[#This Row],[Recency]]&gt;=0,Audit_Data[[#This Row],[Recency]]&lt;=100),"Valid","Invalid")</f>
        <v>Valid</v>
      </c>
      <c r="AM1017" t="str">
        <f t="shared" si="201"/>
        <v>Valid</v>
      </c>
      <c r="AN1017" t="str">
        <f t="shared" si="202"/>
        <v>Valid</v>
      </c>
      <c r="AO1017" t="str">
        <f t="shared" si="203"/>
        <v>Valid</v>
      </c>
      <c r="AP1017" t="str">
        <f t="shared" si="204"/>
        <v>Valid</v>
      </c>
      <c r="AQ1017" t="str">
        <f>IF(Audit_Data[[#This Row],[Z_CostContact]]=3,"Valid","Invalid")</f>
        <v>Valid</v>
      </c>
      <c r="AR1017" t="str">
        <f t="shared" si="205"/>
        <v>Valid</v>
      </c>
      <c r="AS1017" t="str">
        <f t="shared" si="206"/>
        <v>Valid</v>
      </c>
    </row>
    <row r="1018" spans="1:45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 t="str">
        <f t="shared" si="195"/>
        <v>Ok</v>
      </c>
      <c r="AE1018" t="str">
        <f>IF(AND(Audit_Data[[#This Row],[Year_Birth]]&gt;=1900,Audit_Data[[#This Row],[Year_Birth]]&lt;=2010),"OK","Invalid")</f>
        <v>OK</v>
      </c>
      <c r="AF1018" t="str">
        <f t="shared" si="196"/>
        <v>Valid</v>
      </c>
      <c r="AG1018" t="str">
        <f t="shared" si="197"/>
        <v>Valid</v>
      </c>
      <c r="AH1018" t="str">
        <f t="shared" si="198"/>
        <v>Valid</v>
      </c>
      <c r="AI1018" t="str">
        <f t="shared" si="199"/>
        <v>Valid</v>
      </c>
      <c r="AJ1018" t="str">
        <f t="shared" si="200"/>
        <v>Valid</v>
      </c>
      <c r="AK1018" t="str">
        <f t="shared" si="207"/>
        <v xml:space="preserve">Valid </v>
      </c>
      <c r="AL1018" t="str">
        <f>IF(AND(Audit_Data[[#This Row],[Recency]]&gt;=0,Audit_Data[[#This Row],[Recency]]&lt;=100),"Valid","Invalid")</f>
        <v>Valid</v>
      </c>
      <c r="AM1018" t="str">
        <f t="shared" si="201"/>
        <v>Valid</v>
      </c>
      <c r="AN1018" t="str">
        <f t="shared" si="202"/>
        <v>Valid</v>
      </c>
      <c r="AO1018" t="str">
        <f t="shared" si="203"/>
        <v>Valid</v>
      </c>
      <c r="AP1018" t="str">
        <f t="shared" si="204"/>
        <v>Valid</v>
      </c>
      <c r="AQ1018" t="str">
        <f>IF(Audit_Data[[#This Row],[Z_CostContact]]=3,"Valid","Invalid")</f>
        <v>Valid</v>
      </c>
      <c r="AR1018" t="str">
        <f t="shared" si="205"/>
        <v>Valid</v>
      </c>
      <c r="AS1018" t="str">
        <f t="shared" si="206"/>
        <v>Valid</v>
      </c>
    </row>
    <row r="1019" spans="1:45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 t="str">
        <f t="shared" si="195"/>
        <v>Ok</v>
      </c>
      <c r="AE1019" t="str">
        <f>IF(AND(Audit_Data[[#This Row],[Year_Birth]]&gt;=1900,Audit_Data[[#This Row],[Year_Birth]]&lt;=2010),"OK","Invalid")</f>
        <v>OK</v>
      </c>
      <c r="AF1019" t="str">
        <f t="shared" si="196"/>
        <v>Valid</v>
      </c>
      <c r="AG1019" t="str">
        <f t="shared" si="197"/>
        <v>Valid</v>
      </c>
      <c r="AH1019" t="str">
        <f t="shared" si="198"/>
        <v>Valid</v>
      </c>
      <c r="AI1019" t="str">
        <f t="shared" si="199"/>
        <v>Valid</v>
      </c>
      <c r="AJ1019" t="str">
        <f t="shared" si="200"/>
        <v>Valid</v>
      </c>
      <c r="AK1019" t="str">
        <f t="shared" si="207"/>
        <v xml:space="preserve">Valid </v>
      </c>
      <c r="AL1019" t="str">
        <f>IF(AND(Audit_Data[[#This Row],[Recency]]&gt;=0,Audit_Data[[#This Row],[Recency]]&lt;=100),"Valid","Invalid")</f>
        <v>Valid</v>
      </c>
      <c r="AM1019" t="str">
        <f t="shared" si="201"/>
        <v>Valid</v>
      </c>
      <c r="AN1019" t="str">
        <f t="shared" si="202"/>
        <v>Valid</v>
      </c>
      <c r="AO1019" t="str">
        <f t="shared" si="203"/>
        <v>Valid</v>
      </c>
      <c r="AP1019" t="str">
        <f t="shared" si="204"/>
        <v>Valid</v>
      </c>
      <c r="AQ1019" t="str">
        <f>IF(Audit_Data[[#This Row],[Z_CostContact]]=3,"Valid","Invalid")</f>
        <v>Valid</v>
      </c>
      <c r="AR1019" t="str">
        <f t="shared" si="205"/>
        <v>Valid</v>
      </c>
      <c r="AS1019" t="str">
        <f t="shared" si="206"/>
        <v>Valid</v>
      </c>
    </row>
    <row r="1020" spans="1:45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 t="str">
        <f t="shared" si="195"/>
        <v>Ok</v>
      </c>
      <c r="AE1020" t="str">
        <f>IF(AND(Audit_Data[[#This Row],[Year_Birth]]&gt;=1900,Audit_Data[[#This Row],[Year_Birth]]&lt;=2010),"OK","Invalid")</f>
        <v>OK</v>
      </c>
      <c r="AF1020" t="str">
        <f t="shared" si="196"/>
        <v>Valid</v>
      </c>
      <c r="AG1020" t="str">
        <f t="shared" si="197"/>
        <v>Valid</v>
      </c>
      <c r="AH1020" t="str">
        <f t="shared" si="198"/>
        <v>Valid</v>
      </c>
      <c r="AI1020" t="str">
        <f t="shared" si="199"/>
        <v>Valid</v>
      </c>
      <c r="AJ1020" t="str">
        <f t="shared" si="200"/>
        <v>Valid</v>
      </c>
      <c r="AK1020" t="str">
        <f t="shared" si="207"/>
        <v xml:space="preserve">Valid </v>
      </c>
      <c r="AL1020" t="str">
        <f>IF(AND(Audit_Data[[#This Row],[Recency]]&gt;=0,Audit_Data[[#This Row],[Recency]]&lt;=100),"Valid","Invalid")</f>
        <v>Valid</v>
      </c>
      <c r="AM1020" t="str">
        <f t="shared" si="201"/>
        <v>Valid</v>
      </c>
      <c r="AN1020" t="str">
        <f t="shared" si="202"/>
        <v>Valid</v>
      </c>
      <c r="AO1020" t="str">
        <f t="shared" si="203"/>
        <v>Valid</v>
      </c>
      <c r="AP1020" t="str">
        <f t="shared" si="204"/>
        <v>Valid</v>
      </c>
      <c r="AQ1020" t="str">
        <f>IF(Audit_Data[[#This Row],[Z_CostContact]]=3,"Valid","Invalid")</f>
        <v>Valid</v>
      </c>
      <c r="AR1020" t="str">
        <f t="shared" si="205"/>
        <v>Valid</v>
      </c>
      <c r="AS1020" t="str">
        <f t="shared" si="206"/>
        <v>Valid</v>
      </c>
    </row>
    <row r="1021" spans="1:45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 t="str">
        <f t="shared" si="195"/>
        <v>Ok</v>
      </c>
      <c r="AE1021" t="str">
        <f>IF(AND(Audit_Data[[#This Row],[Year_Birth]]&gt;=1900,Audit_Data[[#This Row],[Year_Birth]]&lt;=2010),"OK","Invalid")</f>
        <v>OK</v>
      </c>
      <c r="AF1021" t="str">
        <f t="shared" si="196"/>
        <v>Valid</v>
      </c>
      <c r="AG1021" t="str">
        <f t="shared" si="197"/>
        <v>Valid</v>
      </c>
      <c r="AH1021" t="str">
        <f t="shared" si="198"/>
        <v>Valid</v>
      </c>
      <c r="AI1021" t="str">
        <f t="shared" si="199"/>
        <v>Valid</v>
      </c>
      <c r="AJ1021" t="str">
        <f t="shared" si="200"/>
        <v>Valid</v>
      </c>
      <c r="AK1021" t="str">
        <f t="shared" si="207"/>
        <v xml:space="preserve">Valid </v>
      </c>
      <c r="AL1021" t="str">
        <f>IF(AND(Audit_Data[[#This Row],[Recency]]&gt;=0,Audit_Data[[#This Row],[Recency]]&lt;=100),"Valid","Invalid")</f>
        <v>Valid</v>
      </c>
      <c r="AM1021" t="str">
        <f t="shared" si="201"/>
        <v>Valid</v>
      </c>
      <c r="AN1021" t="str">
        <f t="shared" si="202"/>
        <v>Valid</v>
      </c>
      <c r="AO1021" t="str">
        <f t="shared" si="203"/>
        <v>Valid</v>
      </c>
      <c r="AP1021" t="str">
        <f t="shared" si="204"/>
        <v>Valid</v>
      </c>
      <c r="AQ1021" t="str">
        <f>IF(Audit_Data[[#This Row],[Z_CostContact]]=3,"Valid","Invalid")</f>
        <v>Valid</v>
      </c>
      <c r="AR1021" t="str">
        <f t="shared" si="205"/>
        <v>Valid</v>
      </c>
      <c r="AS1021" t="str">
        <f t="shared" si="206"/>
        <v>Valid</v>
      </c>
    </row>
    <row r="1022" spans="1:45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 t="str">
        <f t="shared" si="195"/>
        <v>Ok</v>
      </c>
      <c r="AE1022" t="str">
        <f>IF(AND(Audit_Data[[#This Row],[Year_Birth]]&gt;=1900,Audit_Data[[#This Row],[Year_Birth]]&lt;=2010),"OK","Invalid")</f>
        <v>OK</v>
      </c>
      <c r="AF1022" t="str">
        <f t="shared" si="196"/>
        <v>Valid</v>
      </c>
      <c r="AG1022" t="str">
        <f t="shared" si="197"/>
        <v>Valid</v>
      </c>
      <c r="AH1022" t="str">
        <f t="shared" si="198"/>
        <v>Valid</v>
      </c>
      <c r="AI1022" t="str">
        <f t="shared" si="199"/>
        <v>Valid</v>
      </c>
      <c r="AJ1022" t="str">
        <f t="shared" si="200"/>
        <v>Valid</v>
      </c>
      <c r="AK1022" t="str">
        <f t="shared" si="207"/>
        <v xml:space="preserve">Valid </v>
      </c>
      <c r="AL1022" t="str">
        <f>IF(AND(Audit_Data[[#This Row],[Recency]]&gt;=0,Audit_Data[[#This Row],[Recency]]&lt;=100),"Valid","Invalid")</f>
        <v>Valid</v>
      </c>
      <c r="AM1022" t="str">
        <f t="shared" si="201"/>
        <v>Valid</v>
      </c>
      <c r="AN1022" t="str">
        <f t="shared" si="202"/>
        <v>Valid</v>
      </c>
      <c r="AO1022" t="str">
        <f t="shared" si="203"/>
        <v>Valid</v>
      </c>
      <c r="AP1022" t="str">
        <f t="shared" si="204"/>
        <v>Valid</v>
      </c>
      <c r="AQ1022" t="str">
        <f>IF(Audit_Data[[#This Row],[Z_CostContact]]=3,"Valid","Invalid")</f>
        <v>Valid</v>
      </c>
      <c r="AR1022" t="str">
        <f t="shared" si="205"/>
        <v>Valid</v>
      </c>
      <c r="AS1022" t="str">
        <f t="shared" si="206"/>
        <v>Valid</v>
      </c>
    </row>
    <row r="1023" spans="1:45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 t="str">
        <f t="shared" si="195"/>
        <v>Ok</v>
      </c>
      <c r="AE1023" t="str">
        <f>IF(AND(Audit_Data[[#This Row],[Year_Birth]]&gt;=1900,Audit_Data[[#This Row],[Year_Birth]]&lt;=2010),"OK","Invalid")</f>
        <v>OK</v>
      </c>
      <c r="AF1023" t="str">
        <f t="shared" si="196"/>
        <v>Valid</v>
      </c>
      <c r="AG1023" t="str">
        <f t="shared" si="197"/>
        <v>Valid</v>
      </c>
      <c r="AH1023" t="str">
        <f t="shared" si="198"/>
        <v>Valid</v>
      </c>
      <c r="AI1023" t="str">
        <f t="shared" si="199"/>
        <v>Valid</v>
      </c>
      <c r="AJ1023" t="str">
        <f t="shared" si="200"/>
        <v>Valid</v>
      </c>
      <c r="AK1023" t="str">
        <f t="shared" si="207"/>
        <v xml:space="preserve">Valid </v>
      </c>
      <c r="AL1023" t="str">
        <f>IF(AND(Audit_Data[[#This Row],[Recency]]&gt;=0,Audit_Data[[#This Row],[Recency]]&lt;=100),"Valid","Invalid")</f>
        <v>Valid</v>
      </c>
      <c r="AM1023" t="str">
        <f t="shared" si="201"/>
        <v>Valid</v>
      </c>
      <c r="AN1023" t="str">
        <f t="shared" si="202"/>
        <v>Valid</v>
      </c>
      <c r="AO1023" t="str">
        <f t="shared" si="203"/>
        <v>Valid</v>
      </c>
      <c r="AP1023" t="str">
        <f t="shared" si="204"/>
        <v>Valid</v>
      </c>
      <c r="AQ1023" t="str">
        <f>IF(Audit_Data[[#This Row],[Z_CostContact]]=3,"Valid","Invalid")</f>
        <v>Valid</v>
      </c>
      <c r="AR1023" t="str">
        <f t="shared" si="205"/>
        <v>Valid</v>
      </c>
      <c r="AS1023" t="str">
        <f t="shared" si="206"/>
        <v>Valid</v>
      </c>
    </row>
    <row r="1024" spans="1:45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 t="str">
        <f t="shared" si="195"/>
        <v>Ok</v>
      </c>
      <c r="AE1024" t="str">
        <f>IF(AND(Audit_Data[[#This Row],[Year_Birth]]&gt;=1900,Audit_Data[[#This Row],[Year_Birth]]&lt;=2010),"OK","Invalid")</f>
        <v>OK</v>
      </c>
      <c r="AF1024" t="str">
        <f t="shared" si="196"/>
        <v>Valid</v>
      </c>
      <c r="AG1024" t="str">
        <f t="shared" si="197"/>
        <v>Valid</v>
      </c>
      <c r="AH1024" t="str">
        <f t="shared" si="198"/>
        <v>Valid</v>
      </c>
      <c r="AI1024" t="str">
        <f t="shared" si="199"/>
        <v>Valid</v>
      </c>
      <c r="AJ1024" t="str">
        <f t="shared" si="200"/>
        <v>Valid</v>
      </c>
      <c r="AK1024" t="str">
        <f t="shared" si="207"/>
        <v xml:space="preserve">Valid </v>
      </c>
      <c r="AL1024" t="str">
        <f>IF(AND(Audit_Data[[#This Row],[Recency]]&gt;=0,Audit_Data[[#This Row],[Recency]]&lt;=100),"Valid","Invalid")</f>
        <v>Valid</v>
      </c>
      <c r="AM1024" t="str">
        <f t="shared" si="201"/>
        <v>Valid</v>
      </c>
      <c r="AN1024" t="str">
        <f t="shared" si="202"/>
        <v>Valid</v>
      </c>
      <c r="AO1024" t="str">
        <f t="shared" si="203"/>
        <v>Valid</v>
      </c>
      <c r="AP1024" t="str">
        <f t="shared" si="204"/>
        <v>Valid</v>
      </c>
      <c r="AQ1024" t="str">
        <f>IF(Audit_Data[[#This Row],[Z_CostContact]]=3,"Valid","Invalid")</f>
        <v>Valid</v>
      </c>
      <c r="AR1024" t="str">
        <f t="shared" si="205"/>
        <v>Valid</v>
      </c>
      <c r="AS1024" t="str">
        <f t="shared" si="206"/>
        <v>Valid</v>
      </c>
    </row>
    <row r="1025" spans="1:45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 t="str">
        <f t="shared" si="195"/>
        <v>Ok</v>
      </c>
      <c r="AE1025" t="str">
        <f>IF(AND(Audit_Data[[#This Row],[Year_Birth]]&gt;=1900,Audit_Data[[#This Row],[Year_Birth]]&lt;=2010),"OK","Invalid")</f>
        <v>OK</v>
      </c>
      <c r="AF1025" t="str">
        <f t="shared" si="196"/>
        <v>Valid</v>
      </c>
      <c r="AG1025" t="str">
        <f t="shared" si="197"/>
        <v>Valid</v>
      </c>
      <c r="AH1025" t="str">
        <f t="shared" si="198"/>
        <v>Valid</v>
      </c>
      <c r="AI1025" t="str">
        <f t="shared" si="199"/>
        <v>Valid</v>
      </c>
      <c r="AJ1025" t="str">
        <f t="shared" si="200"/>
        <v>Valid</v>
      </c>
      <c r="AK1025" t="str">
        <f t="shared" si="207"/>
        <v xml:space="preserve">Valid </v>
      </c>
      <c r="AL1025" t="str">
        <f>IF(AND(Audit_Data[[#This Row],[Recency]]&gt;=0,Audit_Data[[#This Row],[Recency]]&lt;=100),"Valid","Invalid")</f>
        <v>Valid</v>
      </c>
      <c r="AM1025" t="str">
        <f t="shared" si="201"/>
        <v>Valid</v>
      </c>
      <c r="AN1025" t="str">
        <f t="shared" si="202"/>
        <v>Valid</v>
      </c>
      <c r="AO1025" t="str">
        <f t="shared" si="203"/>
        <v>Valid</v>
      </c>
      <c r="AP1025" t="str">
        <f t="shared" si="204"/>
        <v>Valid</v>
      </c>
      <c r="AQ1025" t="str">
        <f>IF(Audit_Data[[#This Row],[Z_CostContact]]=3,"Valid","Invalid")</f>
        <v>Valid</v>
      </c>
      <c r="AR1025" t="str">
        <f t="shared" si="205"/>
        <v>Valid</v>
      </c>
      <c r="AS1025" t="str">
        <f t="shared" si="206"/>
        <v>Valid</v>
      </c>
    </row>
    <row r="1026" spans="1:45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 t="str">
        <f t="shared" ref="AD1026:AD1089" si="208">IF(COUNTIF(A:A,A1026)&gt;1,"Duplicate","Ok")</f>
        <v>Ok</v>
      </c>
      <c r="AE1026" t="str">
        <f>IF(AND(Audit_Data[[#This Row],[Year_Birth]]&gt;=1900,Audit_Data[[#This Row],[Year_Birth]]&lt;=2010),"OK","Invalid")</f>
        <v>OK</v>
      </c>
      <c r="AF1026" t="str">
        <f t="shared" ref="AF1026:AF1089" si="209">IF(OR(C1026="Graduation",C1026="phD",C1026="Master",C1026="Basic",C1026="2n Cycle"),"Valid","Invalid")</f>
        <v>Valid</v>
      </c>
      <c r="AG1026" t="str">
        <f t="shared" ref="AG1026:AG1089" si="210">IF(OR(D1026="Single",D1026="Married",D1026="Divorced",D1026="Together",D1026="Widow",D1026="Alone"),"Valid","Invalid")</f>
        <v>Valid</v>
      </c>
      <c r="AH1026" t="str">
        <f t="shared" ref="AH1026:AH1089" si="211">IF(AND(ISNUMBER(E1026),E1026&lt;&gt;""),"Valid","Invalid")</f>
        <v>Valid</v>
      </c>
      <c r="AI1026" t="str">
        <f t="shared" ref="AI1026:AI1089" si="212">IF(AND(F1026&gt;=0,F1026&lt;=2),"Valid","Invalid")</f>
        <v>Valid</v>
      </c>
      <c r="AJ1026" t="str">
        <f t="shared" ref="AJ1026:AJ1089" si="213">IF(AND(G1026&gt;=0,G1026&lt;=2),"Valid","Invalid")</f>
        <v>Valid</v>
      </c>
      <c r="AK1026" t="str">
        <f t="shared" si="207"/>
        <v xml:space="preserve">Valid </v>
      </c>
      <c r="AL1026" t="str">
        <f>IF(AND(Audit_Data[[#This Row],[Recency]]&gt;=0,Audit_Data[[#This Row],[Recency]]&lt;=100),"Valid","Invalid")</f>
        <v>Valid</v>
      </c>
      <c r="AM1026" t="str">
        <f t="shared" ref="AM1026:AM1089" si="214">IF(AND(ISNUMBER(J1026),J1026&gt;=0,ISNUMBER(K1026),K1026&gt;=0,ISNUMBER(L1026),L1026&gt;=0,ISNUMBER(M1026),M1026&gt;=0,ISNUMBER(N1026),N1026&gt;=0,ISNUMBER(O1026),O1026&gt;=0),"Valid","Invalid")</f>
        <v>Valid</v>
      </c>
      <c r="AN1026" t="str">
        <f t="shared" ref="AN1026:AN1089" si="215">IF(AND(ISNUMBER(P1026),P1026&gt;=0,ISNUMBER(Q1026),Q1026&gt;=0,ISNUMBER(R1026),R1026&gt;=0,ISNUMBER(S1026),S1026&gt;=0,ISNUMBER(T1026),T1026&gt;=0),"Valid","Invalid")</f>
        <v>Valid</v>
      </c>
      <c r="AO1026" t="str">
        <f t="shared" ref="AO1026:AO1089" si="216">IF(AND(U1026&lt;=1,V1026&lt;=1,W1026&lt;=1,X1026&lt;=1,Y1026&lt;=1),"Valid","Invalid")</f>
        <v>Valid</v>
      </c>
      <c r="AP1026" t="str">
        <f t="shared" ref="AP1026:AP1089" si="217">IF(OR(Z1026=0,Z1026=1),"Valid","Invalid")</f>
        <v>Valid</v>
      </c>
      <c r="AQ1026" t="str">
        <f>IF(Audit_Data[[#This Row],[Z_CostContact]]=3,"Valid","Invalid")</f>
        <v>Valid</v>
      </c>
      <c r="AR1026" t="str">
        <f t="shared" ref="AR1026:AR1089" si="218">IF(AB1026=11,"Valid","Invalid")</f>
        <v>Valid</v>
      </c>
      <c r="AS1026" t="str">
        <f t="shared" ref="AS1026:AS1089" si="219">IF(OR(AC1026=0,AC1026=1),"Valid","Invalid")</f>
        <v>Valid</v>
      </c>
    </row>
    <row r="1027" spans="1:45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 t="str">
        <f t="shared" si="208"/>
        <v>Ok</v>
      </c>
      <c r="AE1027" t="str">
        <f>IF(AND(Audit_Data[[#This Row],[Year_Birth]]&gt;=1900,Audit_Data[[#This Row],[Year_Birth]]&lt;=2010),"OK","Invalid")</f>
        <v>OK</v>
      </c>
      <c r="AF1027" t="str">
        <f t="shared" si="209"/>
        <v>Valid</v>
      </c>
      <c r="AG1027" t="str">
        <f t="shared" si="210"/>
        <v>Valid</v>
      </c>
      <c r="AH1027" t="str">
        <f t="shared" si="211"/>
        <v>Valid</v>
      </c>
      <c r="AI1027" t="str">
        <f t="shared" si="212"/>
        <v>Valid</v>
      </c>
      <c r="AJ1027" t="str">
        <f t="shared" si="213"/>
        <v>Valid</v>
      </c>
      <c r="AK1027" t="str">
        <f t="shared" ref="AK1027:AK1090" si="220">IF(AND(ISNUMBER(H1027),H1027&gt;=DATE(2012,1,1),H1027&lt;=DATE(2014,12,31)),"Valid ","Invalid")</f>
        <v xml:space="preserve">Valid </v>
      </c>
      <c r="AL1027" t="str">
        <f>IF(AND(Audit_Data[[#This Row],[Recency]]&gt;=0,Audit_Data[[#This Row],[Recency]]&lt;=100),"Valid","Invalid")</f>
        <v>Valid</v>
      </c>
      <c r="AM1027" t="str">
        <f t="shared" si="214"/>
        <v>Valid</v>
      </c>
      <c r="AN1027" t="str">
        <f t="shared" si="215"/>
        <v>Valid</v>
      </c>
      <c r="AO1027" t="str">
        <f t="shared" si="216"/>
        <v>Valid</v>
      </c>
      <c r="AP1027" t="str">
        <f t="shared" si="217"/>
        <v>Valid</v>
      </c>
      <c r="AQ1027" t="str">
        <f>IF(Audit_Data[[#This Row],[Z_CostContact]]=3,"Valid","Invalid")</f>
        <v>Valid</v>
      </c>
      <c r="AR1027" t="str">
        <f t="shared" si="218"/>
        <v>Valid</v>
      </c>
      <c r="AS1027" t="str">
        <f t="shared" si="219"/>
        <v>Valid</v>
      </c>
    </row>
    <row r="1028" spans="1:45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 t="str">
        <f t="shared" si="208"/>
        <v>Ok</v>
      </c>
      <c r="AE1028" t="str">
        <f>IF(AND(Audit_Data[[#This Row],[Year_Birth]]&gt;=1900,Audit_Data[[#This Row],[Year_Birth]]&lt;=2010),"OK","Invalid")</f>
        <v>OK</v>
      </c>
      <c r="AF1028" t="str">
        <f t="shared" si="209"/>
        <v>Valid</v>
      </c>
      <c r="AG1028" t="str">
        <f t="shared" si="210"/>
        <v>Valid</v>
      </c>
      <c r="AH1028" t="str">
        <f t="shared" si="211"/>
        <v>Valid</v>
      </c>
      <c r="AI1028" t="str">
        <f t="shared" si="212"/>
        <v>Valid</v>
      </c>
      <c r="AJ1028" t="str">
        <f t="shared" si="213"/>
        <v>Valid</v>
      </c>
      <c r="AK1028" t="str">
        <f t="shared" si="220"/>
        <v xml:space="preserve">Valid </v>
      </c>
      <c r="AL1028" t="str">
        <f>IF(AND(Audit_Data[[#This Row],[Recency]]&gt;=0,Audit_Data[[#This Row],[Recency]]&lt;=100),"Valid","Invalid")</f>
        <v>Valid</v>
      </c>
      <c r="AM1028" t="str">
        <f t="shared" si="214"/>
        <v>Valid</v>
      </c>
      <c r="AN1028" t="str">
        <f t="shared" si="215"/>
        <v>Valid</v>
      </c>
      <c r="AO1028" t="str">
        <f t="shared" si="216"/>
        <v>Valid</v>
      </c>
      <c r="AP1028" t="str">
        <f t="shared" si="217"/>
        <v>Valid</v>
      </c>
      <c r="AQ1028" t="str">
        <f>IF(Audit_Data[[#This Row],[Z_CostContact]]=3,"Valid","Invalid")</f>
        <v>Valid</v>
      </c>
      <c r="AR1028" t="str">
        <f t="shared" si="218"/>
        <v>Valid</v>
      </c>
      <c r="AS1028" t="str">
        <f t="shared" si="219"/>
        <v>Valid</v>
      </c>
    </row>
    <row r="1029" spans="1:45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 t="str">
        <f t="shared" si="208"/>
        <v>Ok</v>
      </c>
      <c r="AE1029" t="str">
        <f>IF(AND(Audit_Data[[#This Row],[Year_Birth]]&gt;=1900,Audit_Data[[#This Row],[Year_Birth]]&lt;=2010),"OK","Invalid")</f>
        <v>OK</v>
      </c>
      <c r="AF1029" t="str">
        <f t="shared" si="209"/>
        <v>Valid</v>
      </c>
      <c r="AG1029" t="str">
        <f t="shared" si="210"/>
        <v>Valid</v>
      </c>
      <c r="AH1029" t="str">
        <f t="shared" si="211"/>
        <v>Valid</v>
      </c>
      <c r="AI1029" t="str">
        <f t="shared" si="212"/>
        <v>Valid</v>
      </c>
      <c r="AJ1029" t="str">
        <f t="shared" si="213"/>
        <v>Valid</v>
      </c>
      <c r="AK1029" t="str">
        <f t="shared" si="220"/>
        <v xml:space="preserve">Valid </v>
      </c>
      <c r="AL1029" t="str">
        <f>IF(AND(Audit_Data[[#This Row],[Recency]]&gt;=0,Audit_Data[[#This Row],[Recency]]&lt;=100),"Valid","Invalid")</f>
        <v>Valid</v>
      </c>
      <c r="AM1029" t="str">
        <f t="shared" si="214"/>
        <v>Valid</v>
      </c>
      <c r="AN1029" t="str">
        <f t="shared" si="215"/>
        <v>Valid</v>
      </c>
      <c r="AO1029" t="str">
        <f t="shared" si="216"/>
        <v>Valid</v>
      </c>
      <c r="AP1029" t="str">
        <f t="shared" si="217"/>
        <v>Valid</v>
      </c>
      <c r="AQ1029" t="str">
        <f>IF(Audit_Data[[#This Row],[Z_CostContact]]=3,"Valid","Invalid")</f>
        <v>Valid</v>
      </c>
      <c r="AR1029" t="str">
        <f t="shared" si="218"/>
        <v>Valid</v>
      </c>
      <c r="AS1029" t="str">
        <f t="shared" si="219"/>
        <v>Valid</v>
      </c>
    </row>
    <row r="1030" spans="1:45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 t="str">
        <f t="shared" si="208"/>
        <v>Ok</v>
      </c>
      <c r="AE1030" t="str">
        <f>IF(AND(Audit_Data[[#This Row],[Year_Birth]]&gt;=1900,Audit_Data[[#This Row],[Year_Birth]]&lt;=2010),"OK","Invalid")</f>
        <v>OK</v>
      </c>
      <c r="AF1030" t="str">
        <f t="shared" si="209"/>
        <v>Valid</v>
      </c>
      <c r="AG1030" t="str">
        <f t="shared" si="210"/>
        <v>Valid</v>
      </c>
      <c r="AH1030" t="str">
        <f t="shared" si="211"/>
        <v>Valid</v>
      </c>
      <c r="AI1030" t="str">
        <f t="shared" si="212"/>
        <v>Valid</v>
      </c>
      <c r="AJ1030" t="str">
        <f t="shared" si="213"/>
        <v>Valid</v>
      </c>
      <c r="AK1030" t="str">
        <f t="shared" si="220"/>
        <v xml:space="preserve">Valid </v>
      </c>
      <c r="AL1030" t="str">
        <f>IF(AND(Audit_Data[[#This Row],[Recency]]&gt;=0,Audit_Data[[#This Row],[Recency]]&lt;=100),"Valid","Invalid")</f>
        <v>Valid</v>
      </c>
      <c r="AM1030" t="str">
        <f t="shared" si="214"/>
        <v>Valid</v>
      </c>
      <c r="AN1030" t="str">
        <f t="shared" si="215"/>
        <v>Valid</v>
      </c>
      <c r="AO1030" t="str">
        <f t="shared" si="216"/>
        <v>Valid</v>
      </c>
      <c r="AP1030" t="str">
        <f t="shared" si="217"/>
        <v>Valid</v>
      </c>
      <c r="AQ1030" t="str">
        <f>IF(Audit_Data[[#This Row],[Z_CostContact]]=3,"Valid","Invalid")</f>
        <v>Valid</v>
      </c>
      <c r="AR1030" t="str">
        <f t="shared" si="218"/>
        <v>Valid</v>
      </c>
      <c r="AS1030" t="str">
        <f t="shared" si="219"/>
        <v>Valid</v>
      </c>
    </row>
    <row r="1031" spans="1:45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 t="str">
        <f t="shared" si="208"/>
        <v>Ok</v>
      </c>
      <c r="AE1031" t="str">
        <f>IF(AND(Audit_Data[[#This Row],[Year_Birth]]&gt;=1900,Audit_Data[[#This Row],[Year_Birth]]&lt;=2010),"OK","Invalid")</f>
        <v>OK</v>
      </c>
      <c r="AF1031" t="str">
        <f t="shared" si="209"/>
        <v>Valid</v>
      </c>
      <c r="AG1031" t="str">
        <f t="shared" si="210"/>
        <v>Valid</v>
      </c>
      <c r="AH1031" t="str">
        <f t="shared" si="211"/>
        <v>Valid</v>
      </c>
      <c r="AI1031" t="str">
        <f t="shared" si="212"/>
        <v>Valid</v>
      </c>
      <c r="AJ1031" t="str">
        <f t="shared" si="213"/>
        <v>Valid</v>
      </c>
      <c r="AK1031" t="str">
        <f t="shared" si="220"/>
        <v xml:space="preserve">Valid </v>
      </c>
      <c r="AL1031" t="str">
        <f>IF(AND(Audit_Data[[#This Row],[Recency]]&gt;=0,Audit_Data[[#This Row],[Recency]]&lt;=100),"Valid","Invalid")</f>
        <v>Valid</v>
      </c>
      <c r="AM1031" t="str">
        <f t="shared" si="214"/>
        <v>Valid</v>
      </c>
      <c r="AN1031" t="str">
        <f t="shared" si="215"/>
        <v>Valid</v>
      </c>
      <c r="AO1031" t="str">
        <f t="shared" si="216"/>
        <v>Valid</v>
      </c>
      <c r="AP1031" t="str">
        <f t="shared" si="217"/>
        <v>Valid</v>
      </c>
      <c r="AQ1031" t="str">
        <f>IF(Audit_Data[[#This Row],[Z_CostContact]]=3,"Valid","Invalid")</f>
        <v>Valid</v>
      </c>
      <c r="AR1031" t="str">
        <f t="shared" si="218"/>
        <v>Valid</v>
      </c>
      <c r="AS1031" t="str">
        <f t="shared" si="219"/>
        <v>Valid</v>
      </c>
    </row>
    <row r="1032" spans="1:45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 t="str">
        <f t="shared" si="208"/>
        <v>Ok</v>
      </c>
      <c r="AE1032" t="str">
        <f>IF(AND(Audit_Data[[#This Row],[Year_Birth]]&gt;=1900,Audit_Data[[#This Row],[Year_Birth]]&lt;=2010),"OK","Invalid")</f>
        <v>OK</v>
      </c>
      <c r="AF1032" t="str">
        <f t="shared" si="209"/>
        <v>Valid</v>
      </c>
      <c r="AG1032" t="str">
        <f t="shared" si="210"/>
        <v>Valid</v>
      </c>
      <c r="AH1032" t="str">
        <f t="shared" si="211"/>
        <v>Valid</v>
      </c>
      <c r="AI1032" t="str">
        <f t="shared" si="212"/>
        <v>Valid</v>
      </c>
      <c r="AJ1032" t="str">
        <f t="shared" si="213"/>
        <v>Valid</v>
      </c>
      <c r="AK1032" t="str">
        <f t="shared" si="220"/>
        <v xml:space="preserve">Valid </v>
      </c>
      <c r="AL1032" t="str">
        <f>IF(AND(Audit_Data[[#This Row],[Recency]]&gt;=0,Audit_Data[[#This Row],[Recency]]&lt;=100),"Valid","Invalid")</f>
        <v>Valid</v>
      </c>
      <c r="AM1032" t="str">
        <f t="shared" si="214"/>
        <v>Valid</v>
      </c>
      <c r="AN1032" t="str">
        <f t="shared" si="215"/>
        <v>Valid</v>
      </c>
      <c r="AO1032" t="str">
        <f t="shared" si="216"/>
        <v>Valid</v>
      </c>
      <c r="AP1032" t="str">
        <f t="shared" si="217"/>
        <v>Valid</v>
      </c>
      <c r="AQ1032" t="str">
        <f>IF(Audit_Data[[#This Row],[Z_CostContact]]=3,"Valid","Invalid")</f>
        <v>Valid</v>
      </c>
      <c r="AR1032" t="str">
        <f t="shared" si="218"/>
        <v>Valid</v>
      </c>
      <c r="AS1032" t="str">
        <f t="shared" si="219"/>
        <v>Valid</v>
      </c>
    </row>
    <row r="1033" spans="1:45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 t="str">
        <f t="shared" si="208"/>
        <v>Ok</v>
      </c>
      <c r="AE1033" t="str">
        <f>IF(AND(Audit_Data[[#This Row],[Year_Birth]]&gt;=1900,Audit_Data[[#This Row],[Year_Birth]]&lt;=2010),"OK","Invalid")</f>
        <v>OK</v>
      </c>
      <c r="AF1033" t="str">
        <f t="shared" si="209"/>
        <v>Valid</v>
      </c>
      <c r="AG1033" t="str">
        <f t="shared" si="210"/>
        <v>Valid</v>
      </c>
      <c r="AH1033" t="str">
        <f t="shared" si="211"/>
        <v>Valid</v>
      </c>
      <c r="AI1033" t="str">
        <f t="shared" si="212"/>
        <v>Valid</v>
      </c>
      <c r="AJ1033" t="str">
        <f t="shared" si="213"/>
        <v>Valid</v>
      </c>
      <c r="AK1033" t="str">
        <f t="shared" si="220"/>
        <v xml:space="preserve">Valid </v>
      </c>
      <c r="AL1033" t="str">
        <f>IF(AND(Audit_Data[[#This Row],[Recency]]&gt;=0,Audit_Data[[#This Row],[Recency]]&lt;=100),"Valid","Invalid")</f>
        <v>Valid</v>
      </c>
      <c r="AM1033" t="str">
        <f t="shared" si="214"/>
        <v>Valid</v>
      </c>
      <c r="AN1033" t="str">
        <f t="shared" si="215"/>
        <v>Valid</v>
      </c>
      <c r="AO1033" t="str">
        <f t="shared" si="216"/>
        <v>Valid</v>
      </c>
      <c r="AP1033" t="str">
        <f t="shared" si="217"/>
        <v>Valid</v>
      </c>
      <c r="AQ1033" t="str">
        <f>IF(Audit_Data[[#This Row],[Z_CostContact]]=3,"Valid","Invalid")</f>
        <v>Valid</v>
      </c>
      <c r="AR1033" t="str">
        <f t="shared" si="218"/>
        <v>Valid</v>
      </c>
      <c r="AS1033" t="str">
        <f t="shared" si="219"/>
        <v>Valid</v>
      </c>
    </row>
    <row r="1034" spans="1:45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 t="str">
        <f t="shared" si="208"/>
        <v>Ok</v>
      </c>
      <c r="AE1034" t="str">
        <f>IF(AND(Audit_Data[[#This Row],[Year_Birth]]&gt;=1900,Audit_Data[[#This Row],[Year_Birth]]&lt;=2010),"OK","Invalid")</f>
        <v>OK</v>
      </c>
      <c r="AF1034" t="str">
        <f t="shared" si="209"/>
        <v>Valid</v>
      </c>
      <c r="AG1034" t="str">
        <f t="shared" si="210"/>
        <v>Valid</v>
      </c>
      <c r="AH1034" t="str">
        <f t="shared" si="211"/>
        <v>Valid</v>
      </c>
      <c r="AI1034" t="str">
        <f t="shared" si="212"/>
        <v>Valid</v>
      </c>
      <c r="AJ1034" t="str">
        <f t="shared" si="213"/>
        <v>Valid</v>
      </c>
      <c r="AK1034" t="str">
        <f t="shared" si="220"/>
        <v xml:space="preserve">Valid </v>
      </c>
      <c r="AL1034" t="str">
        <f>IF(AND(Audit_Data[[#This Row],[Recency]]&gt;=0,Audit_Data[[#This Row],[Recency]]&lt;=100),"Valid","Invalid")</f>
        <v>Valid</v>
      </c>
      <c r="AM1034" t="str">
        <f t="shared" si="214"/>
        <v>Valid</v>
      </c>
      <c r="AN1034" t="str">
        <f t="shared" si="215"/>
        <v>Valid</v>
      </c>
      <c r="AO1034" t="str">
        <f t="shared" si="216"/>
        <v>Valid</v>
      </c>
      <c r="AP1034" t="str">
        <f t="shared" si="217"/>
        <v>Valid</v>
      </c>
      <c r="AQ1034" t="str">
        <f>IF(Audit_Data[[#This Row],[Z_CostContact]]=3,"Valid","Invalid")</f>
        <v>Valid</v>
      </c>
      <c r="AR1034" t="str">
        <f t="shared" si="218"/>
        <v>Valid</v>
      </c>
      <c r="AS1034" t="str">
        <f t="shared" si="219"/>
        <v>Valid</v>
      </c>
    </row>
    <row r="1035" spans="1:45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 t="str">
        <f t="shared" si="208"/>
        <v>Ok</v>
      </c>
      <c r="AE1035" t="str">
        <f>IF(AND(Audit_Data[[#This Row],[Year_Birth]]&gt;=1900,Audit_Data[[#This Row],[Year_Birth]]&lt;=2010),"OK","Invalid")</f>
        <v>OK</v>
      </c>
      <c r="AF1035" t="str">
        <f t="shared" si="209"/>
        <v>Valid</v>
      </c>
      <c r="AG1035" t="str">
        <f t="shared" si="210"/>
        <v>Valid</v>
      </c>
      <c r="AH1035" t="str">
        <f t="shared" si="211"/>
        <v>Valid</v>
      </c>
      <c r="AI1035" t="str">
        <f t="shared" si="212"/>
        <v>Valid</v>
      </c>
      <c r="AJ1035" t="str">
        <f t="shared" si="213"/>
        <v>Valid</v>
      </c>
      <c r="AK1035" t="str">
        <f t="shared" si="220"/>
        <v xml:space="preserve">Valid </v>
      </c>
      <c r="AL1035" t="str">
        <f>IF(AND(Audit_Data[[#This Row],[Recency]]&gt;=0,Audit_Data[[#This Row],[Recency]]&lt;=100),"Valid","Invalid")</f>
        <v>Valid</v>
      </c>
      <c r="AM1035" t="str">
        <f t="shared" si="214"/>
        <v>Valid</v>
      </c>
      <c r="AN1035" t="str">
        <f t="shared" si="215"/>
        <v>Valid</v>
      </c>
      <c r="AO1035" t="str">
        <f t="shared" si="216"/>
        <v>Valid</v>
      </c>
      <c r="AP1035" t="str">
        <f t="shared" si="217"/>
        <v>Valid</v>
      </c>
      <c r="AQ1035" t="str">
        <f>IF(Audit_Data[[#This Row],[Z_CostContact]]=3,"Valid","Invalid")</f>
        <v>Valid</v>
      </c>
      <c r="AR1035" t="str">
        <f t="shared" si="218"/>
        <v>Valid</v>
      </c>
      <c r="AS1035" t="str">
        <f t="shared" si="219"/>
        <v>Valid</v>
      </c>
    </row>
    <row r="1036" spans="1:45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 t="str">
        <f t="shared" si="208"/>
        <v>Ok</v>
      </c>
      <c r="AE1036" t="str">
        <f>IF(AND(Audit_Data[[#This Row],[Year_Birth]]&gt;=1900,Audit_Data[[#This Row],[Year_Birth]]&lt;=2010),"OK","Invalid")</f>
        <v>OK</v>
      </c>
      <c r="AF1036" t="str">
        <f t="shared" si="209"/>
        <v>Valid</v>
      </c>
      <c r="AG1036" t="str">
        <f t="shared" si="210"/>
        <v>Valid</v>
      </c>
      <c r="AH1036" t="str">
        <f t="shared" si="211"/>
        <v>Valid</v>
      </c>
      <c r="AI1036" t="str">
        <f t="shared" si="212"/>
        <v>Valid</v>
      </c>
      <c r="AJ1036" t="str">
        <f t="shared" si="213"/>
        <v>Valid</v>
      </c>
      <c r="AK1036" t="str">
        <f t="shared" si="220"/>
        <v xml:space="preserve">Valid </v>
      </c>
      <c r="AL1036" t="str">
        <f>IF(AND(Audit_Data[[#This Row],[Recency]]&gt;=0,Audit_Data[[#This Row],[Recency]]&lt;=100),"Valid","Invalid")</f>
        <v>Valid</v>
      </c>
      <c r="AM1036" t="str">
        <f t="shared" si="214"/>
        <v>Valid</v>
      </c>
      <c r="AN1036" t="str">
        <f t="shared" si="215"/>
        <v>Valid</v>
      </c>
      <c r="AO1036" t="str">
        <f t="shared" si="216"/>
        <v>Valid</v>
      </c>
      <c r="AP1036" t="str">
        <f t="shared" si="217"/>
        <v>Valid</v>
      </c>
      <c r="AQ1036" t="str">
        <f>IF(Audit_Data[[#This Row],[Z_CostContact]]=3,"Valid","Invalid")</f>
        <v>Valid</v>
      </c>
      <c r="AR1036" t="str">
        <f t="shared" si="218"/>
        <v>Valid</v>
      </c>
      <c r="AS1036" t="str">
        <f t="shared" si="219"/>
        <v>Valid</v>
      </c>
    </row>
    <row r="1037" spans="1:45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 t="str">
        <f t="shared" si="208"/>
        <v>Ok</v>
      </c>
      <c r="AE1037" t="str">
        <f>IF(AND(Audit_Data[[#This Row],[Year_Birth]]&gt;=1900,Audit_Data[[#This Row],[Year_Birth]]&lt;=2010),"OK","Invalid")</f>
        <v>OK</v>
      </c>
      <c r="AF1037" t="str">
        <f t="shared" si="209"/>
        <v>Valid</v>
      </c>
      <c r="AG1037" t="str">
        <f t="shared" si="210"/>
        <v>Valid</v>
      </c>
      <c r="AH1037" t="str">
        <f t="shared" si="211"/>
        <v>Valid</v>
      </c>
      <c r="AI1037" t="str">
        <f t="shared" si="212"/>
        <v>Valid</v>
      </c>
      <c r="AJ1037" t="str">
        <f t="shared" si="213"/>
        <v>Valid</v>
      </c>
      <c r="AK1037" t="str">
        <f t="shared" si="220"/>
        <v xml:space="preserve">Valid </v>
      </c>
      <c r="AL1037" t="str">
        <f>IF(AND(Audit_Data[[#This Row],[Recency]]&gt;=0,Audit_Data[[#This Row],[Recency]]&lt;=100),"Valid","Invalid")</f>
        <v>Valid</v>
      </c>
      <c r="AM1037" t="str">
        <f t="shared" si="214"/>
        <v>Valid</v>
      </c>
      <c r="AN1037" t="str">
        <f t="shared" si="215"/>
        <v>Valid</v>
      </c>
      <c r="AO1037" t="str">
        <f t="shared" si="216"/>
        <v>Valid</v>
      </c>
      <c r="AP1037" t="str">
        <f t="shared" si="217"/>
        <v>Valid</v>
      </c>
      <c r="AQ1037" t="str">
        <f>IF(Audit_Data[[#This Row],[Z_CostContact]]=3,"Valid","Invalid")</f>
        <v>Valid</v>
      </c>
      <c r="AR1037" t="str">
        <f t="shared" si="218"/>
        <v>Valid</v>
      </c>
      <c r="AS1037" t="str">
        <f t="shared" si="219"/>
        <v>Valid</v>
      </c>
    </row>
    <row r="1038" spans="1:45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 t="str">
        <f t="shared" si="208"/>
        <v>Ok</v>
      </c>
      <c r="AE1038" t="str">
        <f>IF(AND(Audit_Data[[#This Row],[Year_Birth]]&gt;=1900,Audit_Data[[#This Row],[Year_Birth]]&lt;=2010),"OK","Invalid")</f>
        <v>OK</v>
      </c>
      <c r="AF1038" t="str">
        <f t="shared" si="209"/>
        <v>Valid</v>
      </c>
      <c r="AG1038" t="str">
        <f t="shared" si="210"/>
        <v>Valid</v>
      </c>
      <c r="AH1038" t="str">
        <f t="shared" si="211"/>
        <v>Valid</v>
      </c>
      <c r="AI1038" t="str">
        <f t="shared" si="212"/>
        <v>Valid</v>
      </c>
      <c r="AJ1038" t="str">
        <f t="shared" si="213"/>
        <v>Valid</v>
      </c>
      <c r="AK1038" t="str">
        <f t="shared" si="220"/>
        <v xml:space="preserve">Valid </v>
      </c>
      <c r="AL1038" t="str">
        <f>IF(AND(Audit_Data[[#This Row],[Recency]]&gt;=0,Audit_Data[[#This Row],[Recency]]&lt;=100),"Valid","Invalid")</f>
        <v>Valid</v>
      </c>
      <c r="AM1038" t="str">
        <f t="shared" si="214"/>
        <v>Valid</v>
      </c>
      <c r="AN1038" t="str">
        <f t="shared" si="215"/>
        <v>Valid</v>
      </c>
      <c r="AO1038" t="str">
        <f t="shared" si="216"/>
        <v>Valid</v>
      </c>
      <c r="AP1038" t="str">
        <f t="shared" si="217"/>
        <v>Valid</v>
      </c>
      <c r="AQ1038" t="str">
        <f>IF(Audit_Data[[#This Row],[Z_CostContact]]=3,"Valid","Invalid")</f>
        <v>Valid</v>
      </c>
      <c r="AR1038" t="str">
        <f t="shared" si="218"/>
        <v>Valid</v>
      </c>
      <c r="AS1038" t="str">
        <f t="shared" si="219"/>
        <v>Valid</v>
      </c>
    </row>
    <row r="1039" spans="1:45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 t="str">
        <f t="shared" si="208"/>
        <v>Ok</v>
      </c>
      <c r="AE1039" t="str">
        <f>IF(AND(Audit_Data[[#This Row],[Year_Birth]]&gt;=1900,Audit_Data[[#This Row],[Year_Birth]]&lt;=2010),"OK","Invalid")</f>
        <v>OK</v>
      </c>
      <c r="AF1039" t="str">
        <f t="shared" si="209"/>
        <v>Valid</v>
      </c>
      <c r="AG1039" t="str">
        <f t="shared" si="210"/>
        <v>Valid</v>
      </c>
      <c r="AH1039" t="str">
        <f t="shared" si="211"/>
        <v>Valid</v>
      </c>
      <c r="AI1039" t="str">
        <f t="shared" si="212"/>
        <v>Valid</v>
      </c>
      <c r="AJ1039" t="str">
        <f t="shared" si="213"/>
        <v>Valid</v>
      </c>
      <c r="AK1039" t="str">
        <f t="shared" si="220"/>
        <v xml:space="preserve">Valid </v>
      </c>
      <c r="AL1039" t="str">
        <f>IF(AND(Audit_Data[[#This Row],[Recency]]&gt;=0,Audit_Data[[#This Row],[Recency]]&lt;=100),"Valid","Invalid")</f>
        <v>Valid</v>
      </c>
      <c r="AM1039" t="str">
        <f t="shared" si="214"/>
        <v>Valid</v>
      </c>
      <c r="AN1039" t="str">
        <f t="shared" si="215"/>
        <v>Valid</v>
      </c>
      <c r="AO1039" t="str">
        <f t="shared" si="216"/>
        <v>Valid</v>
      </c>
      <c r="AP1039" t="str">
        <f t="shared" si="217"/>
        <v>Valid</v>
      </c>
      <c r="AQ1039" t="str">
        <f>IF(Audit_Data[[#This Row],[Z_CostContact]]=3,"Valid","Invalid")</f>
        <v>Valid</v>
      </c>
      <c r="AR1039" t="str">
        <f t="shared" si="218"/>
        <v>Valid</v>
      </c>
      <c r="AS1039" t="str">
        <f t="shared" si="219"/>
        <v>Valid</v>
      </c>
    </row>
    <row r="1040" spans="1:45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 t="str">
        <f t="shared" si="208"/>
        <v>Ok</v>
      </c>
      <c r="AE1040" t="str">
        <f>IF(AND(Audit_Data[[#This Row],[Year_Birth]]&gt;=1900,Audit_Data[[#This Row],[Year_Birth]]&lt;=2010),"OK","Invalid")</f>
        <v>OK</v>
      </c>
      <c r="AF1040" t="str">
        <f t="shared" si="209"/>
        <v>Valid</v>
      </c>
      <c r="AG1040" t="str">
        <f t="shared" si="210"/>
        <v>Valid</v>
      </c>
      <c r="AH1040" t="str">
        <f t="shared" si="211"/>
        <v>Valid</v>
      </c>
      <c r="AI1040" t="str">
        <f t="shared" si="212"/>
        <v>Valid</v>
      </c>
      <c r="AJ1040" t="str">
        <f t="shared" si="213"/>
        <v>Valid</v>
      </c>
      <c r="AK1040" t="str">
        <f t="shared" si="220"/>
        <v xml:space="preserve">Valid </v>
      </c>
      <c r="AL1040" t="str">
        <f>IF(AND(Audit_Data[[#This Row],[Recency]]&gt;=0,Audit_Data[[#This Row],[Recency]]&lt;=100),"Valid","Invalid")</f>
        <v>Valid</v>
      </c>
      <c r="AM1040" t="str">
        <f t="shared" si="214"/>
        <v>Valid</v>
      </c>
      <c r="AN1040" t="str">
        <f t="shared" si="215"/>
        <v>Valid</v>
      </c>
      <c r="AO1040" t="str">
        <f t="shared" si="216"/>
        <v>Valid</v>
      </c>
      <c r="AP1040" t="str">
        <f t="shared" si="217"/>
        <v>Valid</v>
      </c>
      <c r="AQ1040" t="str">
        <f>IF(Audit_Data[[#This Row],[Z_CostContact]]=3,"Valid","Invalid")</f>
        <v>Valid</v>
      </c>
      <c r="AR1040" t="str">
        <f t="shared" si="218"/>
        <v>Valid</v>
      </c>
      <c r="AS1040" t="str">
        <f t="shared" si="219"/>
        <v>Valid</v>
      </c>
    </row>
    <row r="1041" spans="1:45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 t="str">
        <f t="shared" si="208"/>
        <v>Ok</v>
      </c>
      <c r="AE1041" t="str">
        <f>IF(AND(Audit_Data[[#This Row],[Year_Birth]]&gt;=1900,Audit_Data[[#This Row],[Year_Birth]]&lt;=2010),"OK","Invalid")</f>
        <v>OK</v>
      </c>
      <c r="AF1041" t="str">
        <f t="shared" si="209"/>
        <v>Valid</v>
      </c>
      <c r="AG1041" t="str">
        <f t="shared" si="210"/>
        <v>Valid</v>
      </c>
      <c r="AH1041" t="str">
        <f t="shared" si="211"/>
        <v>Valid</v>
      </c>
      <c r="AI1041" t="str">
        <f t="shared" si="212"/>
        <v>Valid</v>
      </c>
      <c r="AJ1041" t="str">
        <f t="shared" si="213"/>
        <v>Valid</v>
      </c>
      <c r="AK1041" t="str">
        <f t="shared" si="220"/>
        <v xml:space="preserve">Valid </v>
      </c>
      <c r="AL1041" t="str">
        <f>IF(AND(Audit_Data[[#This Row],[Recency]]&gt;=0,Audit_Data[[#This Row],[Recency]]&lt;=100),"Valid","Invalid")</f>
        <v>Valid</v>
      </c>
      <c r="AM1041" t="str">
        <f t="shared" si="214"/>
        <v>Valid</v>
      </c>
      <c r="AN1041" t="str">
        <f t="shared" si="215"/>
        <v>Valid</v>
      </c>
      <c r="AO1041" t="str">
        <f t="shared" si="216"/>
        <v>Valid</v>
      </c>
      <c r="AP1041" t="str">
        <f t="shared" si="217"/>
        <v>Valid</v>
      </c>
      <c r="AQ1041" t="str">
        <f>IF(Audit_Data[[#This Row],[Z_CostContact]]=3,"Valid","Invalid")</f>
        <v>Valid</v>
      </c>
      <c r="AR1041" t="str">
        <f t="shared" si="218"/>
        <v>Valid</v>
      </c>
      <c r="AS1041" t="str">
        <f t="shared" si="219"/>
        <v>Valid</v>
      </c>
    </row>
    <row r="1042" spans="1:45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 t="str">
        <f t="shared" si="208"/>
        <v>Ok</v>
      </c>
      <c r="AE1042" t="str">
        <f>IF(AND(Audit_Data[[#This Row],[Year_Birth]]&gt;=1900,Audit_Data[[#This Row],[Year_Birth]]&lt;=2010),"OK","Invalid")</f>
        <v>OK</v>
      </c>
      <c r="AF1042" t="str">
        <f t="shared" si="209"/>
        <v>Valid</v>
      </c>
      <c r="AG1042" t="str">
        <f t="shared" si="210"/>
        <v>Valid</v>
      </c>
      <c r="AH1042" t="str">
        <f t="shared" si="211"/>
        <v>Valid</v>
      </c>
      <c r="AI1042" t="str">
        <f t="shared" si="212"/>
        <v>Valid</v>
      </c>
      <c r="AJ1042" t="str">
        <f t="shared" si="213"/>
        <v>Valid</v>
      </c>
      <c r="AK1042" t="str">
        <f t="shared" si="220"/>
        <v xml:space="preserve">Valid </v>
      </c>
      <c r="AL1042" t="str">
        <f>IF(AND(Audit_Data[[#This Row],[Recency]]&gt;=0,Audit_Data[[#This Row],[Recency]]&lt;=100),"Valid","Invalid")</f>
        <v>Valid</v>
      </c>
      <c r="AM1042" t="str">
        <f t="shared" si="214"/>
        <v>Valid</v>
      </c>
      <c r="AN1042" t="str">
        <f t="shared" si="215"/>
        <v>Valid</v>
      </c>
      <c r="AO1042" t="str">
        <f t="shared" si="216"/>
        <v>Valid</v>
      </c>
      <c r="AP1042" t="str">
        <f t="shared" si="217"/>
        <v>Valid</v>
      </c>
      <c r="AQ1042" t="str">
        <f>IF(Audit_Data[[#This Row],[Z_CostContact]]=3,"Valid","Invalid")</f>
        <v>Valid</v>
      </c>
      <c r="AR1042" t="str">
        <f t="shared" si="218"/>
        <v>Valid</v>
      </c>
      <c r="AS1042" t="str">
        <f t="shared" si="219"/>
        <v>Valid</v>
      </c>
    </row>
    <row r="1043" spans="1:45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 t="str">
        <f t="shared" si="208"/>
        <v>Ok</v>
      </c>
      <c r="AE1043" t="str">
        <f>IF(AND(Audit_Data[[#This Row],[Year_Birth]]&gt;=1900,Audit_Data[[#This Row],[Year_Birth]]&lt;=2010),"OK","Invalid")</f>
        <v>OK</v>
      </c>
      <c r="AF1043" t="str">
        <f t="shared" si="209"/>
        <v>Valid</v>
      </c>
      <c r="AG1043" t="str">
        <f t="shared" si="210"/>
        <v>Valid</v>
      </c>
      <c r="AH1043" t="str">
        <f t="shared" si="211"/>
        <v>Valid</v>
      </c>
      <c r="AI1043" t="str">
        <f t="shared" si="212"/>
        <v>Valid</v>
      </c>
      <c r="AJ1043" t="str">
        <f t="shared" si="213"/>
        <v>Valid</v>
      </c>
      <c r="AK1043" t="str">
        <f t="shared" si="220"/>
        <v xml:space="preserve">Valid </v>
      </c>
      <c r="AL1043" t="str">
        <f>IF(AND(Audit_Data[[#This Row],[Recency]]&gt;=0,Audit_Data[[#This Row],[Recency]]&lt;=100),"Valid","Invalid")</f>
        <v>Valid</v>
      </c>
      <c r="AM1043" t="str">
        <f t="shared" si="214"/>
        <v>Valid</v>
      </c>
      <c r="AN1043" t="str">
        <f t="shared" si="215"/>
        <v>Valid</v>
      </c>
      <c r="AO1043" t="str">
        <f t="shared" si="216"/>
        <v>Valid</v>
      </c>
      <c r="AP1043" t="str">
        <f t="shared" si="217"/>
        <v>Valid</v>
      </c>
      <c r="AQ1043" t="str">
        <f>IF(Audit_Data[[#This Row],[Z_CostContact]]=3,"Valid","Invalid")</f>
        <v>Valid</v>
      </c>
      <c r="AR1043" t="str">
        <f t="shared" si="218"/>
        <v>Valid</v>
      </c>
      <c r="AS1043" t="str">
        <f t="shared" si="219"/>
        <v>Valid</v>
      </c>
    </row>
    <row r="1044" spans="1:45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 t="str">
        <f t="shared" si="208"/>
        <v>Ok</v>
      </c>
      <c r="AE1044" t="str">
        <f>IF(AND(Audit_Data[[#This Row],[Year_Birth]]&gt;=1900,Audit_Data[[#This Row],[Year_Birth]]&lt;=2010),"OK","Invalid")</f>
        <v>OK</v>
      </c>
      <c r="AF1044" t="str">
        <f t="shared" si="209"/>
        <v>Valid</v>
      </c>
      <c r="AG1044" t="str">
        <f t="shared" si="210"/>
        <v>Valid</v>
      </c>
      <c r="AH1044" t="str">
        <f t="shared" si="211"/>
        <v>Valid</v>
      </c>
      <c r="AI1044" t="str">
        <f t="shared" si="212"/>
        <v>Valid</v>
      </c>
      <c r="AJ1044" t="str">
        <f t="shared" si="213"/>
        <v>Valid</v>
      </c>
      <c r="AK1044" t="str">
        <f t="shared" si="220"/>
        <v xml:space="preserve">Valid </v>
      </c>
      <c r="AL1044" t="str">
        <f>IF(AND(Audit_Data[[#This Row],[Recency]]&gt;=0,Audit_Data[[#This Row],[Recency]]&lt;=100),"Valid","Invalid")</f>
        <v>Valid</v>
      </c>
      <c r="AM1044" t="str">
        <f t="shared" si="214"/>
        <v>Valid</v>
      </c>
      <c r="AN1044" t="str">
        <f t="shared" si="215"/>
        <v>Valid</v>
      </c>
      <c r="AO1044" t="str">
        <f t="shared" si="216"/>
        <v>Valid</v>
      </c>
      <c r="AP1044" t="str">
        <f t="shared" si="217"/>
        <v>Valid</v>
      </c>
      <c r="AQ1044" t="str">
        <f>IF(Audit_Data[[#This Row],[Z_CostContact]]=3,"Valid","Invalid")</f>
        <v>Valid</v>
      </c>
      <c r="AR1044" t="str">
        <f t="shared" si="218"/>
        <v>Valid</v>
      </c>
      <c r="AS1044" t="str">
        <f t="shared" si="219"/>
        <v>Valid</v>
      </c>
    </row>
    <row r="1045" spans="1:45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 t="str">
        <f t="shared" si="208"/>
        <v>Ok</v>
      </c>
      <c r="AE1045" t="str">
        <f>IF(AND(Audit_Data[[#This Row],[Year_Birth]]&gt;=1900,Audit_Data[[#This Row],[Year_Birth]]&lt;=2010),"OK","Invalid")</f>
        <v>OK</v>
      </c>
      <c r="AF1045" t="str">
        <f t="shared" si="209"/>
        <v>Valid</v>
      </c>
      <c r="AG1045" t="str">
        <f t="shared" si="210"/>
        <v>Valid</v>
      </c>
      <c r="AH1045" t="str">
        <f t="shared" si="211"/>
        <v>Valid</v>
      </c>
      <c r="AI1045" t="str">
        <f t="shared" si="212"/>
        <v>Valid</v>
      </c>
      <c r="AJ1045" t="str">
        <f t="shared" si="213"/>
        <v>Valid</v>
      </c>
      <c r="AK1045" t="str">
        <f t="shared" si="220"/>
        <v xml:space="preserve">Valid </v>
      </c>
      <c r="AL1045" t="str">
        <f>IF(AND(Audit_Data[[#This Row],[Recency]]&gt;=0,Audit_Data[[#This Row],[Recency]]&lt;=100),"Valid","Invalid")</f>
        <v>Valid</v>
      </c>
      <c r="AM1045" t="str">
        <f t="shared" si="214"/>
        <v>Valid</v>
      </c>
      <c r="AN1045" t="str">
        <f t="shared" si="215"/>
        <v>Valid</v>
      </c>
      <c r="AO1045" t="str">
        <f t="shared" si="216"/>
        <v>Valid</v>
      </c>
      <c r="AP1045" t="str">
        <f t="shared" si="217"/>
        <v>Valid</v>
      </c>
      <c r="AQ1045" t="str">
        <f>IF(Audit_Data[[#This Row],[Z_CostContact]]=3,"Valid","Invalid")</f>
        <v>Valid</v>
      </c>
      <c r="AR1045" t="str">
        <f t="shared" si="218"/>
        <v>Valid</v>
      </c>
      <c r="AS1045" t="str">
        <f t="shared" si="219"/>
        <v>Valid</v>
      </c>
    </row>
    <row r="1046" spans="1:45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 t="str">
        <f t="shared" si="208"/>
        <v>Ok</v>
      </c>
      <c r="AE1046" t="str">
        <f>IF(AND(Audit_Data[[#This Row],[Year_Birth]]&gt;=1900,Audit_Data[[#This Row],[Year_Birth]]&lt;=2010),"OK","Invalid")</f>
        <v>OK</v>
      </c>
      <c r="AF1046" t="str">
        <f t="shared" si="209"/>
        <v>Valid</v>
      </c>
      <c r="AG1046" t="str">
        <f t="shared" si="210"/>
        <v>Valid</v>
      </c>
      <c r="AH1046" t="str">
        <f t="shared" si="211"/>
        <v>Valid</v>
      </c>
      <c r="AI1046" t="str">
        <f t="shared" si="212"/>
        <v>Valid</v>
      </c>
      <c r="AJ1046" t="str">
        <f t="shared" si="213"/>
        <v>Valid</v>
      </c>
      <c r="AK1046" t="str">
        <f t="shared" si="220"/>
        <v xml:space="preserve">Valid </v>
      </c>
      <c r="AL1046" t="str">
        <f>IF(AND(Audit_Data[[#This Row],[Recency]]&gt;=0,Audit_Data[[#This Row],[Recency]]&lt;=100),"Valid","Invalid")</f>
        <v>Valid</v>
      </c>
      <c r="AM1046" t="str">
        <f t="shared" si="214"/>
        <v>Valid</v>
      </c>
      <c r="AN1046" t="str">
        <f t="shared" si="215"/>
        <v>Valid</v>
      </c>
      <c r="AO1046" t="str">
        <f t="shared" si="216"/>
        <v>Valid</v>
      </c>
      <c r="AP1046" t="str">
        <f t="shared" si="217"/>
        <v>Valid</v>
      </c>
      <c r="AQ1046" t="str">
        <f>IF(Audit_Data[[#This Row],[Z_CostContact]]=3,"Valid","Invalid")</f>
        <v>Valid</v>
      </c>
      <c r="AR1046" t="str">
        <f t="shared" si="218"/>
        <v>Valid</v>
      </c>
      <c r="AS1046" t="str">
        <f t="shared" si="219"/>
        <v>Valid</v>
      </c>
    </row>
    <row r="1047" spans="1:45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 t="str">
        <f t="shared" si="208"/>
        <v>Ok</v>
      </c>
      <c r="AE1047" t="str">
        <f>IF(AND(Audit_Data[[#This Row],[Year_Birth]]&gt;=1900,Audit_Data[[#This Row],[Year_Birth]]&lt;=2010),"OK","Invalid")</f>
        <v>OK</v>
      </c>
      <c r="AF1047" t="str">
        <f t="shared" si="209"/>
        <v>Valid</v>
      </c>
      <c r="AG1047" t="str">
        <f t="shared" si="210"/>
        <v>Valid</v>
      </c>
      <c r="AH1047" t="str">
        <f t="shared" si="211"/>
        <v>Valid</v>
      </c>
      <c r="AI1047" t="str">
        <f t="shared" si="212"/>
        <v>Valid</v>
      </c>
      <c r="AJ1047" t="str">
        <f t="shared" si="213"/>
        <v>Valid</v>
      </c>
      <c r="AK1047" t="str">
        <f t="shared" si="220"/>
        <v xml:space="preserve">Valid </v>
      </c>
      <c r="AL1047" t="str">
        <f>IF(AND(Audit_Data[[#This Row],[Recency]]&gt;=0,Audit_Data[[#This Row],[Recency]]&lt;=100),"Valid","Invalid")</f>
        <v>Valid</v>
      </c>
      <c r="AM1047" t="str">
        <f t="shared" si="214"/>
        <v>Valid</v>
      </c>
      <c r="AN1047" t="str">
        <f t="shared" si="215"/>
        <v>Valid</v>
      </c>
      <c r="AO1047" t="str">
        <f t="shared" si="216"/>
        <v>Valid</v>
      </c>
      <c r="AP1047" t="str">
        <f t="shared" si="217"/>
        <v>Valid</v>
      </c>
      <c r="AQ1047" t="str">
        <f>IF(Audit_Data[[#This Row],[Z_CostContact]]=3,"Valid","Invalid")</f>
        <v>Valid</v>
      </c>
      <c r="AR1047" t="str">
        <f t="shared" si="218"/>
        <v>Valid</v>
      </c>
      <c r="AS1047" t="str">
        <f t="shared" si="219"/>
        <v>Valid</v>
      </c>
    </row>
    <row r="1048" spans="1:45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 t="str">
        <f t="shared" si="208"/>
        <v>Ok</v>
      </c>
      <c r="AE1048" t="str">
        <f>IF(AND(Audit_Data[[#This Row],[Year_Birth]]&gt;=1900,Audit_Data[[#This Row],[Year_Birth]]&lt;=2010),"OK","Invalid")</f>
        <v>OK</v>
      </c>
      <c r="AF1048" t="str">
        <f t="shared" si="209"/>
        <v>Valid</v>
      </c>
      <c r="AG1048" t="str">
        <f t="shared" si="210"/>
        <v>Valid</v>
      </c>
      <c r="AH1048" t="str">
        <f t="shared" si="211"/>
        <v>Valid</v>
      </c>
      <c r="AI1048" t="str">
        <f t="shared" si="212"/>
        <v>Valid</v>
      </c>
      <c r="AJ1048" t="str">
        <f t="shared" si="213"/>
        <v>Valid</v>
      </c>
      <c r="AK1048" t="str">
        <f t="shared" si="220"/>
        <v xml:space="preserve">Valid </v>
      </c>
      <c r="AL1048" t="str">
        <f>IF(AND(Audit_Data[[#This Row],[Recency]]&gt;=0,Audit_Data[[#This Row],[Recency]]&lt;=100),"Valid","Invalid")</f>
        <v>Valid</v>
      </c>
      <c r="AM1048" t="str">
        <f t="shared" si="214"/>
        <v>Valid</v>
      </c>
      <c r="AN1048" t="str">
        <f t="shared" si="215"/>
        <v>Valid</v>
      </c>
      <c r="AO1048" t="str">
        <f t="shared" si="216"/>
        <v>Valid</v>
      </c>
      <c r="AP1048" t="str">
        <f t="shared" si="217"/>
        <v>Valid</v>
      </c>
      <c r="AQ1048" t="str">
        <f>IF(Audit_Data[[#This Row],[Z_CostContact]]=3,"Valid","Invalid")</f>
        <v>Valid</v>
      </c>
      <c r="AR1048" t="str">
        <f t="shared" si="218"/>
        <v>Valid</v>
      </c>
      <c r="AS1048" t="str">
        <f t="shared" si="219"/>
        <v>Valid</v>
      </c>
    </row>
    <row r="1049" spans="1:45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 t="str">
        <f t="shared" si="208"/>
        <v>Ok</v>
      </c>
      <c r="AE1049" t="str">
        <f>IF(AND(Audit_Data[[#This Row],[Year_Birth]]&gt;=1900,Audit_Data[[#This Row],[Year_Birth]]&lt;=2010),"OK","Invalid")</f>
        <v>OK</v>
      </c>
      <c r="AF1049" t="str">
        <f t="shared" si="209"/>
        <v>Valid</v>
      </c>
      <c r="AG1049" t="str">
        <f t="shared" si="210"/>
        <v>Valid</v>
      </c>
      <c r="AH1049" t="str">
        <f t="shared" si="211"/>
        <v>Valid</v>
      </c>
      <c r="AI1049" t="str">
        <f t="shared" si="212"/>
        <v>Valid</v>
      </c>
      <c r="AJ1049" t="str">
        <f t="shared" si="213"/>
        <v>Valid</v>
      </c>
      <c r="AK1049" t="str">
        <f t="shared" si="220"/>
        <v xml:space="preserve">Valid </v>
      </c>
      <c r="AL1049" t="str">
        <f>IF(AND(Audit_Data[[#This Row],[Recency]]&gt;=0,Audit_Data[[#This Row],[Recency]]&lt;=100),"Valid","Invalid")</f>
        <v>Valid</v>
      </c>
      <c r="AM1049" t="str">
        <f t="shared" si="214"/>
        <v>Valid</v>
      </c>
      <c r="AN1049" t="str">
        <f t="shared" si="215"/>
        <v>Valid</v>
      </c>
      <c r="AO1049" t="str">
        <f t="shared" si="216"/>
        <v>Valid</v>
      </c>
      <c r="AP1049" t="str">
        <f t="shared" si="217"/>
        <v>Valid</v>
      </c>
      <c r="AQ1049" t="str">
        <f>IF(Audit_Data[[#This Row],[Z_CostContact]]=3,"Valid","Invalid")</f>
        <v>Valid</v>
      </c>
      <c r="AR1049" t="str">
        <f t="shared" si="218"/>
        <v>Valid</v>
      </c>
      <c r="AS1049" t="str">
        <f t="shared" si="219"/>
        <v>Valid</v>
      </c>
    </row>
    <row r="1050" spans="1:45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 t="str">
        <f t="shared" si="208"/>
        <v>Ok</v>
      </c>
      <c r="AE1050" t="str">
        <f>IF(AND(Audit_Data[[#This Row],[Year_Birth]]&gt;=1900,Audit_Data[[#This Row],[Year_Birth]]&lt;=2010),"OK","Invalid")</f>
        <v>OK</v>
      </c>
      <c r="AF1050" t="str">
        <f t="shared" si="209"/>
        <v>Valid</v>
      </c>
      <c r="AG1050" t="str">
        <f t="shared" si="210"/>
        <v>Valid</v>
      </c>
      <c r="AH1050" t="str">
        <f t="shared" si="211"/>
        <v>Valid</v>
      </c>
      <c r="AI1050" t="str">
        <f t="shared" si="212"/>
        <v>Valid</v>
      </c>
      <c r="AJ1050" t="str">
        <f t="shared" si="213"/>
        <v>Valid</v>
      </c>
      <c r="AK1050" t="str">
        <f t="shared" si="220"/>
        <v xml:space="preserve">Valid </v>
      </c>
      <c r="AL1050" t="str">
        <f>IF(AND(Audit_Data[[#This Row],[Recency]]&gt;=0,Audit_Data[[#This Row],[Recency]]&lt;=100),"Valid","Invalid")</f>
        <v>Valid</v>
      </c>
      <c r="AM1050" t="str">
        <f t="shared" si="214"/>
        <v>Valid</v>
      </c>
      <c r="AN1050" t="str">
        <f t="shared" si="215"/>
        <v>Valid</v>
      </c>
      <c r="AO1050" t="str">
        <f t="shared" si="216"/>
        <v>Valid</v>
      </c>
      <c r="AP1050" t="str">
        <f t="shared" si="217"/>
        <v>Valid</v>
      </c>
      <c r="AQ1050" t="str">
        <f>IF(Audit_Data[[#This Row],[Z_CostContact]]=3,"Valid","Invalid")</f>
        <v>Valid</v>
      </c>
      <c r="AR1050" t="str">
        <f t="shared" si="218"/>
        <v>Valid</v>
      </c>
      <c r="AS1050" t="str">
        <f t="shared" si="219"/>
        <v>Valid</v>
      </c>
    </row>
    <row r="1051" spans="1:45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 t="str">
        <f t="shared" si="208"/>
        <v>Ok</v>
      </c>
      <c r="AE1051" t="str">
        <f>IF(AND(Audit_Data[[#This Row],[Year_Birth]]&gt;=1900,Audit_Data[[#This Row],[Year_Birth]]&lt;=2010),"OK","Invalid")</f>
        <v>OK</v>
      </c>
      <c r="AF1051" t="str">
        <f t="shared" si="209"/>
        <v>Valid</v>
      </c>
      <c r="AG1051" t="str">
        <f t="shared" si="210"/>
        <v>Valid</v>
      </c>
      <c r="AH1051" t="str">
        <f t="shared" si="211"/>
        <v>Valid</v>
      </c>
      <c r="AI1051" t="str">
        <f t="shared" si="212"/>
        <v>Valid</v>
      </c>
      <c r="AJ1051" t="str">
        <f t="shared" si="213"/>
        <v>Valid</v>
      </c>
      <c r="AK1051" t="str">
        <f t="shared" si="220"/>
        <v xml:space="preserve">Valid </v>
      </c>
      <c r="AL1051" t="str">
        <f>IF(AND(Audit_Data[[#This Row],[Recency]]&gt;=0,Audit_Data[[#This Row],[Recency]]&lt;=100),"Valid","Invalid")</f>
        <v>Valid</v>
      </c>
      <c r="AM1051" t="str">
        <f t="shared" si="214"/>
        <v>Valid</v>
      </c>
      <c r="AN1051" t="str">
        <f t="shared" si="215"/>
        <v>Valid</v>
      </c>
      <c r="AO1051" t="str">
        <f t="shared" si="216"/>
        <v>Valid</v>
      </c>
      <c r="AP1051" t="str">
        <f t="shared" si="217"/>
        <v>Valid</v>
      </c>
      <c r="AQ1051" t="str">
        <f>IF(Audit_Data[[#This Row],[Z_CostContact]]=3,"Valid","Invalid")</f>
        <v>Valid</v>
      </c>
      <c r="AR1051" t="str">
        <f t="shared" si="218"/>
        <v>Valid</v>
      </c>
      <c r="AS1051" t="str">
        <f t="shared" si="219"/>
        <v>Valid</v>
      </c>
    </row>
    <row r="1052" spans="1:45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 t="str">
        <f t="shared" si="208"/>
        <v>Ok</v>
      </c>
      <c r="AE1052" t="str">
        <f>IF(AND(Audit_Data[[#This Row],[Year_Birth]]&gt;=1900,Audit_Data[[#This Row],[Year_Birth]]&lt;=2010),"OK","Invalid")</f>
        <v>OK</v>
      </c>
      <c r="AF1052" t="str">
        <f t="shared" si="209"/>
        <v>Valid</v>
      </c>
      <c r="AG1052" t="str">
        <f t="shared" si="210"/>
        <v>Valid</v>
      </c>
      <c r="AH1052" t="str">
        <f t="shared" si="211"/>
        <v>Valid</v>
      </c>
      <c r="AI1052" t="str">
        <f t="shared" si="212"/>
        <v>Valid</v>
      </c>
      <c r="AJ1052" t="str">
        <f t="shared" si="213"/>
        <v>Valid</v>
      </c>
      <c r="AK1052" t="str">
        <f t="shared" si="220"/>
        <v xml:space="preserve">Valid </v>
      </c>
      <c r="AL1052" t="str">
        <f>IF(AND(Audit_Data[[#This Row],[Recency]]&gt;=0,Audit_Data[[#This Row],[Recency]]&lt;=100),"Valid","Invalid")</f>
        <v>Valid</v>
      </c>
      <c r="AM1052" t="str">
        <f t="shared" si="214"/>
        <v>Valid</v>
      </c>
      <c r="AN1052" t="str">
        <f t="shared" si="215"/>
        <v>Valid</v>
      </c>
      <c r="AO1052" t="str">
        <f t="shared" si="216"/>
        <v>Valid</v>
      </c>
      <c r="AP1052" t="str">
        <f t="shared" si="217"/>
        <v>Valid</v>
      </c>
      <c r="AQ1052" t="str">
        <f>IF(Audit_Data[[#This Row],[Z_CostContact]]=3,"Valid","Invalid")</f>
        <v>Valid</v>
      </c>
      <c r="AR1052" t="str">
        <f t="shared" si="218"/>
        <v>Valid</v>
      </c>
      <c r="AS1052" t="str">
        <f t="shared" si="219"/>
        <v>Valid</v>
      </c>
    </row>
    <row r="1053" spans="1:45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 t="str">
        <f t="shared" si="208"/>
        <v>Ok</v>
      </c>
      <c r="AE1053" t="str">
        <f>IF(AND(Audit_Data[[#This Row],[Year_Birth]]&gt;=1900,Audit_Data[[#This Row],[Year_Birth]]&lt;=2010),"OK","Invalid")</f>
        <v>OK</v>
      </c>
      <c r="AF1053" t="str">
        <f t="shared" si="209"/>
        <v>Valid</v>
      </c>
      <c r="AG1053" t="str">
        <f t="shared" si="210"/>
        <v>Valid</v>
      </c>
      <c r="AH1053" t="str">
        <f t="shared" si="211"/>
        <v>Valid</v>
      </c>
      <c r="AI1053" t="str">
        <f t="shared" si="212"/>
        <v>Valid</v>
      </c>
      <c r="AJ1053" t="str">
        <f t="shared" si="213"/>
        <v>Valid</v>
      </c>
      <c r="AK1053" t="str">
        <f t="shared" si="220"/>
        <v xml:space="preserve">Valid </v>
      </c>
      <c r="AL1053" t="str">
        <f>IF(AND(Audit_Data[[#This Row],[Recency]]&gt;=0,Audit_Data[[#This Row],[Recency]]&lt;=100),"Valid","Invalid")</f>
        <v>Valid</v>
      </c>
      <c r="AM1053" t="str">
        <f t="shared" si="214"/>
        <v>Valid</v>
      </c>
      <c r="AN1053" t="str">
        <f t="shared" si="215"/>
        <v>Valid</v>
      </c>
      <c r="AO1053" t="str">
        <f t="shared" si="216"/>
        <v>Valid</v>
      </c>
      <c r="AP1053" t="str">
        <f t="shared" si="217"/>
        <v>Valid</v>
      </c>
      <c r="AQ1053" t="str">
        <f>IF(Audit_Data[[#This Row],[Z_CostContact]]=3,"Valid","Invalid")</f>
        <v>Valid</v>
      </c>
      <c r="AR1053" t="str">
        <f t="shared" si="218"/>
        <v>Valid</v>
      </c>
      <c r="AS1053" t="str">
        <f t="shared" si="219"/>
        <v>Valid</v>
      </c>
    </row>
    <row r="1054" spans="1:45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 t="str">
        <f t="shared" si="208"/>
        <v>Ok</v>
      </c>
      <c r="AE1054" t="str">
        <f>IF(AND(Audit_Data[[#This Row],[Year_Birth]]&gt;=1900,Audit_Data[[#This Row],[Year_Birth]]&lt;=2010),"OK","Invalid")</f>
        <v>OK</v>
      </c>
      <c r="AF1054" t="str">
        <f t="shared" si="209"/>
        <v>Valid</v>
      </c>
      <c r="AG1054" t="str">
        <f t="shared" si="210"/>
        <v>Valid</v>
      </c>
      <c r="AH1054" t="str">
        <f t="shared" si="211"/>
        <v>Valid</v>
      </c>
      <c r="AI1054" t="str">
        <f t="shared" si="212"/>
        <v>Valid</v>
      </c>
      <c r="AJ1054" t="str">
        <f t="shared" si="213"/>
        <v>Valid</v>
      </c>
      <c r="AK1054" t="str">
        <f t="shared" si="220"/>
        <v xml:space="preserve">Valid </v>
      </c>
      <c r="AL1054" t="str">
        <f>IF(AND(Audit_Data[[#This Row],[Recency]]&gt;=0,Audit_Data[[#This Row],[Recency]]&lt;=100),"Valid","Invalid")</f>
        <v>Valid</v>
      </c>
      <c r="AM1054" t="str">
        <f t="shared" si="214"/>
        <v>Valid</v>
      </c>
      <c r="AN1054" t="str">
        <f t="shared" si="215"/>
        <v>Valid</v>
      </c>
      <c r="AO1054" t="str">
        <f t="shared" si="216"/>
        <v>Valid</v>
      </c>
      <c r="AP1054" t="str">
        <f t="shared" si="217"/>
        <v>Valid</v>
      </c>
      <c r="AQ1054" t="str">
        <f>IF(Audit_Data[[#This Row],[Z_CostContact]]=3,"Valid","Invalid")</f>
        <v>Valid</v>
      </c>
      <c r="AR1054" t="str">
        <f t="shared" si="218"/>
        <v>Valid</v>
      </c>
      <c r="AS1054" t="str">
        <f t="shared" si="219"/>
        <v>Valid</v>
      </c>
    </row>
    <row r="1055" spans="1:45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 t="str">
        <f t="shared" si="208"/>
        <v>Ok</v>
      </c>
      <c r="AE1055" t="str">
        <f>IF(AND(Audit_Data[[#This Row],[Year_Birth]]&gt;=1900,Audit_Data[[#This Row],[Year_Birth]]&lt;=2010),"OK","Invalid")</f>
        <v>OK</v>
      </c>
      <c r="AF1055" t="str">
        <f t="shared" si="209"/>
        <v>Valid</v>
      </c>
      <c r="AG1055" t="str">
        <f t="shared" si="210"/>
        <v>Valid</v>
      </c>
      <c r="AH1055" t="str">
        <f t="shared" si="211"/>
        <v>Valid</v>
      </c>
      <c r="AI1055" t="str">
        <f t="shared" si="212"/>
        <v>Valid</v>
      </c>
      <c r="AJ1055" t="str">
        <f t="shared" si="213"/>
        <v>Valid</v>
      </c>
      <c r="AK1055" t="str">
        <f t="shared" si="220"/>
        <v xml:space="preserve">Valid </v>
      </c>
      <c r="AL1055" t="str">
        <f>IF(AND(Audit_Data[[#This Row],[Recency]]&gt;=0,Audit_Data[[#This Row],[Recency]]&lt;=100),"Valid","Invalid")</f>
        <v>Valid</v>
      </c>
      <c r="AM1055" t="str">
        <f t="shared" si="214"/>
        <v>Valid</v>
      </c>
      <c r="AN1055" t="str">
        <f t="shared" si="215"/>
        <v>Valid</v>
      </c>
      <c r="AO1055" t="str">
        <f t="shared" si="216"/>
        <v>Valid</v>
      </c>
      <c r="AP1055" t="str">
        <f t="shared" si="217"/>
        <v>Valid</v>
      </c>
      <c r="AQ1055" t="str">
        <f>IF(Audit_Data[[#This Row],[Z_CostContact]]=3,"Valid","Invalid")</f>
        <v>Valid</v>
      </c>
      <c r="AR1055" t="str">
        <f t="shared" si="218"/>
        <v>Valid</v>
      </c>
      <c r="AS1055" t="str">
        <f t="shared" si="219"/>
        <v>Valid</v>
      </c>
    </row>
    <row r="1056" spans="1:45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 t="str">
        <f t="shared" si="208"/>
        <v>Ok</v>
      </c>
      <c r="AE1056" t="str">
        <f>IF(AND(Audit_Data[[#This Row],[Year_Birth]]&gt;=1900,Audit_Data[[#This Row],[Year_Birth]]&lt;=2010),"OK","Invalid")</f>
        <v>OK</v>
      </c>
      <c r="AF1056" t="str">
        <f t="shared" si="209"/>
        <v>Valid</v>
      </c>
      <c r="AG1056" t="str">
        <f t="shared" si="210"/>
        <v>Valid</v>
      </c>
      <c r="AH1056" t="str">
        <f t="shared" si="211"/>
        <v>Valid</v>
      </c>
      <c r="AI1056" t="str">
        <f t="shared" si="212"/>
        <v>Valid</v>
      </c>
      <c r="AJ1056" t="str">
        <f t="shared" si="213"/>
        <v>Valid</v>
      </c>
      <c r="AK1056" t="str">
        <f t="shared" si="220"/>
        <v xml:space="preserve">Valid </v>
      </c>
      <c r="AL1056" t="str">
        <f>IF(AND(Audit_Data[[#This Row],[Recency]]&gt;=0,Audit_Data[[#This Row],[Recency]]&lt;=100),"Valid","Invalid")</f>
        <v>Valid</v>
      </c>
      <c r="AM1056" t="str">
        <f t="shared" si="214"/>
        <v>Valid</v>
      </c>
      <c r="AN1056" t="str">
        <f t="shared" si="215"/>
        <v>Valid</v>
      </c>
      <c r="AO1056" t="str">
        <f t="shared" si="216"/>
        <v>Valid</v>
      </c>
      <c r="AP1056" t="str">
        <f t="shared" si="217"/>
        <v>Valid</v>
      </c>
      <c r="AQ1056" t="str">
        <f>IF(Audit_Data[[#This Row],[Z_CostContact]]=3,"Valid","Invalid")</f>
        <v>Valid</v>
      </c>
      <c r="AR1056" t="str">
        <f t="shared" si="218"/>
        <v>Valid</v>
      </c>
      <c r="AS1056" t="str">
        <f t="shared" si="219"/>
        <v>Valid</v>
      </c>
    </row>
    <row r="1057" spans="1:45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 t="str">
        <f t="shared" si="208"/>
        <v>Ok</v>
      </c>
      <c r="AE1057" t="str">
        <f>IF(AND(Audit_Data[[#This Row],[Year_Birth]]&gt;=1900,Audit_Data[[#This Row],[Year_Birth]]&lt;=2010),"OK","Invalid")</f>
        <v>OK</v>
      </c>
      <c r="AF1057" t="str">
        <f t="shared" si="209"/>
        <v>Valid</v>
      </c>
      <c r="AG1057" t="str">
        <f t="shared" si="210"/>
        <v>Valid</v>
      </c>
      <c r="AH1057" t="str">
        <f t="shared" si="211"/>
        <v>Valid</v>
      </c>
      <c r="AI1057" t="str">
        <f t="shared" si="212"/>
        <v>Valid</v>
      </c>
      <c r="AJ1057" t="str">
        <f t="shared" si="213"/>
        <v>Valid</v>
      </c>
      <c r="AK1057" t="str">
        <f t="shared" si="220"/>
        <v xml:space="preserve">Valid </v>
      </c>
      <c r="AL1057" t="str">
        <f>IF(AND(Audit_Data[[#This Row],[Recency]]&gt;=0,Audit_Data[[#This Row],[Recency]]&lt;=100),"Valid","Invalid")</f>
        <v>Valid</v>
      </c>
      <c r="AM1057" t="str">
        <f t="shared" si="214"/>
        <v>Valid</v>
      </c>
      <c r="AN1057" t="str">
        <f t="shared" si="215"/>
        <v>Valid</v>
      </c>
      <c r="AO1057" t="str">
        <f t="shared" si="216"/>
        <v>Valid</v>
      </c>
      <c r="AP1057" t="str">
        <f t="shared" si="217"/>
        <v>Valid</v>
      </c>
      <c r="AQ1057" t="str">
        <f>IF(Audit_Data[[#This Row],[Z_CostContact]]=3,"Valid","Invalid")</f>
        <v>Valid</v>
      </c>
      <c r="AR1057" t="str">
        <f t="shared" si="218"/>
        <v>Valid</v>
      </c>
      <c r="AS1057" t="str">
        <f t="shared" si="219"/>
        <v>Valid</v>
      </c>
    </row>
    <row r="1058" spans="1:45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 t="str">
        <f t="shared" si="208"/>
        <v>Ok</v>
      </c>
      <c r="AE1058" t="str">
        <f>IF(AND(Audit_Data[[#This Row],[Year_Birth]]&gt;=1900,Audit_Data[[#This Row],[Year_Birth]]&lt;=2010),"OK","Invalid")</f>
        <v>OK</v>
      </c>
      <c r="AF1058" t="str">
        <f t="shared" si="209"/>
        <v>Valid</v>
      </c>
      <c r="AG1058" t="str">
        <f t="shared" si="210"/>
        <v>Valid</v>
      </c>
      <c r="AH1058" t="str">
        <f t="shared" si="211"/>
        <v>Valid</v>
      </c>
      <c r="AI1058" t="str">
        <f t="shared" si="212"/>
        <v>Valid</v>
      </c>
      <c r="AJ1058" t="str">
        <f t="shared" si="213"/>
        <v>Valid</v>
      </c>
      <c r="AK1058" t="str">
        <f t="shared" si="220"/>
        <v xml:space="preserve">Valid </v>
      </c>
      <c r="AL1058" t="str">
        <f>IF(AND(Audit_Data[[#This Row],[Recency]]&gt;=0,Audit_Data[[#This Row],[Recency]]&lt;=100),"Valid","Invalid")</f>
        <v>Valid</v>
      </c>
      <c r="AM1058" t="str">
        <f t="shared" si="214"/>
        <v>Valid</v>
      </c>
      <c r="AN1058" t="str">
        <f t="shared" si="215"/>
        <v>Valid</v>
      </c>
      <c r="AO1058" t="str">
        <f t="shared" si="216"/>
        <v>Valid</v>
      </c>
      <c r="AP1058" t="str">
        <f t="shared" si="217"/>
        <v>Valid</v>
      </c>
      <c r="AQ1058" t="str">
        <f>IF(Audit_Data[[#This Row],[Z_CostContact]]=3,"Valid","Invalid")</f>
        <v>Valid</v>
      </c>
      <c r="AR1058" t="str">
        <f t="shared" si="218"/>
        <v>Valid</v>
      </c>
      <c r="AS1058" t="str">
        <f t="shared" si="219"/>
        <v>Valid</v>
      </c>
    </row>
    <row r="1059" spans="1:45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 t="str">
        <f t="shared" si="208"/>
        <v>Ok</v>
      </c>
      <c r="AE1059" t="str">
        <f>IF(AND(Audit_Data[[#This Row],[Year_Birth]]&gt;=1900,Audit_Data[[#This Row],[Year_Birth]]&lt;=2010),"OK","Invalid")</f>
        <v>OK</v>
      </c>
      <c r="AF1059" t="str">
        <f t="shared" si="209"/>
        <v>Valid</v>
      </c>
      <c r="AG1059" t="str">
        <f t="shared" si="210"/>
        <v>Valid</v>
      </c>
      <c r="AH1059" t="str">
        <f t="shared" si="211"/>
        <v>Valid</v>
      </c>
      <c r="AI1059" t="str">
        <f t="shared" si="212"/>
        <v>Valid</v>
      </c>
      <c r="AJ1059" t="str">
        <f t="shared" si="213"/>
        <v>Valid</v>
      </c>
      <c r="AK1059" t="str">
        <f t="shared" si="220"/>
        <v xml:space="preserve">Valid </v>
      </c>
      <c r="AL1059" t="str">
        <f>IF(AND(Audit_Data[[#This Row],[Recency]]&gt;=0,Audit_Data[[#This Row],[Recency]]&lt;=100),"Valid","Invalid")</f>
        <v>Valid</v>
      </c>
      <c r="AM1059" t="str">
        <f t="shared" si="214"/>
        <v>Valid</v>
      </c>
      <c r="AN1059" t="str">
        <f t="shared" si="215"/>
        <v>Valid</v>
      </c>
      <c r="AO1059" t="str">
        <f t="shared" si="216"/>
        <v>Valid</v>
      </c>
      <c r="AP1059" t="str">
        <f t="shared" si="217"/>
        <v>Valid</v>
      </c>
      <c r="AQ1059" t="str">
        <f>IF(Audit_Data[[#This Row],[Z_CostContact]]=3,"Valid","Invalid")</f>
        <v>Valid</v>
      </c>
      <c r="AR1059" t="str">
        <f t="shared" si="218"/>
        <v>Valid</v>
      </c>
      <c r="AS1059" t="str">
        <f t="shared" si="219"/>
        <v>Valid</v>
      </c>
    </row>
    <row r="1060" spans="1:45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 t="str">
        <f t="shared" si="208"/>
        <v>Ok</v>
      </c>
      <c r="AE1060" t="str">
        <f>IF(AND(Audit_Data[[#This Row],[Year_Birth]]&gt;=1900,Audit_Data[[#This Row],[Year_Birth]]&lt;=2010),"OK","Invalid")</f>
        <v>OK</v>
      </c>
      <c r="AF1060" t="str">
        <f t="shared" si="209"/>
        <v>Valid</v>
      </c>
      <c r="AG1060" t="str">
        <f t="shared" si="210"/>
        <v>Valid</v>
      </c>
      <c r="AH1060" t="str">
        <f t="shared" si="211"/>
        <v>Valid</v>
      </c>
      <c r="AI1060" t="str">
        <f t="shared" si="212"/>
        <v>Valid</v>
      </c>
      <c r="AJ1060" t="str">
        <f t="shared" si="213"/>
        <v>Valid</v>
      </c>
      <c r="AK1060" t="str">
        <f t="shared" si="220"/>
        <v xml:space="preserve">Valid </v>
      </c>
      <c r="AL1060" t="str">
        <f>IF(AND(Audit_Data[[#This Row],[Recency]]&gt;=0,Audit_Data[[#This Row],[Recency]]&lt;=100),"Valid","Invalid")</f>
        <v>Valid</v>
      </c>
      <c r="AM1060" t="str">
        <f t="shared" si="214"/>
        <v>Valid</v>
      </c>
      <c r="AN1060" t="str">
        <f t="shared" si="215"/>
        <v>Valid</v>
      </c>
      <c r="AO1060" t="str">
        <f t="shared" si="216"/>
        <v>Valid</v>
      </c>
      <c r="AP1060" t="str">
        <f t="shared" si="217"/>
        <v>Valid</v>
      </c>
      <c r="AQ1060" t="str">
        <f>IF(Audit_Data[[#This Row],[Z_CostContact]]=3,"Valid","Invalid")</f>
        <v>Valid</v>
      </c>
      <c r="AR1060" t="str">
        <f t="shared" si="218"/>
        <v>Valid</v>
      </c>
      <c r="AS1060" t="str">
        <f t="shared" si="219"/>
        <v>Valid</v>
      </c>
    </row>
    <row r="1061" spans="1:45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 t="str">
        <f t="shared" si="208"/>
        <v>Ok</v>
      </c>
      <c r="AE1061" t="str">
        <f>IF(AND(Audit_Data[[#This Row],[Year_Birth]]&gt;=1900,Audit_Data[[#This Row],[Year_Birth]]&lt;=2010),"OK","Invalid")</f>
        <v>OK</v>
      </c>
      <c r="AF1061" t="str">
        <f t="shared" si="209"/>
        <v>Valid</v>
      </c>
      <c r="AG1061" t="str">
        <f t="shared" si="210"/>
        <v>Valid</v>
      </c>
      <c r="AH1061" t="str">
        <f t="shared" si="211"/>
        <v>Valid</v>
      </c>
      <c r="AI1061" t="str">
        <f t="shared" si="212"/>
        <v>Valid</v>
      </c>
      <c r="AJ1061" t="str">
        <f t="shared" si="213"/>
        <v>Valid</v>
      </c>
      <c r="AK1061" t="str">
        <f t="shared" si="220"/>
        <v xml:space="preserve">Valid </v>
      </c>
      <c r="AL1061" t="str">
        <f>IF(AND(Audit_Data[[#This Row],[Recency]]&gt;=0,Audit_Data[[#This Row],[Recency]]&lt;=100),"Valid","Invalid")</f>
        <v>Valid</v>
      </c>
      <c r="AM1061" t="str">
        <f t="shared" si="214"/>
        <v>Valid</v>
      </c>
      <c r="AN1061" t="str">
        <f t="shared" si="215"/>
        <v>Valid</v>
      </c>
      <c r="AO1061" t="str">
        <f t="shared" si="216"/>
        <v>Valid</v>
      </c>
      <c r="AP1061" t="str">
        <f t="shared" si="217"/>
        <v>Valid</v>
      </c>
      <c r="AQ1061" t="str">
        <f>IF(Audit_Data[[#This Row],[Z_CostContact]]=3,"Valid","Invalid")</f>
        <v>Valid</v>
      </c>
      <c r="AR1061" t="str">
        <f t="shared" si="218"/>
        <v>Valid</v>
      </c>
      <c r="AS1061" t="str">
        <f t="shared" si="219"/>
        <v>Valid</v>
      </c>
    </row>
    <row r="1062" spans="1:45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 t="str">
        <f t="shared" si="208"/>
        <v>Ok</v>
      </c>
      <c r="AE1062" t="str">
        <f>IF(AND(Audit_Data[[#This Row],[Year_Birth]]&gt;=1900,Audit_Data[[#This Row],[Year_Birth]]&lt;=2010),"OK","Invalid")</f>
        <v>OK</v>
      </c>
      <c r="AF1062" t="str">
        <f t="shared" si="209"/>
        <v>Valid</v>
      </c>
      <c r="AG1062" t="str">
        <f t="shared" si="210"/>
        <v>Valid</v>
      </c>
      <c r="AH1062" t="str">
        <f t="shared" si="211"/>
        <v>Valid</v>
      </c>
      <c r="AI1062" t="str">
        <f t="shared" si="212"/>
        <v>Valid</v>
      </c>
      <c r="AJ1062" t="str">
        <f t="shared" si="213"/>
        <v>Valid</v>
      </c>
      <c r="AK1062" t="str">
        <f t="shared" si="220"/>
        <v xml:space="preserve">Valid </v>
      </c>
      <c r="AL1062" t="str">
        <f>IF(AND(Audit_Data[[#This Row],[Recency]]&gt;=0,Audit_Data[[#This Row],[Recency]]&lt;=100),"Valid","Invalid")</f>
        <v>Valid</v>
      </c>
      <c r="AM1062" t="str">
        <f t="shared" si="214"/>
        <v>Valid</v>
      </c>
      <c r="AN1062" t="str">
        <f t="shared" si="215"/>
        <v>Valid</v>
      </c>
      <c r="AO1062" t="str">
        <f t="shared" si="216"/>
        <v>Valid</v>
      </c>
      <c r="AP1062" t="str">
        <f t="shared" si="217"/>
        <v>Valid</v>
      </c>
      <c r="AQ1062" t="str">
        <f>IF(Audit_Data[[#This Row],[Z_CostContact]]=3,"Valid","Invalid")</f>
        <v>Valid</v>
      </c>
      <c r="AR1062" t="str">
        <f t="shared" si="218"/>
        <v>Valid</v>
      </c>
      <c r="AS1062" t="str">
        <f t="shared" si="219"/>
        <v>Valid</v>
      </c>
    </row>
    <row r="1063" spans="1:45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 t="str">
        <f t="shared" si="208"/>
        <v>Ok</v>
      </c>
      <c r="AE1063" t="str">
        <f>IF(AND(Audit_Data[[#This Row],[Year_Birth]]&gt;=1900,Audit_Data[[#This Row],[Year_Birth]]&lt;=2010),"OK","Invalid")</f>
        <v>OK</v>
      </c>
      <c r="AF1063" t="str">
        <f t="shared" si="209"/>
        <v>Valid</v>
      </c>
      <c r="AG1063" t="str">
        <f t="shared" si="210"/>
        <v>Valid</v>
      </c>
      <c r="AH1063" t="str">
        <f t="shared" si="211"/>
        <v>Valid</v>
      </c>
      <c r="AI1063" t="str">
        <f t="shared" si="212"/>
        <v>Valid</v>
      </c>
      <c r="AJ1063" t="str">
        <f t="shared" si="213"/>
        <v>Valid</v>
      </c>
      <c r="AK1063" t="str">
        <f t="shared" si="220"/>
        <v xml:space="preserve">Valid </v>
      </c>
      <c r="AL1063" t="str">
        <f>IF(AND(Audit_Data[[#This Row],[Recency]]&gt;=0,Audit_Data[[#This Row],[Recency]]&lt;=100),"Valid","Invalid")</f>
        <v>Valid</v>
      </c>
      <c r="AM1063" t="str">
        <f t="shared" si="214"/>
        <v>Valid</v>
      </c>
      <c r="AN1063" t="str">
        <f t="shared" si="215"/>
        <v>Valid</v>
      </c>
      <c r="AO1063" t="str">
        <f t="shared" si="216"/>
        <v>Valid</v>
      </c>
      <c r="AP1063" t="str">
        <f t="shared" si="217"/>
        <v>Valid</v>
      </c>
      <c r="AQ1063" t="str">
        <f>IF(Audit_Data[[#This Row],[Z_CostContact]]=3,"Valid","Invalid")</f>
        <v>Valid</v>
      </c>
      <c r="AR1063" t="str">
        <f t="shared" si="218"/>
        <v>Valid</v>
      </c>
      <c r="AS1063" t="str">
        <f t="shared" si="219"/>
        <v>Valid</v>
      </c>
    </row>
    <row r="1064" spans="1:45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 t="str">
        <f t="shared" si="208"/>
        <v>Ok</v>
      </c>
      <c r="AE1064" t="str">
        <f>IF(AND(Audit_Data[[#This Row],[Year_Birth]]&gt;=1900,Audit_Data[[#This Row],[Year_Birth]]&lt;=2010),"OK","Invalid")</f>
        <v>OK</v>
      </c>
      <c r="AF1064" t="str">
        <f t="shared" si="209"/>
        <v>Valid</v>
      </c>
      <c r="AG1064" t="str">
        <f t="shared" si="210"/>
        <v>Valid</v>
      </c>
      <c r="AH1064" t="str">
        <f t="shared" si="211"/>
        <v>Valid</v>
      </c>
      <c r="AI1064" t="str">
        <f t="shared" si="212"/>
        <v>Valid</v>
      </c>
      <c r="AJ1064" t="str">
        <f t="shared" si="213"/>
        <v>Valid</v>
      </c>
      <c r="AK1064" t="str">
        <f t="shared" si="220"/>
        <v xml:space="preserve">Valid </v>
      </c>
      <c r="AL1064" t="str">
        <f>IF(AND(Audit_Data[[#This Row],[Recency]]&gt;=0,Audit_Data[[#This Row],[Recency]]&lt;=100),"Valid","Invalid")</f>
        <v>Valid</v>
      </c>
      <c r="AM1064" t="str">
        <f t="shared" si="214"/>
        <v>Valid</v>
      </c>
      <c r="AN1064" t="str">
        <f t="shared" si="215"/>
        <v>Valid</v>
      </c>
      <c r="AO1064" t="str">
        <f t="shared" si="216"/>
        <v>Valid</v>
      </c>
      <c r="AP1064" t="str">
        <f t="shared" si="217"/>
        <v>Valid</v>
      </c>
      <c r="AQ1064" t="str">
        <f>IF(Audit_Data[[#This Row],[Z_CostContact]]=3,"Valid","Invalid")</f>
        <v>Valid</v>
      </c>
      <c r="AR1064" t="str">
        <f t="shared" si="218"/>
        <v>Valid</v>
      </c>
      <c r="AS1064" t="str">
        <f t="shared" si="219"/>
        <v>Valid</v>
      </c>
    </row>
    <row r="1065" spans="1:45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 t="str">
        <f t="shared" si="208"/>
        <v>Ok</v>
      </c>
      <c r="AE1065" t="str">
        <f>IF(AND(Audit_Data[[#This Row],[Year_Birth]]&gt;=1900,Audit_Data[[#This Row],[Year_Birth]]&lt;=2010),"OK","Invalid")</f>
        <v>OK</v>
      </c>
      <c r="AF1065" t="str">
        <f t="shared" si="209"/>
        <v>Valid</v>
      </c>
      <c r="AG1065" t="str">
        <f t="shared" si="210"/>
        <v>Valid</v>
      </c>
      <c r="AH1065" t="str">
        <f t="shared" si="211"/>
        <v>Valid</v>
      </c>
      <c r="AI1065" t="str">
        <f t="shared" si="212"/>
        <v>Valid</v>
      </c>
      <c r="AJ1065" t="str">
        <f t="shared" si="213"/>
        <v>Valid</v>
      </c>
      <c r="AK1065" t="str">
        <f t="shared" si="220"/>
        <v xml:space="preserve">Valid </v>
      </c>
      <c r="AL1065" t="str">
        <f>IF(AND(Audit_Data[[#This Row],[Recency]]&gt;=0,Audit_Data[[#This Row],[Recency]]&lt;=100),"Valid","Invalid")</f>
        <v>Valid</v>
      </c>
      <c r="AM1065" t="str">
        <f t="shared" si="214"/>
        <v>Valid</v>
      </c>
      <c r="AN1065" t="str">
        <f t="shared" si="215"/>
        <v>Valid</v>
      </c>
      <c r="AO1065" t="str">
        <f t="shared" si="216"/>
        <v>Valid</v>
      </c>
      <c r="AP1065" t="str">
        <f t="shared" si="217"/>
        <v>Valid</v>
      </c>
      <c r="AQ1065" t="str">
        <f>IF(Audit_Data[[#This Row],[Z_CostContact]]=3,"Valid","Invalid")</f>
        <v>Valid</v>
      </c>
      <c r="AR1065" t="str">
        <f t="shared" si="218"/>
        <v>Valid</v>
      </c>
      <c r="AS1065" t="str">
        <f t="shared" si="219"/>
        <v>Valid</v>
      </c>
    </row>
    <row r="1066" spans="1:45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 t="str">
        <f t="shared" si="208"/>
        <v>Ok</v>
      </c>
      <c r="AE1066" t="str">
        <f>IF(AND(Audit_Data[[#This Row],[Year_Birth]]&gt;=1900,Audit_Data[[#This Row],[Year_Birth]]&lt;=2010),"OK","Invalid")</f>
        <v>OK</v>
      </c>
      <c r="AF1066" t="str">
        <f t="shared" si="209"/>
        <v>Valid</v>
      </c>
      <c r="AG1066" t="str">
        <f t="shared" si="210"/>
        <v>Valid</v>
      </c>
      <c r="AH1066" t="str">
        <f t="shared" si="211"/>
        <v>Valid</v>
      </c>
      <c r="AI1066" t="str">
        <f t="shared" si="212"/>
        <v>Valid</v>
      </c>
      <c r="AJ1066" t="str">
        <f t="shared" si="213"/>
        <v>Valid</v>
      </c>
      <c r="AK1066" t="str">
        <f t="shared" si="220"/>
        <v xml:space="preserve">Valid </v>
      </c>
      <c r="AL1066" t="str">
        <f>IF(AND(Audit_Data[[#This Row],[Recency]]&gt;=0,Audit_Data[[#This Row],[Recency]]&lt;=100),"Valid","Invalid")</f>
        <v>Valid</v>
      </c>
      <c r="AM1066" t="str">
        <f t="shared" si="214"/>
        <v>Valid</v>
      </c>
      <c r="AN1066" t="str">
        <f t="shared" si="215"/>
        <v>Valid</v>
      </c>
      <c r="AO1066" t="str">
        <f t="shared" si="216"/>
        <v>Valid</v>
      </c>
      <c r="AP1066" t="str">
        <f t="shared" si="217"/>
        <v>Valid</v>
      </c>
      <c r="AQ1066" t="str">
        <f>IF(Audit_Data[[#This Row],[Z_CostContact]]=3,"Valid","Invalid")</f>
        <v>Valid</v>
      </c>
      <c r="AR1066" t="str">
        <f t="shared" si="218"/>
        <v>Valid</v>
      </c>
      <c r="AS1066" t="str">
        <f t="shared" si="219"/>
        <v>Valid</v>
      </c>
    </row>
    <row r="1067" spans="1:45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 t="str">
        <f t="shared" si="208"/>
        <v>Ok</v>
      </c>
      <c r="AE1067" t="str">
        <f>IF(AND(Audit_Data[[#This Row],[Year_Birth]]&gt;=1900,Audit_Data[[#This Row],[Year_Birth]]&lt;=2010),"OK","Invalid")</f>
        <v>OK</v>
      </c>
      <c r="AF1067" t="str">
        <f t="shared" si="209"/>
        <v>Valid</v>
      </c>
      <c r="AG1067" t="str">
        <f t="shared" si="210"/>
        <v>Valid</v>
      </c>
      <c r="AH1067" t="str">
        <f t="shared" si="211"/>
        <v>Valid</v>
      </c>
      <c r="AI1067" t="str">
        <f t="shared" si="212"/>
        <v>Valid</v>
      </c>
      <c r="AJ1067" t="str">
        <f t="shared" si="213"/>
        <v>Valid</v>
      </c>
      <c r="AK1067" t="str">
        <f t="shared" si="220"/>
        <v xml:space="preserve">Valid </v>
      </c>
      <c r="AL1067" t="str">
        <f>IF(AND(Audit_Data[[#This Row],[Recency]]&gt;=0,Audit_Data[[#This Row],[Recency]]&lt;=100),"Valid","Invalid")</f>
        <v>Valid</v>
      </c>
      <c r="AM1067" t="str">
        <f t="shared" si="214"/>
        <v>Valid</v>
      </c>
      <c r="AN1067" t="str">
        <f t="shared" si="215"/>
        <v>Valid</v>
      </c>
      <c r="AO1067" t="str">
        <f t="shared" si="216"/>
        <v>Valid</v>
      </c>
      <c r="AP1067" t="str">
        <f t="shared" si="217"/>
        <v>Valid</v>
      </c>
      <c r="AQ1067" t="str">
        <f>IF(Audit_Data[[#This Row],[Z_CostContact]]=3,"Valid","Invalid")</f>
        <v>Valid</v>
      </c>
      <c r="AR1067" t="str">
        <f t="shared" si="218"/>
        <v>Valid</v>
      </c>
      <c r="AS1067" t="str">
        <f t="shared" si="219"/>
        <v>Valid</v>
      </c>
    </row>
    <row r="1068" spans="1:45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 t="str">
        <f t="shared" si="208"/>
        <v>Ok</v>
      </c>
      <c r="AE1068" t="str">
        <f>IF(AND(Audit_Data[[#This Row],[Year_Birth]]&gt;=1900,Audit_Data[[#This Row],[Year_Birth]]&lt;=2010),"OK","Invalid")</f>
        <v>OK</v>
      </c>
      <c r="AF1068" t="str">
        <f t="shared" si="209"/>
        <v>Valid</v>
      </c>
      <c r="AG1068" t="str">
        <f t="shared" si="210"/>
        <v>Valid</v>
      </c>
      <c r="AH1068" t="str">
        <f t="shared" si="211"/>
        <v>Valid</v>
      </c>
      <c r="AI1068" t="str">
        <f t="shared" si="212"/>
        <v>Valid</v>
      </c>
      <c r="AJ1068" t="str">
        <f t="shared" si="213"/>
        <v>Valid</v>
      </c>
      <c r="AK1068" t="str">
        <f t="shared" si="220"/>
        <v xml:space="preserve">Valid </v>
      </c>
      <c r="AL1068" t="str">
        <f>IF(AND(Audit_Data[[#This Row],[Recency]]&gt;=0,Audit_Data[[#This Row],[Recency]]&lt;=100),"Valid","Invalid")</f>
        <v>Valid</v>
      </c>
      <c r="AM1068" t="str">
        <f t="shared" si="214"/>
        <v>Valid</v>
      </c>
      <c r="AN1068" t="str">
        <f t="shared" si="215"/>
        <v>Valid</v>
      </c>
      <c r="AO1068" t="str">
        <f t="shared" si="216"/>
        <v>Valid</v>
      </c>
      <c r="AP1068" t="str">
        <f t="shared" si="217"/>
        <v>Valid</v>
      </c>
      <c r="AQ1068" t="str">
        <f>IF(Audit_Data[[#This Row],[Z_CostContact]]=3,"Valid","Invalid")</f>
        <v>Valid</v>
      </c>
      <c r="AR1068" t="str">
        <f t="shared" si="218"/>
        <v>Valid</v>
      </c>
      <c r="AS1068" t="str">
        <f t="shared" si="219"/>
        <v>Valid</v>
      </c>
    </row>
    <row r="1069" spans="1:45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 t="str">
        <f t="shared" si="208"/>
        <v>Ok</v>
      </c>
      <c r="AE1069" t="str">
        <f>IF(AND(Audit_Data[[#This Row],[Year_Birth]]&gt;=1900,Audit_Data[[#This Row],[Year_Birth]]&lt;=2010),"OK","Invalid")</f>
        <v>OK</v>
      </c>
      <c r="AF1069" t="str">
        <f t="shared" si="209"/>
        <v>Valid</v>
      </c>
      <c r="AG1069" t="str">
        <f t="shared" si="210"/>
        <v>Valid</v>
      </c>
      <c r="AH1069" t="str">
        <f t="shared" si="211"/>
        <v>Valid</v>
      </c>
      <c r="AI1069" t="str">
        <f t="shared" si="212"/>
        <v>Valid</v>
      </c>
      <c r="AJ1069" t="str">
        <f t="shared" si="213"/>
        <v>Valid</v>
      </c>
      <c r="AK1069" t="str">
        <f t="shared" si="220"/>
        <v xml:space="preserve">Valid </v>
      </c>
      <c r="AL1069" t="str">
        <f>IF(AND(Audit_Data[[#This Row],[Recency]]&gt;=0,Audit_Data[[#This Row],[Recency]]&lt;=100),"Valid","Invalid")</f>
        <v>Valid</v>
      </c>
      <c r="AM1069" t="str">
        <f t="shared" si="214"/>
        <v>Valid</v>
      </c>
      <c r="AN1069" t="str">
        <f t="shared" si="215"/>
        <v>Valid</v>
      </c>
      <c r="AO1069" t="str">
        <f t="shared" si="216"/>
        <v>Valid</v>
      </c>
      <c r="AP1069" t="str">
        <f t="shared" si="217"/>
        <v>Valid</v>
      </c>
      <c r="AQ1069" t="str">
        <f>IF(Audit_Data[[#This Row],[Z_CostContact]]=3,"Valid","Invalid")</f>
        <v>Valid</v>
      </c>
      <c r="AR1069" t="str">
        <f t="shared" si="218"/>
        <v>Valid</v>
      </c>
      <c r="AS1069" t="str">
        <f t="shared" si="219"/>
        <v>Valid</v>
      </c>
    </row>
    <row r="1070" spans="1:45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 t="str">
        <f t="shared" si="208"/>
        <v>Ok</v>
      </c>
      <c r="AE1070" t="str">
        <f>IF(AND(Audit_Data[[#This Row],[Year_Birth]]&gt;=1900,Audit_Data[[#This Row],[Year_Birth]]&lt;=2010),"OK","Invalid")</f>
        <v>OK</v>
      </c>
      <c r="AF1070" t="str">
        <f t="shared" si="209"/>
        <v>Valid</v>
      </c>
      <c r="AG1070" t="str">
        <f t="shared" si="210"/>
        <v>Valid</v>
      </c>
      <c r="AH1070" t="str">
        <f t="shared" si="211"/>
        <v>Valid</v>
      </c>
      <c r="AI1070" t="str">
        <f t="shared" si="212"/>
        <v>Valid</v>
      </c>
      <c r="AJ1070" t="str">
        <f t="shared" si="213"/>
        <v>Valid</v>
      </c>
      <c r="AK1070" t="str">
        <f t="shared" si="220"/>
        <v xml:space="preserve">Valid </v>
      </c>
      <c r="AL1070" t="str">
        <f>IF(AND(Audit_Data[[#This Row],[Recency]]&gt;=0,Audit_Data[[#This Row],[Recency]]&lt;=100),"Valid","Invalid")</f>
        <v>Valid</v>
      </c>
      <c r="AM1070" t="str">
        <f t="shared" si="214"/>
        <v>Valid</v>
      </c>
      <c r="AN1070" t="str">
        <f t="shared" si="215"/>
        <v>Valid</v>
      </c>
      <c r="AO1070" t="str">
        <f t="shared" si="216"/>
        <v>Valid</v>
      </c>
      <c r="AP1070" t="str">
        <f t="shared" si="217"/>
        <v>Valid</v>
      </c>
      <c r="AQ1070" t="str">
        <f>IF(Audit_Data[[#This Row],[Z_CostContact]]=3,"Valid","Invalid")</f>
        <v>Valid</v>
      </c>
      <c r="AR1070" t="str">
        <f t="shared" si="218"/>
        <v>Valid</v>
      </c>
      <c r="AS1070" t="str">
        <f t="shared" si="219"/>
        <v>Valid</v>
      </c>
    </row>
    <row r="1071" spans="1:45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 t="str">
        <f t="shared" si="208"/>
        <v>Ok</v>
      </c>
      <c r="AE1071" t="str">
        <f>IF(AND(Audit_Data[[#This Row],[Year_Birth]]&gt;=1900,Audit_Data[[#This Row],[Year_Birth]]&lt;=2010),"OK","Invalid")</f>
        <v>OK</v>
      </c>
      <c r="AF1071" t="str">
        <f t="shared" si="209"/>
        <v>Valid</v>
      </c>
      <c r="AG1071" t="str">
        <f t="shared" si="210"/>
        <v>Valid</v>
      </c>
      <c r="AH1071" t="str">
        <f t="shared" si="211"/>
        <v>Valid</v>
      </c>
      <c r="AI1071" t="str">
        <f t="shared" si="212"/>
        <v>Valid</v>
      </c>
      <c r="AJ1071" t="str">
        <f t="shared" si="213"/>
        <v>Valid</v>
      </c>
      <c r="AK1071" t="str">
        <f t="shared" si="220"/>
        <v xml:space="preserve">Valid </v>
      </c>
      <c r="AL1071" t="str">
        <f>IF(AND(Audit_Data[[#This Row],[Recency]]&gt;=0,Audit_Data[[#This Row],[Recency]]&lt;=100),"Valid","Invalid")</f>
        <v>Valid</v>
      </c>
      <c r="AM1071" t="str">
        <f t="shared" si="214"/>
        <v>Valid</v>
      </c>
      <c r="AN1071" t="str">
        <f t="shared" si="215"/>
        <v>Valid</v>
      </c>
      <c r="AO1071" t="str">
        <f t="shared" si="216"/>
        <v>Valid</v>
      </c>
      <c r="AP1071" t="str">
        <f t="shared" si="217"/>
        <v>Valid</v>
      </c>
      <c r="AQ1071" t="str">
        <f>IF(Audit_Data[[#This Row],[Z_CostContact]]=3,"Valid","Invalid")</f>
        <v>Valid</v>
      </c>
      <c r="AR1071" t="str">
        <f t="shared" si="218"/>
        <v>Valid</v>
      </c>
      <c r="AS1071" t="str">
        <f t="shared" si="219"/>
        <v>Valid</v>
      </c>
    </row>
    <row r="1072" spans="1:45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 t="str">
        <f t="shared" si="208"/>
        <v>Ok</v>
      </c>
      <c r="AE1072" t="str">
        <f>IF(AND(Audit_Data[[#This Row],[Year_Birth]]&gt;=1900,Audit_Data[[#This Row],[Year_Birth]]&lt;=2010),"OK","Invalid")</f>
        <v>OK</v>
      </c>
      <c r="AF1072" t="str">
        <f t="shared" si="209"/>
        <v>Valid</v>
      </c>
      <c r="AG1072" t="str">
        <f t="shared" si="210"/>
        <v>Valid</v>
      </c>
      <c r="AH1072" t="str">
        <f t="shared" si="211"/>
        <v>Valid</v>
      </c>
      <c r="AI1072" t="str">
        <f t="shared" si="212"/>
        <v>Valid</v>
      </c>
      <c r="AJ1072" t="str">
        <f t="shared" si="213"/>
        <v>Valid</v>
      </c>
      <c r="AK1072" t="str">
        <f t="shared" si="220"/>
        <v xml:space="preserve">Valid </v>
      </c>
      <c r="AL1072" t="str">
        <f>IF(AND(Audit_Data[[#This Row],[Recency]]&gt;=0,Audit_Data[[#This Row],[Recency]]&lt;=100),"Valid","Invalid")</f>
        <v>Valid</v>
      </c>
      <c r="AM1072" t="str">
        <f t="shared" si="214"/>
        <v>Valid</v>
      </c>
      <c r="AN1072" t="str">
        <f t="shared" si="215"/>
        <v>Valid</v>
      </c>
      <c r="AO1072" t="str">
        <f t="shared" si="216"/>
        <v>Valid</v>
      </c>
      <c r="AP1072" t="str">
        <f t="shared" si="217"/>
        <v>Valid</v>
      </c>
      <c r="AQ1072" t="str">
        <f>IF(Audit_Data[[#This Row],[Z_CostContact]]=3,"Valid","Invalid")</f>
        <v>Valid</v>
      </c>
      <c r="AR1072" t="str">
        <f t="shared" si="218"/>
        <v>Valid</v>
      </c>
      <c r="AS1072" t="str">
        <f t="shared" si="219"/>
        <v>Valid</v>
      </c>
    </row>
    <row r="1073" spans="1:45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 t="str">
        <f t="shared" si="208"/>
        <v>Ok</v>
      </c>
      <c r="AE1073" t="str">
        <f>IF(AND(Audit_Data[[#This Row],[Year_Birth]]&gt;=1900,Audit_Data[[#This Row],[Year_Birth]]&lt;=2010),"OK","Invalid")</f>
        <v>OK</v>
      </c>
      <c r="AF1073" t="str">
        <f t="shared" si="209"/>
        <v>Valid</v>
      </c>
      <c r="AG1073" t="str">
        <f t="shared" si="210"/>
        <v>Valid</v>
      </c>
      <c r="AH1073" t="str">
        <f t="shared" si="211"/>
        <v>Valid</v>
      </c>
      <c r="AI1073" t="str">
        <f t="shared" si="212"/>
        <v>Valid</v>
      </c>
      <c r="AJ1073" t="str">
        <f t="shared" si="213"/>
        <v>Valid</v>
      </c>
      <c r="AK1073" t="str">
        <f t="shared" si="220"/>
        <v xml:space="preserve">Valid </v>
      </c>
      <c r="AL1073" t="str">
        <f>IF(AND(Audit_Data[[#This Row],[Recency]]&gt;=0,Audit_Data[[#This Row],[Recency]]&lt;=100),"Valid","Invalid")</f>
        <v>Valid</v>
      </c>
      <c r="AM1073" t="str">
        <f t="shared" si="214"/>
        <v>Valid</v>
      </c>
      <c r="AN1073" t="str">
        <f t="shared" si="215"/>
        <v>Valid</v>
      </c>
      <c r="AO1073" t="str">
        <f t="shared" si="216"/>
        <v>Valid</v>
      </c>
      <c r="AP1073" t="str">
        <f t="shared" si="217"/>
        <v>Valid</v>
      </c>
      <c r="AQ1073" t="str">
        <f>IF(Audit_Data[[#This Row],[Z_CostContact]]=3,"Valid","Invalid")</f>
        <v>Valid</v>
      </c>
      <c r="AR1073" t="str">
        <f t="shared" si="218"/>
        <v>Valid</v>
      </c>
      <c r="AS1073" t="str">
        <f t="shared" si="219"/>
        <v>Valid</v>
      </c>
    </row>
    <row r="1074" spans="1:45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 t="str">
        <f t="shared" si="208"/>
        <v>Ok</v>
      </c>
      <c r="AE1074" t="str">
        <f>IF(AND(Audit_Data[[#This Row],[Year_Birth]]&gt;=1900,Audit_Data[[#This Row],[Year_Birth]]&lt;=2010),"OK","Invalid")</f>
        <v>OK</v>
      </c>
      <c r="AF1074" t="str">
        <f t="shared" si="209"/>
        <v>Valid</v>
      </c>
      <c r="AG1074" t="str">
        <f t="shared" si="210"/>
        <v>Valid</v>
      </c>
      <c r="AH1074" t="str">
        <f t="shared" si="211"/>
        <v>Valid</v>
      </c>
      <c r="AI1074" t="str">
        <f t="shared" si="212"/>
        <v>Valid</v>
      </c>
      <c r="AJ1074" t="str">
        <f t="shared" si="213"/>
        <v>Valid</v>
      </c>
      <c r="AK1074" t="str">
        <f t="shared" si="220"/>
        <v xml:space="preserve">Valid </v>
      </c>
      <c r="AL1074" t="str">
        <f>IF(AND(Audit_Data[[#This Row],[Recency]]&gt;=0,Audit_Data[[#This Row],[Recency]]&lt;=100),"Valid","Invalid")</f>
        <v>Valid</v>
      </c>
      <c r="AM1074" t="str">
        <f t="shared" si="214"/>
        <v>Valid</v>
      </c>
      <c r="AN1074" t="str">
        <f t="shared" si="215"/>
        <v>Valid</v>
      </c>
      <c r="AO1074" t="str">
        <f t="shared" si="216"/>
        <v>Valid</v>
      </c>
      <c r="AP1074" t="str">
        <f t="shared" si="217"/>
        <v>Valid</v>
      </c>
      <c r="AQ1074" t="str">
        <f>IF(Audit_Data[[#This Row],[Z_CostContact]]=3,"Valid","Invalid")</f>
        <v>Valid</v>
      </c>
      <c r="AR1074" t="str">
        <f t="shared" si="218"/>
        <v>Valid</v>
      </c>
      <c r="AS1074" t="str">
        <f t="shared" si="219"/>
        <v>Valid</v>
      </c>
    </row>
    <row r="1075" spans="1:45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 t="str">
        <f t="shared" si="208"/>
        <v>Ok</v>
      </c>
      <c r="AE1075" t="str">
        <f>IF(AND(Audit_Data[[#This Row],[Year_Birth]]&gt;=1900,Audit_Data[[#This Row],[Year_Birth]]&lt;=2010),"OK","Invalid")</f>
        <v>OK</v>
      </c>
      <c r="AF1075" t="str">
        <f t="shared" si="209"/>
        <v>Valid</v>
      </c>
      <c r="AG1075" t="str">
        <f t="shared" si="210"/>
        <v>Valid</v>
      </c>
      <c r="AH1075" t="str">
        <f t="shared" si="211"/>
        <v>Valid</v>
      </c>
      <c r="AI1075" t="str">
        <f t="shared" si="212"/>
        <v>Valid</v>
      </c>
      <c r="AJ1075" t="str">
        <f t="shared" si="213"/>
        <v>Valid</v>
      </c>
      <c r="AK1075" t="str">
        <f t="shared" si="220"/>
        <v xml:space="preserve">Valid </v>
      </c>
      <c r="AL1075" t="str">
        <f>IF(AND(Audit_Data[[#This Row],[Recency]]&gt;=0,Audit_Data[[#This Row],[Recency]]&lt;=100),"Valid","Invalid")</f>
        <v>Valid</v>
      </c>
      <c r="AM1075" t="str">
        <f t="shared" si="214"/>
        <v>Valid</v>
      </c>
      <c r="AN1075" t="str">
        <f t="shared" si="215"/>
        <v>Valid</v>
      </c>
      <c r="AO1075" t="str">
        <f t="shared" si="216"/>
        <v>Valid</v>
      </c>
      <c r="AP1075" t="str">
        <f t="shared" si="217"/>
        <v>Valid</v>
      </c>
      <c r="AQ1075" t="str">
        <f>IF(Audit_Data[[#This Row],[Z_CostContact]]=3,"Valid","Invalid")</f>
        <v>Valid</v>
      </c>
      <c r="AR1075" t="str">
        <f t="shared" si="218"/>
        <v>Valid</v>
      </c>
      <c r="AS1075" t="str">
        <f t="shared" si="219"/>
        <v>Valid</v>
      </c>
    </row>
    <row r="1076" spans="1:45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 t="str">
        <f t="shared" si="208"/>
        <v>Ok</v>
      </c>
      <c r="AE1076" t="str">
        <f>IF(AND(Audit_Data[[#This Row],[Year_Birth]]&gt;=1900,Audit_Data[[#This Row],[Year_Birth]]&lt;=2010),"OK","Invalid")</f>
        <v>OK</v>
      </c>
      <c r="AF1076" t="str">
        <f t="shared" si="209"/>
        <v>Valid</v>
      </c>
      <c r="AG1076" t="str">
        <f t="shared" si="210"/>
        <v>Valid</v>
      </c>
      <c r="AH1076" t="str">
        <f t="shared" si="211"/>
        <v>Valid</v>
      </c>
      <c r="AI1076" t="str">
        <f t="shared" si="212"/>
        <v>Valid</v>
      </c>
      <c r="AJ1076" t="str">
        <f t="shared" si="213"/>
        <v>Valid</v>
      </c>
      <c r="AK1076" t="str">
        <f t="shared" si="220"/>
        <v xml:space="preserve">Valid </v>
      </c>
      <c r="AL1076" t="str">
        <f>IF(AND(Audit_Data[[#This Row],[Recency]]&gt;=0,Audit_Data[[#This Row],[Recency]]&lt;=100),"Valid","Invalid")</f>
        <v>Valid</v>
      </c>
      <c r="AM1076" t="str">
        <f t="shared" si="214"/>
        <v>Valid</v>
      </c>
      <c r="AN1076" t="str">
        <f t="shared" si="215"/>
        <v>Valid</v>
      </c>
      <c r="AO1076" t="str">
        <f t="shared" si="216"/>
        <v>Valid</v>
      </c>
      <c r="AP1076" t="str">
        <f t="shared" si="217"/>
        <v>Valid</v>
      </c>
      <c r="AQ1076" t="str">
        <f>IF(Audit_Data[[#This Row],[Z_CostContact]]=3,"Valid","Invalid")</f>
        <v>Valid</v>
      </c>
      <c r="AR1076" t="str">
        <f t="shared" si="218"/>
        <v>Valid</v>
      </c>
      <c r="AS1076" t="str">
        <f t="shared" si="219"/>
        <v>Valid</v>
      </c>
    </row>
    <row r="1077" spans="1:45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 t="str">
        <f t="shared" si="208"/>
        <v>Ok</v>
      </c>
      <c r="AE1077" t="str">
        <f>IF(AND(Audit_Data[[#This Row],[Year_Birth]]&gt;=1900,Audit_Data[[#This Row],[Year_Birth]]&lt;=2010),"OK","Invalid")</f>
        <v>OK</v>
      </c>
      <c r="AF1077" t="str">
        <f t="shared" si="209"/>
        <v>Valid</v>
      </c>
      <c r="AG1077" t="str">
        <f t="shared" si="210"/>
        <v>Valid</v>
      </c>
      <c r="AH1077" t="str">
        <f t="shared" si="211"/>
        <v>Valid</v>
      </c>
      <c r="AI1077" t="str">
        <f t="shared" si="212"/>
        <v>Valid</v>
      </c>
      <c r="AJ1077" t="str">
        <f t="shared" si="213"/>
        <v>Valid</v>
      </c>
      <c r="AK1077" t="str">
        <f t="shared" si="220"/>
        <v xml:space="preserve">Valid </v>
      </c>
      <c r="AL1077" t="str">
        <f>IF(AND(Audit_Data[[#This Row],[Recency]]&gt;=0,Audit_Data[[#This Row],[Recency]]&lt;=100),"Valid","Invalid")</f>
        <v>Valid</v>
      </c>
      <c r="AM1077" t="str">
        <f t="shared" si="214"/>
        <v>Valid</v>
      </c>
      <c r="AN1077" t="str">
        <f t="shared" si="215"/>
        <v>Valid</v>
      </c>
      <c r="AO1077" t="str">
        <f t="shared" si="216"/>
        <v>Valid</v>
      </c>
      <c r="AP1077" t="str">
        <f t="shared" si="217"/>
        <v>Valid</v>
      </c>
      <c r="AQ1077" t="str">
        <f>IF(Audit_Data[[#This Row],[Z_CostContact]]=3,"Valid","Invalid")</f>
        <v>Valid</v>
      </c>
      <c r="AR1077" t="str">
        <f t="shared" si="218"/>
        <v>Valid</v>
      </c>
      <c r="AS1077" t="str">
        <f t="shared" si="219"/>
        <v>Valid</v>
      </c>
    </row>
    <row r="1078" spans="1:45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 t="str">
        <f t="shared" si="208"/>
        <v>Ok</v>
      </c>
      <c r="AE1078" t="str">
        <f>IF(AND(Audit_Data[[#This Row],[Year_Birth]]&gt;=1900,Audit_Data[[#This Row],[Year_Birth]]&lt;=2010),"OK","Invalid")</f>
        <v>OK</v>
      </c>
      <c r="AF1078" t="str">
        <f t="shared" si="209"/>
        <v>Valid</v>
      </c>
      <c r="AG1078" t="str">
        <f t="shared" si="210"/>
        <v>Valid</v>
      </c>
      <c r="AH1078" t="str">
        <f t="shared" si="211"/>
        <v>Valid</v>
      </c>
      <c r="AI1078" t="str">
        <f t="shared" si="212"/>
        <v>Valid</v>
      </c>
      <c r="AJ1078" t="str">
        <f t="shared" si="213"/>
        <v>Valid</v>
      </c>
      <c r="AK1078" t="str">
        <f t="shared" si="220"/>
        <v xml:space="preserve">Valid </v>
      </c>
      <c r="AL1078" t="str">
        <f>IF(AND(Audit_Data[[#This Row],[Recency]]&gt;=0,Audit_Data[[#This Row],[Recency]]&lt;=100),"Valid","Invalid")</f>
        <v>Valid</v>
      </c>
      <c r="AM1078" t="str">
        <f t="shared" si="214"/>
        <v>Valid</v>
      </c>
      <c r="AN1078" t="str">
        <f t="shared" si="215"/>
        <v>Valid</v>
      </c>
      <c r="AO1078" t="str">
        <f t="shared" si="216"/>
        <v>Valid</v>
      </c>
      <c r="AP1078" t="str">
        <f t="shared" si="217"/>
        <v>Valid</v>
      </c>
      <c r="AQ1078" t="str">
        <f>IF(Audit_Data[[#This Row],[Z_CostContact]]=3,"Valid","Invalid")</f>
        <v>Valid</v>
      </c>
      <c r="AR1078" t="str">
        <f t="shared" si="218"/>
        <v>Valid</v>
      </c>
      <c r="AS1078" t="str">
        <f t="shared" si="219"/>
        <v>Valid</v>
      </c>
    </row>
    <row r="1079" spans="1:45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 t="str">
        <f t="shared" si="208"/>
        <v>Ok</v>
      </c>
      <c r="AE1079" t="str">
        <f>IF(AND(Audit_Data[[#This Row],[Year_Birth]]&gt;=1900,Audit_Data[[#This Row],[Year_Birth]]&lt;=2010),"OK","Invalid")</f>
        <v>OK</v>
      </c>
      <c r="AF1079" t="str">
        <f t="shared" si="209"/>
        <v>Valid</v>
      </c>
      <c r="AG1079" t="str">
        <f t="shared" si="210"/>
        <v>Valid</v>
      </c>
      <c r="AH1079" t="str">
        <f t="shared" si="211"/>
        <v>Valid</v>
      </c>
      <c r="AI1079" t="str">
        <f t="shared" si="212"/>
        <v>Valid</v>
      </c>
      <c r="AJ1079" t="str">
        <f t="shared" si="213"/>
        <v>Valid</v>
      </c>
      <c r="AK1079" t="str">
        <f t="shared" si="220"/>
        <v xml:space="preserve">Valid </v>
      </c>
      <c r="AL1079" t="str">
        <f>IF(AND(Audit_Data[[#This Row],[Recency]]&gt;=0,Audit_Data[[#This Row],[Recency]]&lt;=100),"Valid","Invalid")</f>
        <v>Valid</v>
      </c>
      <c r="AM1079" t="str">
        <f t="shared" si="214"/>
        <v>Valid</v>
      </c>
      <c r="AN1079" t="str">
        <f t="shared" si="215"/>
        <v>Valid</v>
      </c>
      <c r="AO1079" t="str">
        <f t="shared" si="216"/>
        <v>Valid</v>
      </c>
      <c r="AP1079" t="str">
        <f t="shared" si="217"/>
        <v>Valid</v>
      </c>
      <c r="AQ1079" t="str">
        <f>IF(Audit_Data[[#This Row],[Z_CostContact]]=3,"Valid","Invalid")</f>
        <v>Valid</v>
      </c>
      <c r="AR1079" t="str">
        <f t="shared" si="218"/>
        <v>Valid</v>
      </c>
      <c r="AS1079" t="str">
        <f t="shared" si="219"/>
        <v>Valid</v>
      </c>
    </row>
    <row r="1080" spans="1:45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 t="str">
        <f t="shared" si="208"/>
        <v>Ok</v>
      </c>
      <c r="AE1080" t="str">
        <f>IF(AND(Audit_Data[[#This Row],[Year_Birth]]&gt;=1900,Audit_Data[[#This Row],[Year_Birth]]&lt;=2010),"OK","Invalid")</f>
        <v>OK</v>
      </c>
      <c r="AF1080" t="str">
        <f t="shared" si="209"/>
        <v>Valid</v>
      </c>
      <c r="AG1080" t="str">
        <f t="shared" si="210"/>
        <v>Valid</v>
      </c>
      <c r="AH1080" t="str">
        <f t="shared" si="211"/>
        <v>Valid</v>
      </c>
      <c r="AI1080" t="str">
        <f t="shared" si="212"/>
        <v>Valid</v>
      </c>
      <c r="AJ1080" t="str">
        <f t="shared" si="213"/>
        <v>Valid</v>
      </c>
      <c r="AK1080" t="str">
        <f t="shared" si="220"/>
        <v xml:space="preserve">Valid </v>
      </c>
      <c r="AL1080" t="str">
        <f>IF(AND(Audit_Data[[#This Row],[Recency]]&gt;=0,Audit_Data[[#This Row],[Recency]]&lt;=100),"Valid","Invalid")</f>
        <v>Valid</v>
      </c>
      <c r="AM1080" t="str">
        <f t="shared" si="214"/>
        <v>Valid</v>
      </c>
      <c r="AN1080" t="str">
        <f t="shared" si="215"/>
        <v>Valid</v>
      </c>
      <c r="AO1080" t="str">
        <f t="shared" si="216"/>
        <v>Valid</v>
      </c>
      <c r="AP1080" t="str">
        <f t="shared" si="217"/>
        <v>Valid</v>
      </c>
      <c r="AQ1080" t="str">
        <f>IF(Audit_Data[[#This Row],[Z_CostContact]]=3,"Valid","Invalid")</f>
        <v>Valid</v>
      </c>
      <c r="AR1080" t="str">
        <f t="shared" si="218"/>
        <v>Valid</v>
      </c>
      <c r="AS1080" t="str">
        <f t="shared" si="219"/>
        <v>Valid</v>
      </c>
    </row>
    <row r="1081" spans="1:45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 t="str">
        <f t="shared" si="208"/>
        <v>Ok</v>
      </c>
      <c r="AE1081" t="str">
        <f>IF(AND(Audit_Data[[#This Row],[Year_Birth]]&gt;=1900,Audit_Data[[#This Row],[Year_Birth]]&lt;=2010),"OK","Invalid")</f>
        <v>OK</v>
      </c>
      <c r="AF1081" t="str">
        <f t="shared" si="209"/>
        <v>Valid</v>
      </c>
      <c r="AG1081" t="str">
        <f t="shared" si="210"/>
        <v>Valid</v>
      </c>
      <c r="AH1081" t="str">
        <f t="shared" si="211"/>
        <v>Valid</v>
      </c>
      <c r="AI1081" t="str">
        <f t="shared" si="212"/>
        <v>Valid</v>
      </c>
      <c r="AJ1081" t="str">
        <f t="shared" si="213"/>
        <v>Valid</v>
      </c>
      <c r="AK1081" t="str">
        <f t="shared" si="220"/>
        <v xml:space="preserve">Valid </v>
      </c>
      <c r="AL1081" t="str">
        <f>IF(AND(Audit_Data[[#This Row],[Recency]]&gt;=0,Audit_Data[[#This Row],[Recency]]&lt;=100),"Valid","Invalid")</f>
        <v>Valid</v>
      </c>
      <c r="AM1081" t="str">
        <f t="shared" si="214"/>
        <v>Valid</v>
      </c>
      <c r="AN1081" t="str">
        <f t="shared" si="215"/>
        <v>Valid</v>
      </c>
      <c r="AO1081" t="str">
        <f t="shared" si="216"/>
        <v>Valid</v>
      </c>
      <c r="AP1081" t="str">
        <f t="shared" si="217"/>
        <v>Valid</v>
      </c>
      <c r="AQ1081" t="str">
        <f>IF(Audit_Data[[#This Row],[Z_CostContact]]=3,"Valid","Invalid")</f>
        <v>Valid</v>
      </c>
      <c r="AR1081" t="str">
        <f t="shared" si="218"/>
        <v>Valid</v>
      </c>
      <c r="AS1081" t="str">
        <f t="shared" si="219"/>
        <v>Valid</v>
      </c>
    </row>
    <row r="1082" spans="1:45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 t="str">
        <f t="shared" si="208"/>
        <v>Ok</v>
      </c>
      <c r="AE1082" t="str">
        <f>IF(AND(Audit_Data[[#This Row],[Year_Birth]]&gt;=1900,Audit_Data[[#This Row],[Year_Birth]]&lt;=2010),"OK","Invalid")</f>
        <v>OK</v>
      </c>
      <c r="AF1082" t="str">
        <f t="shared" si="209"/>
        <v>Valid</v>
      </c>
      <c r="AG1082" t="str">
        <f t="shared" si="210"/>
        <v>Valid</v>
      </c>
      <c r="AH1082" t="str">
        <f t="shared" si="211"/>
        <v>Valid</v>
      </c>
      <c r="AI1082" t="str">
        <f t="shared" si="212"/>
        <v>Valid</v>
      </c>
      <c r="AJ1082" t="str">
        <f t="shared" si="213"/>
        <v>Valid</v>
      </c>
      <c r="AK1082" t="str">
        <f t="shared" si="220"/>
        <v xml:space="preserve">Valid </v>
      </c>
      <c r="AL1082" t="str">
        <f>IF(AND(Audit_Data[[#This Row],[Recency]]&gt;=0,Audit_Data[[#This Row],[Recency]]&lt;=100),"Valid","Invalid")</f>
        <v>Valid</v>
      </c>
      <c r="AM1082" t="str">
        <f t="shared" si="214"/>
        <v>Valid</v>
      </c>
      <c r="AN1082" t="str">
        <f t="shared" si="215"/>
        <v>Valid</v>
      </c>
      <c r="AO1082" t="str">
        <f t="shared" si="216"/>
        <v>Valid</v>
      </c>
      <c r="AP1082" t="str">
        <f t="shared" si="217"/>
        <v>Valid</v>
      </c>
      <c r="AQ1082" t="str">
        <f>IF(Audit_Data[[#This Row],[Z_CostContact]]=3,"Valid","Invalid")</f>
        <v>Valid</v>
      </c>
      <c r="AR1082" t="str">
        <f t="shared" si="218"/>
        <v>Valid</v>
      </c>
      <c r="AS1082" t="str">
        <f t="shared" si="219"/>
        <v>Valid</v>
      </c>
    </row>
    <row r="1083" spans="1:45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 t="str">
        <f t="shared" si="208"/>
        <v>Ok</v>
      </c>
      <c r="AE1083" t="str">
        <f>IF(AND(Audit_Data[[#This Row],[Year_Birth]]&gt;=1900,Audit_Data[[#This Row],[Year_Birth]]&lt;=2010),"OK","Invalid")</f>
        <v>OK</v>
      </c>
      <c r="AF1083" t="str">
        <f t="shared" si="209"/>
        <v>Valid</v>
      </c>
      <c r="AG1083" t="str">
        <f t="shared" si="210"/>
        <v>Valid</v>
      </c>
      <c r="AH1083" t="str">
        <f t="shared" si="211"/>
        <v>Valid</v>
      </c>
      <c r="AI1083" t="str">
        <f t="shared" si="212"/>
        <v>Valid</v>
      </c>
      <c r="AJ1083" t="str">
        <f t="shared" si="213"/>
        <v>Valid</v>
      </c>
      <c r="AK1083" t="str">
        <f t="shared" si="220"/>
        <v xml:space="preserve">Valid </v>
      </c>
      <c r="AL1083" t="str">
        <f>IF(AND(Audit_Data[[#This Row],[Recency]]&gt;=0,Audit_Data[[#This Row],[Recency]]&lt;=100),"Valid","Invalid")</f>
        <v>Valid</v>
      </c>
      <c r="AM1083" t="str">
        <f t="shared" si="214"/>
        <v>Valid</v>
      </c>
      <c r="AN1083" t="str">
        <f t="shared" si="215"/>
        <v>Valid</v>
      </c>
      <c r="AO1083" t="str">
        <f t="shared" si="216"/>
        <v>Valid</v>
      </c>
      <c r="AP1083" t="str">
        <f t="shared" si="217"/>
        <v>Valid</v>
      </c>
      <c r="AQ1083" t="str">
        <f>IF(Audit_Data[[#This Row],[Z_CostContact]]=3,"Valid","Invalid")</f>
        <v>Valid</v>
      </c>
      <c r="AR1083" t="str">
        <f t="shared" si="218"/>
        <v>Valid</v>
      </c>
      <c r="AS1083" t="str">
        <f t="shared" si="219"/>
        <v>Valid</v>
      </c>
    </row>
    <row r="1084" spans="1:45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 t="str">
        <f t="shared" si="208"/>
        <v>Ok</v>
      </c>
      <c r="AE1084" t="str">
        <f>IF(AND(Audit_Data[[#This Row],[Year_Birth]]&gt;=1900,Audit_Data[[#This Row],[Year_Birth]]&lt;=2010),"OK","Invalid")</f>
        <v>OK</v>
      </c>
      <c r="AF1084" t="str">
        <f t="shared" si="209"/>
        <v>Valid</v>
      </c>
      <c r="AG1084" t="str">
        <f t="shared" si="210"/>
        <v>Valid</v>
      </c>
      <c r="AH1084" t="str">
        <f t="shared" si="211"/>
        <v>Valid</v>
      </c>
      <c r="AI1084" t="str">
        <f t="shared" si="212"/>
        <v>Valid</v>
      </c>
      <c r="AJ1084" t="str">
        <f t="shared" si="213"/>
        <v>Valid</v>
      </c>
      <c r="AK1084" t="str">
        <f t="shared" si="220"/>
        <v xml:space="preserve">Valid </v>
      </c>
      <c r="AL1084" t="str">
        <f>IF(AND(Audit_Data[[#This Row],[Recency]]&gt;=0,Audit_Data[[#This Row],[Recency]]&lt;=100),"Valid","Invalid")</f>
        <v>Valid</v>
      </c>
      <c r="AM1084" t="str">
        <f t="shared" si="214"/>
        <v>Valid</v>
      </c>
      <c r="AN1084" t="str">
        <f t="shared" si="215"/>
        <v>Valid</v>
      </c>
      <c r="AO1084" t="str">
        <f t="shared" si="216"/>
        <v>Valid</v>
      </c>
      <c r="AP1084" t="str">
        <f t="shared" si="217"/>
        <v>Valid</v>
      </c>
      <c r="AQ1084" t="str">
        <f>IF(Audit_Data[[#This Row],[Z_CostContact]]=3,"Valid","Invalid")</f>
        <v>Valid</v>
      </c>
      <c r="AR1084" t="str">
        <f t="shared" si="218"/>
        <v>Valid</v>
      </c>
      <c r="AS1084" t="str">
        <f t="shared" si="219"/>
        <v>Valid</v>
      </c>
    </row>
    <row r="1085" spans="1:45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 t="str">
        <f t="shared" si="208"/>
        <v>Ok</v>
      </c>
      <c r="AE1085" t="str">
        <f>IF(AND(Audit_Data[[#This Row],[Year_Birth]]&gt;=1900,Audit_Data[[#This Row],[Year_Birth]]&lt;=2010),"OK","Invalid")</f>
        <v>OK</v>
      </c>
      <c r="AF1085" t="str">
        <f t="shared" si="209"/>
        <v>Valid</v>
      </c>
      <c r="AG1085" t="str">
        <f t="shared" si="210"/>
        <v>Valid</v>
      </c>
      <c r="AH1085" t="str">
        <f t="shared" si="211"/>
        <v>Valid</v>
      </c>
      <c r="AI1085" t="str">
        <f t="shared" si="212"/>
        <v>Valid</v>
      </c>
      <c r="AJ1085" t="str">
        <f t="shared" si="213"/>
        <v>Valid</v>
      </c>
      <c r="AK1085" t="str">
        <f t="shared" si="220"/>
        <v xml:space="preserve">Valid </v>
      </c>
      <c r="AL1085" t="str">
        <f>IF(AND(Audit_Data[[#This Row],[Recency]]&gt;=0,Audit_Data[[#This Row],[Recency]]&lt;=100),"Valid","Invalid")</f>
        <v>Valid</v>
      </c>
      <c r="AM1085" t="str">
        <f t="shared" si="214"/>
        <v>Valid</v>
      </c>
      <c r="AN1085" t="str">
        <f t="shared" si="215"/>
        <v>Valid</v>
      </c>
      <c r="AO1085" t="str">
        <f t="shared" si="216"/>
        <v>Valid</v>
      </c>
      <c r="AP1085" t="str">
        <f t="shared" si="217"/>
        <v>Valid</v>
      </c>
      <c r="AQ1085" t="str">
        <f>IF(Audit_Data[[#This Row],[Z_CostContact]]=3,"Valid","Invalid")</f>
        <v>Valid</v>
      </c>
      <c r="AR1085" t="str">
        <f t="shared" si="218"/>
        <v>Valid</v>
      </c>
      <c r="AS1085" t="str">
        <f t="shared" si="219"/>
        <v>Valid</v>
      </c>
    </row>
    <row r="1086" spans="1:45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 t="str">
        <f t="shared" si="208"/>
        <v>Ok</v>
      </c>
      <c r="AE1086" t="str">
        <f>IF(AND(Audit_Data[[#This Row],[Year_Birth]]&gt;=1900,Audit_Data[[#This Row],[Year_Birth]]&lt;=2010),"OK","Invalid")</f>
        <v>OK</v>
      </c>
      <c r="AF1086" t="str">
        <f t="shared" si="209"/>
        <v>Valid</v>
      </c>
      <c r="AG1086" t="str">
        <f t="shared" si="210"/>
        <v>Valid</v>
      </c>
      <c r="AH1086" t="str">
        <f t="shared" si="211"/>
        <v>Valid</v>
      </c>
      <c r="AI1086" t="str">
        <f t="shared" si="212"/>
        <v>Valid</v>
      </c>
      <c r="AJ1086" t="str">
        <f t="shared" si="213"/>
        <v>Valid</v>
      </c>
      <c r="AK1086" t="str">
        <f t="shared" si="220"/>
        <v xml:space="preserve">Valid </v>
      </c>
      <c r="AL1086" t="str">
        <f>IF(AND(Audit_Data[[#This Row],[Recency]]&gt;=0,Audit_Data[[#This Row],[Recency]]&lt;=100),"Valid","Invalid")</f>
        <v>Valid</v>
      </c>
      <c r="AM1086" t="str">
        <f t="shared" si="214"/>
        <v>Valid</v>
      </c>
      <c r="AN1086" t="str">
        <f t="shared" si="215"/>
        <v>Valid</v>
      </c>
      <c r="AO1086" t="str">
        <f t="shared" si="216"/>
        <v>Valid</v>
      </c>
      <c r="AP1086" t="str">
        <f t="shared" si="217"/>
        <v>Valid</v>
      </c>
      <c r="AQ1086" t="str">
        <f>IF(Audit_Data[[#This Row],[Z_CostContact]]=3,"Valid","Invalid")</f>
        <v>Valid</v>
      </c>
      <c r="AR1086" t="str">
        <f t="shared" si="218"/>
        <v>Valid</v>
      </c>
      <c r="AS1086" t="str">
        <f t="shared" si="219"/>
        <v>Valid</v>
      </c>
    </row>
    <row r="1087" spans="1:45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 t="str">
        <f t="shared" si="208"/>
        <v>Ok</v>
      </c>
      <c r="AE1087" t="str">
        <f>IF(AND(Audit_Data[[#This Row],[Year_Birth]]&gt;=1900,Audit_Data[[#This Row],[Year_Birth]]&lt;=2010),"OK","Invalid")</f>
        <v>OK</v>
      </c>
      <c r="AF1087" t="str">
        <f t="shared" si="209"/>
        <v>Valid</v>
      </c>
      <c r="AG1087" t="str">
        <f t="shared" si="210"/>
        <v>Valid</v>
      </c>
      <c r="AH1087" t="str">
        <f t="shared" si="211"/>
        <v>Valid</v>
      </c>
      <c r="AI1087" t="str">
        <f t="shared" si="212"/>
        <v>Valid</v>
      </c>
      <c r="AJ1087" t="str">
        <f t="shared" si="213"/>
        <v>Valid</v>
      </c>
      <c r="AK1087" t="str">
        <f t="shared" si="220"/>
        <v xml:space="preserve">Valid </v>
      </c>
      <c r="AL1087" t="str">
        <f>IF(AND(Audit_Data[[#This Row],[Recency]]&gt;=0,Audit_Data[[#This Row],[Recency]]&lt;=100),"Valid","Invalid")</f>
        <v>Valid</v>
      </c>
      <c r="AM1087" t="str">
        <f t="shared" si="214"/>
        <v>Valid</v>
      </c>
      <c r="AN1087" t="str">
        <f t="shared" si="215"/>
        <v>Valid</v>
      </c>
      <c r="AO1087" t="str">
        <f t="shared" si="216"/>
        <v>Valid</v>
      </c>
      <c r="AP1087" t="str">
        <f t="shared" si="217"/>
        <v>Valid</v>
      </c>
      <c r="AQ1087" t="str">
        <f>IF(Audit_Data[[#This Row],[Z_CostContact]]=3,"Valid","Invalid")</f>
        <v>Valid</v>
      </c>
      <c r="AR1087" t="str">
        <f t="shared" si="218"/>
        <v>Valid</v>
      </c>
      <c r="AS1087" t="str">
        <f t="shared" si="219"/>
        <v>Valid</v>
      </c>
    </row>
    <row r="1088" spans="1:45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 t="str">
        <f t="shared" si="208"/>
        <v>Ok</v>
      </c>
      <c r="AE1088" t="str">
        <f>IF(AND(Audit_Data[[#This Row],[Year_Birth]]&gt;=1900,Audit_Data[[#This Row],[Year_Birth]]&lt;=2010),"OK","Invalid")</f>
        <v>OK</v>
      </c>
      <c r="AF1088" t="str">
        <f t="shared" si="209"/>
        <v>Valid</v>
      </c>
      <c r="AG1088" t="str">
        <f t="shared" si="210"/>
        <v>Valid</v>
      </c>
      <c r="AH1088" t="str">
        <f t="shared" si="211"/>
        <v>Valid</v>
      </c>
      <c r="AI1088" t="str">
        <f t="shared" si="212"/>
        <v>Valid</v>
      </c>
      <c r="AJ1088" t="str">
        <f t="shared" si="213"/>
        <v>Valid</v>
      </c>
      <c r="AK1088" t="str">
        <f t="shared" si="220"/>
        <v xml:space="preserve">Valid </v>
      </c>
      <c r="AL1088" t="str">
        <f>IF(AND(Audit_Data[[#This Row],[Recency]]&gt;=0,Audit_Data[[#This Row],[Recency]]&lt;=100),"Valid","Invalid")</f>
        <v>Valid</v>
      </c>
      <c r="AM1088" t="str">
        <f t="shared" si="214"/>
        <v>Valid</v>
      </c>
      <c r="AN1088" t="str">
        <f t="shared" si="215"/>
        <v>Valid</v>
      </c>
      <c r="AO1088" t="str">
        <f t="shared" si="216"/>
        <v>Valid</v>
      </c>
      <c r="AP1088" t="str">
        <f t="shared" si="217"/>
        <v>Valid</v>
      </c>
      <c r="AQ1088" t="str">
        <f>IF(Audit_Data[[#This Row],[Z_CostContact]]=3,"Valid","Invalid")</f>
        <v>Valid</v>
      </c>
      <c r="AR1088" t="str">
        <f t="shared" si="218"/>
        <v>Valid</v>
      </c>
      <c r="AS1088" t="str">
        <f t="shared" si="219"/>
        <v>Valid</v>
      </c>
    </row>
    <row r="1089" spans="1:45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 t="str">
        <f t="shared" si="208"/>
        <v>Ok</v>
      </c>
      <c r="AE1089" t="str">
        <f>IF(AND(Audit_Data[[#This Row],[Year_Birth]]&gt;=1900,Audit_Data[[#This Row],[Year_Birth]]&lt;=2010),"OK","Invalid")</f>
        <v>OK</v>
      </c>
      <c r="AF1089" t="str">
        <f t="shared" si="209"/>
        <v>Valid</v>
      </c>
      <c r="AG1089" t="str">
        <f t="shared" si="210"/>
        <v>Valid</v>
      </c>
      <c r="AH1089" t="str">
        <f t="shared" si="211"/>
        <v>Valid</v>
      </c>
      <c r="AI1089" t="str">
        <f t="shared" si="212"/>
        <v>Valid</v>
      </c>
      <c r="AJ1089" t="str">
        <f t="shared" si="213"/>
        <v>Valid</v>
      </c>
      <c r="AK1089" t="str">
        <f t="shared" si="220"/>
        <v xml:space="preserve">Valid </v>
      </c>
      <c r="AL1089" t="str">
        <f>IF(AND(Audit_Data[[#This Row],[Recency]]&gt;=0,Audit_Data[[#This Row],[Recency]]&lt;=100),"Valid","Invalid")</f>
        <v>Valid</v>
      </c>
      <c r="AM1089" t="str">
        <f t="shared" si="214"/>
        <v>Valid</v>
      </c>
      <c r="AN1089" t="str">
        <f t="shared" si="215"/>
        <v>Valid</v>
      </c>
      <c r="AO1089" t="str">
        <f t="shared" si="216"/>
        <v>Valid</v>
      </c>
      <c r="AP1089" t="str">
        <f t="shared" si="217"/>
        <v>Valid</v>
      </c>
      <c r="AQ1089" t="str">
        <f>IF(Audit_Data[[#This Row],[Z_CostContact]]=3,"Valid","Invalid")</f>
        <v>Valid</v>
      </c>
      <c r="AR1089" t="str">
        <f t="shared" si="218"/>
        <v>Valid</v>
      </c>
      <c r="AS1089" t="str">
        <f t="shared" si="219"/>
        <v>Valid</v>
      </c>
    </row>
    <row r="1090" spans="1:45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 t="str">
        <f t="shared" ref="AD1090:AD1153" si="221">IF(COUNTIF(A:A,A1090)&gt;1,"Duplicate","Ok")</f>
        <v>Ok</v>
      </c>
      <c r="AE1090" t="str">
        <f>IF(AND(Audit_Data[[#This Row],[Year_Birth]]&gt;=1900,Audit_Data[[#This Row],[Year_Birth]]&lt;=2010),"OK","Invalid")</f>
        <v>OK</v>
      </c>
      <c r="AF1090" t="str">
        <f t="shared" ref="AF1090:AF1153" si="222">IF(OR(C1090="Graduation",C1090="phD",C1090="Master",C1090="Basic",C1090="2n Cycle"),"Valid","Invalid")</f>
        <v>Valid</v>
      </c>
      <c r="AG1090" t="str">
        <f t="shared" ref="AG1090:AG1153" si="223">IF(OR(D1090="Single",D1090="Married",D1090="Divorced",D1090="Together",D1090="Widow",D1090="Alone"),"Valid","Invalid")</f>
        <v>Valid</v>
      </c>
      <c r="AH1090" t="str">
        <f t="shared" ref="AH1090:AH1153" si="224">IF(AND(ISNUMBER(E1090),E1090&lt;&gt;""),"Valid","Invalid")</f>
        <v>Valid</v>
      </c>
      <c r="AI1090" t="str">
        <f t="shared" ref="AI1090:AI1153" si="225">IF(AND(F1090&gt;=0,F1090&lt;=2),"Valid","Invalid")</f>
        <v>Valid</v>
      </c>
      <c r="AJ1090" t="str">
        <f t="shared" ref="AJ1090:AJ1153" si="226">IF(AND(G1090&gt;=0,G1090&lt;=2),"Valid","Invalid")</f>
        <v>Valid</v>
      </c>
      <c r="AK1090" t="str">
        <f t="shared" si="220"/>
        <v xml:space="preserve">Valid </v>
      </c>
      <c r="AL1090" t="str">
        <f>IF(AND(Audit_Data[[#This Row],[Recency]]&gt;=0,Audit_Data[[#This Row],[Recency]]&lt;=100),"Valid","Invalid")</f>
        <v>Valid</v>
      </c>
      <c r="AM1090" t="str">
        <f t="shared" ref="AM1090:AM1153" si="227">IF(AND(ISNUMBER(J1090),J1090&gt;=0,ISNUMBER(K1090),K1090&gt;=0,ISNUMBER(L1090),L1090&gt;=0,ISNUMBER(M1090),M1090&gt;=0,ISNUMBER(N1090),N1090&gt;=0,ISNUMBER(O1090),O1090&gt;=0),"Valid","Invalid")</f>
        <v>Valid</v>
      </c>
      <c r="AN1090" t="str">
        <f t="shared" ref="AN1090:AN1153" si="228">IF(AND(ISNUMBER(P1090),P1090&gt;=0,ISNUMBER(Q1090),Q1090&gt;=0,ISNUMBER(R1090),R1090&gt;=0,ISNUMBER(S1090),S1090&gt;=0,ISNUMBER(T1090),T1090&gt;=0),"Valid","Invalid")</f>
        <v>Valid</v>
      </c>
      <c r="AO1090" t="str">
        <f t="shared" ref="AO1090:AO1153" si="229">IF(AND(U1090&lt;=1,V1090&lt;=1,W1090&lt;=1,X1090&lt;=1,Y1090&lt;=1),"Valid","Invalid")</f>
        <v>Valid</v>
      </c>
      <c r="AP1090" t="str">
        <f t="shared" ref="AP1090:AP1153" si="230">IF(OR(Z1090=0,Z1090=1),"Valid","Invalid")</f>
        <v>Valid</v>
      </c>
      <c r="AQ1090" t="str">
        <f>IF(Audit_Data[[#This Row],[Z_CostContact]]=3,"Valid","Invalid")</f>
        <v>Valid</v>
      </c>
      <c r="AR1090" t="str">
        <f t="shared" ref="AR1090:AR1153" si="231">IF(AB1090=11,"Valid","Invalid")</f>
        <v>Valid</v>
      </c>
      <c r="AS1090" t="str">
        <f t="shared" ref="AS1090:AS1153" si="232">IF(OR(AC1090=0,AC1090=1),"Valid","Invalid")</f>
        <v>Valid</v>
      </c>
    </row>
    <row r="1091" spans="1:45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 t="str">
        <f t="shared" si="221"/>
        <v>Ok</v>
      </c>
      <c r="AE1091" t="str">
        <f>IF(AND(Audit_Data[[#This Row],[Year_Birth]]&gt;=1900,Audit_Data[[#This Row],[Year_Birth]]&lt;=2010),"OK","Invalid")</f>
        <v>OK</v>
      </c>
      <c r="AF1091" t="str">
        <f t="shared" si="222"/>
        <v>Valid</v>
      </c>
      <c r="AG1091" t="str">
        <f t="shared" si="223"/>
        <v>Valid</v>
      </c>
      <c r="AH1091" t="str">
        <f t="shared" si="224"/>
        <v>Valid</v>
      </c>
      <c r="AI1091" t="str">
        <f t="shared" si="225"/>
        <v>Valid</v>
      </c>
      <c r="AJ1091" t="str">
        <f t="shared" si="226"/>
        <v>Valid</v>
      </c>
      <c r="AK1091" t="str">
        <f t="shared" ref="AK1091:AK1154" si="233">IF(AND(ISNUMBER(H1091),H1091&gt;=DATE(2012,1,1),H1091&lt;=DATE(2014,12,31)),"Valid ","Invalid")</f>
        <v xml:space="preserve">Valid </v>
      </c>
      <c r="AL1091" t="str">
        <f>IF(AND(Audit_Data[[#This Row],[Recency]]&gt;=0,Audit_Data[[#This Row],[Recency]]&lt;=100),"Valid","Invalid")</f>
        <v>Valid</v>
      </c>
      <c r="AM1091" t="str">
        <f t="shared" si="227"/>
        <v>Valid</v>
      </c>
      <c r="AN1091" t="str">
        <f t="shared" si="228"/>
        <v>Valid</v>
      </c>
      <c r="AO1091" t="str">
        <f t="shared" si="229"/>
        <v>Valid</v>
      </c>
      <c r="AP1091" t="str">
        <f t="shared" si="230"/>
        <v>Valid</v>
      </c>
      <c r="AQ1091" t="str">
        <f>IF(Audit_Data[[#This Row],[Z_CostContact]]=3,"Valid","Invalid")</f>
        <v>Valid</v>
      </c>
      <c r="AR1091" t="str">
        <f t="shared" si="231"/>
        <v>Valid</v>
      </c>
      <c r="AS1091" t="str">
        <f t="shared" si="232"/>
        <v>Valid</v>
      </c>
    </row>
    <row r="1092" spans="1:45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 t="str">
        <f t="shared" si="221"/>
        <v>Ok</v>
      </c>
      <c r="AE1092" t="str">
        <f>IF(AND(Audit_Data[[#This Row],[Year_Birth]]&gt;=1900,Audit_Data[[#This Row],[Year_Birth]]&lt;=2010),"OK","Invalid")</f>
        <v>OK</v>
      </c>
      <c r="AF1092" t="str">
        <f t="shared" si="222"/>
        <v>Valid</v>
      </c>
      <c r="AG1092" t="str">
        <f t="shared" si="223"/>
        <v>Valid</v>
      </c>
      <c r="AH1092" t="str">
        <f t="shared" si="224"/>
        <v>Valid</v>
      </c>
      <c r="AI1092" t="str">
        <f t="shared" si="225"/>
        <v>Valid</v>
      </c>
      <c r="AJ1092" t="str">
        <f t="shared" si="226"/>
        <v>Valid</v>
      </c>
      <c r="AK1092" t="str">
        <f t="shared" si="233"/>
        <v xml:space="preserve">Valid </v>
      </c>
      <c r="AL1092" t="str">
        <f>IF(AND(Audit_Data[[#This Row],[Recency]]&gt;=0,Audit_Data[[#This Row],[Recency]]&lt;=100),"Valid","Invalid")</f>
        <v>Valid</v>
      </c>
      <c r="AM1092" t="str">
        <f t="shared" si="227"/>
        <v>Valid</v>
      </c>
      <c r="AN1092" t="str">
        <f t="shared" si="228"/>
        <v>Valid</v>
      </c>
      <c r="AO1092" t="str">
        <f t="shared" si="229"/>
        <v>Valid</v>
      </c>
      <c r="AP1092" t="str">
        <f t="shared" si="230"/>
        <v>Valid</v>
      </c>
      <c r="AQ1092" t="str">
        <f>IF(Audit_Data[[#This Row],[Z_CostContact]]=3,"Valid","Invalid")</f>
        <v>Valid</v>
      </c>
      <c r="AR1092" t="str">
        <f t="shared" si="231"/>
        <v>Valid</v>
      </c>
      <c r="AS1092" t="str">
        <f t="shared" si="232"/>
        <v>Valid</v>
      </c>
    </row>
    <row r="1093" spans="1:45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 t="str">
        <f t="shared" si="221"/>
        <v>Ok</v>
      </c>
      <c r="AE1093" t="str">
        <f>IF(AND(Audit_Data[[#This Row],[Year_Birth]]&gt;=1900,Audit_Data[[#This Row],[Year_Birth]]&lt;=2010),"OK","Invalid")</f>
        <v>OK</v>
      </c>
      <c r="AF1093" t="str">
        <f t="shared" si="222"/>
        <v>Valid</v>
      </c>
      <c r="AG1093" t="str">
        <f t="shared" si="223"/>
        <v>Valid</v>
      </c>
      <c r="AH1093" t="str">
        <f t="shared" si="224"/>
        <v>Valid</v>
      </c>
      <c r="AI1093" t="str">
        <f t="shared" si="225"/>
        <v>Valid</v>
      </c>
      <c r="AJ1093" t="str">
        <f t="shared" si="226"/>
        <v>Valid</v>
      </c>
      <c r="AK1093" t="str">
        <f t="shared" si="233"/>
        <v xml:space="preserve">Valid </v>
      </c>
      <c r="AL1093" t="str">
        <f>IF(AND(Audit_Data[[#This Row],[Recency]]&gt;=0,Audit_Data[[#This Row],[Recency]]&lt;=100),"Valid","Invalid")</f>
        <v>Valid</v>
      </c>
      <c r="AM1093" t="str">
        <f t="shared" si="227"/>
        <v>Valid</v>
      </c>
      <c r="AN1093" t="str">
        <f t="shared" si="228"/>
        <v>Valid</v>
      </c>
      <c r="AO1093" t="str">
        <f t="shared" si="229"/>
        <v>Valid</v>
      </c>
      <c r="AP1093" t="str">
        <f t="shared" si="230"/>
        <v>Valid</v>
      </c>
      <c r="AQ1093" t="str">
        <f>IF(Audit_Data[[#This Row],[Z_CostContact]]=3,"Valid","Invalid")</f>
        <v>Valid</v>
      </c>
      <c r="AR1093" t="str">
        <f t="shared" si="231"/>
        <v>Valid</v>
      </c>
      <c r="AS1093" t="str">
        <f t="shared" si="232"/>
        <v>Valid</v>
      </c>
    </row>
    <row r="1094" spans="1:45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 t="str">
        <f t="shared" si="221"/>
        <v>Ok</v>
      </c>
      <c r="AE1094" t="str">
        <f>IF(AND(Audit_Data[[#This Row],[Year_Birth]]&gt;=1900,Audit_Data[[#This Row],[Year_Birth]]&lt;=2010),"OK","Invalid")</f>
        <v>OK</v>
      </c>
      <c r="AF1094" t="str">
        <f t="shared" si="222"/>
        <v>Valid</v>
      </c>
      <c r="AG1094" t="str">
        <f t="shared" si="223"/>
        <v>Valid</v>
      </c>
      <c r="AH1094" t="str">
        <f t="shared" si="224"/>
        <v>Valid</v>
      </c>
      <c r="AI1094" t="str">
        <f t="shared" si="225"/>
        <v>Valid</v>
      </c>
      <c r="AJ1094" t="str">
        <f t="shared" si="226"/>
        <v>Valid</v>
      </c>
      <c r="AK1094" t="str">
        <f t="shared" si="233"/>
        <v xml:space="preserve">Valid </v>
      </c>
      <c r="AL1094" t="str">
        <f>IF(AND(Audit_Data[[#This Row],[Recency]]&gt;=0,Audit_Data[[#This Row],[Recency]]&lt;=100),"Valid","Invalid")</f>
        <v>Valid</v>
      </c>
      <c r="AM1094" t="str">
        <f t="shared" si="227"/>
        <v>Valid</v>
      </c>
      <c r="AN1094" t="str">
        <f t="shared" si="228"/>
        <v>Valid</v>
      </c>
      <c r="AO1094" t="str">
        <f t="shared" si="229"/>
        <v>Valid</v>
      </c>
      <c r="AP1094" t="str">
        <f t="shared" si="230"/>
        <v>Valid</v>
      </c>
      <c r="AQ1094" t="str">
        <f>IF(Audit_Data[[#This Row],[Z_CostContact]]=3,"Valid","Invalid")</f>
        <v>Valid</v>
      </c>
      <c r="AR1094" t="str">
        <f t="shared" si="231"/>
        <v>Valid</v>
      </c>
      <c r="AS1094" t="str">
        <f t="shared" si="232"/>
        <v>Valid</v>
      </c>
    </row>
    <row r="1095" spans="1:45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 t="str">
        <f t="shared" si="221"/>
        <v>Ok</v>
      </c>
      <c r="AE1095" t="str">
        <f>IF(AND(Audit_Data[[#This Row],[Year_Birth]]&gt;=1900,Audit_Data[[#This Row],[Year_Birth]]&lt;=2010),"OK","Invalid")</f>
        <v>OK</v>
      </c>
      <c r="AF1095" t="str">
        <f t="shared" si="222"/>
        <v>Valid</v>
      </c>
      <c r="AG1095" t="str">
        <f t="shared" si="223"/>
        <v>Valid</v>
      </c>
      <c r="AH1095" t="str">
        <f t="shared" si="224"/>
        <v>Valid</v>
      </c>
      <c r="AI1095" t="str">
        <f t="shared" si="225"/>
        <v>Valid</v>
      </c>
      <c r="AJ1095" t="str">
        <f t="shared" si="226"/>
        <v>Valid</v>
      </c>
      <c r="AK1095" t="str">
        <f t="shared" si="233"/>
        <v xml:space="preserve">Valid </v>
      </c>
      <c r="AL1095" t="str">
        <f>IF(AND(Audit_Data[[#This Row],[Recency]]&gt;=0,Audit_Data[[#This Row],[Recency]]&lt;=100),"Valid","Invalid")</f>
        <v>Valid</v>
      </c>
      <c r="AM1095" t="str">
        <f t="shared" si="227"/>
        <v>Valid</v>
      </c>
      <c r="AN1095" t="str">
        <f t="shared" si="228"/>
        <v>Valid</v>
      </c>
      <c r="AO1095" t="str">
        <f t="shared" si="229"/>
        <v>Valid</v>
      </c>
      <c r="AP1095" t="str">
        <f t="shared" si="230"/>
        <v>Valid</v>
      </c>
      <c r="AQ1095" t="str">
        <f>IF(Audit_Data[[#This Row],[Z_CostContact]]=3,"Valid","Invalid")</f>
        <v>Valid</v>
      </c>
      <c r="AR1095" t="str">
        <f t="shared" si="231"/>
        <v>Valid</v>
      </c>
      <c r="AS1095" t="str">
        <f t="shared" si="232"/>
        <v>Valid</v>
      </c>
    </row>
    <row r="1096" spans="1:45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 t="str">
        <f t="shared" si="221"/>
        <v>Ok</v>
      </c>
      <c r="AE1096" t="str">
        <f>IF(AND(Audit_Data[[#This Row],[Year_Birth]]&gt;=1900,Audit_Data[[#This Row],[Year_Birth]]&lt;=2010),"OK","Invalid")</f>
        <v>OK</v>
      </c>
      <c r="AF1096" t="str">
        <f t="shared" si="222"/>
        <v>Valid</v>
      </c>
      <c r="AG1096" t="str">
        <f t="shared" si="223"/>
        <v>Valid</v>
      </c>
      <c r="AH1096" t="str">
        <f t="shared" si="224"/>
        <v>Valid</v>
      </c>
      <c r="AI1096" t="str">
        <f t="shared" si="225"/>
        <v>Valid</v>
      </c>
      <c r="AJ1096" t="str">
        <f t="shared" si="226"/>
        <v>Valid</v>
      </c>
      <c r="AK1096" t="str">
        <f t="shared" si="233"/>
        <v xml:space="preserve">Valid </v>
      </c>
      <c r="AL1096" t="str">
        <f>IF(AND(Audit_Data[[#This Row],[Recency]]&gt;=0,Audit_Data[[#This Row],[Recency]]&lt;=100),"Valid","Invalid")</f>
        <v>Valid</v>
      </c>
      <c r="AM1096" t="str">
        <f t="shared" si="227"/>
        <v>Valid</v>
      </c>
      <c r="AN1096" t="str">
        <f t="shared" si="228"/>
        <v>Valid</v>
      </c>
      <c r="AO1096" t="str">
        <f t="shared" si="229"/>
        <v>Valid</v>
      </c>
      <c r="AP1096" t="str">
        <f t="shared" si="230"/>
        <v>Valid</v>
      </c>
      <c r="AQ1096" t="str">
        <f>IF(Audit_Data[[#This Row],[Z_CostContact]]=3,"Valid","Invalid")</f>
        <v>Valid</v>
      </c>
      <c r="AR1096" t="str">
        <f t="shared" si="231"/>
        <v>Valid</v>
      </c>
      <c r="AS1096" t="str">
        <f t="shared" si="232"/>
        <v>Valid</v>
      </c>
    </row>
    <row r="1097" spans="1:45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 t="str">
        <f t="shared" si="221"/>
        <v>Ok</v>
      </c>
      <c r="AE1097" t="str">
        <f>IF(AND(Audit_Data[[#This Row],[Year_Birth]]&gt;=1900,Audit_Data[[#This Row],[Year_Birth]]&lt;=2010),"OK","Invalid")</f>
        <v>OK</v>
      </c>
      <c r="AF1097" t="str">
        <f t="shared" si="222"/>
        <v>Valid</v>
      </c>
      <c r="AG1097" t="str">
        <f t="shared" si="223"/>
        <v>Valid</v>
      </c>
      <c r="AH1097" t="str">
        <f t="shared" si="224"/>
        <v>Valid</v>
      </c>
      <c r="AI1097" t="str">
        <f t="shared" si="225"/>
        <v>Valid</v>
      </c>
      <c r="AJ1097" t="str">
        <f t="shared" si="226"/>
        <v>Valid</v>
      </c>
      <c r="AK1097" t="str">
        <f t="shared" si="233"/>
        <v xml:space="preserve">Valid </v>
      </c>
      <c r="AL1097" t="str">
        <f>IF(AND(Audit_Data[[#This Row],[Recency]]&gt;=0,Audit_Data[[#This Row],[Recency]]&lt;=100),"Valid","Invalid")</f>
        <v>Valid</v>
      </c>
      <c r="AM1097" t="str">
        <f t="shared" si="227"/>
        <v>Valid</v>
      </c>
      <c r="AN1097" t="str">
        <f t="shared" si="228"/>
        <v>Valid</v>
      </c>
      <c r="AO1097" t="str">
        <f t="shared" si="229"/>
        <v>Valid</v>
      </c>
      <c r="AP1097" t="str">
        <f t="shared" si="230"/>
        <v>Valid</v>
      </c>
      <c r="AQ1097" t="str">
        <f>IF(Audit_Data[[#This Row],[Z_CostContact]]=3,"Valid","Invalid")</f>
        <v>Valid</v>
      </c>
      <c r="AR1097" t="str">
        <f t="shared" si="231"/>
        <v>Valid</v>
      </c>
      <c r="AS1097" t="str">
        <f t="shared" si="232"/>
        <v>Valid</v>
      </c>
    </row>
    <row r="1098" spans="1:45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 t="str">
        <f t="shared" si="221"/>
        <v>Ok</v>
      </c>
      <c r="AE1098" t="str">
        <f>IF(AND(Audit_Data[[#This Row],[Year_Birth]]&gt;=1900,Audit_Data[[#This Row],[Year_Birth]]&lt;=2010),"OK","Invalid")</f>
        <v>OK</v>
      </c>
      <c r="AF1098" t="str">
        <f t="shared" si="222"/>
        <v>Valid</v>
      </c>
      <c r="AG1098" t="str">
        <f t="shared" si="223"/>
        <v>Valid</v>
      </c>
      <c r="AH1098" t="str">
        <f t="shared" si="224"/>
        <v>Valid</v>
      </c>
      <c r="AI1098" t="str">
        <f t="shared" si="225"/>
        <v>Valid</v>
      </c>
      <c r="AJ1098" t="str">
        <f t="shared" si="226"/>
        <v>Valid</v>
      </c>
      <c r="AK1098" t="str">
        <f t="shared" si="233"/>
        <v xml:space="preserve">Valid </v>
      </c>
      <c r="AL1098" t="str">
        <f>IF(AND(Audit_Data[[#This Row],[Recency]]&gt;=0,Audit_Data[[#This Row],[Recency]]&lt;=100),"Valid","Invalid")</f>
        <v>Valid</v>
      </c>
      <c r="AM1098" t="str">
        <f t="shared" si="227"/>
        <v>Valid</v>
      </c>
      <c r="AN1098" t="str">
        <f t="shared" si="228"/>
        <v>Valid</v>
      </c>
      <c r="AO1098" t="str">
        <f t="shared" si="229"/>
        <v>Valid</v>
      </c>
      <c r="AP1098" t="str">
        <f t="shared" si="230"/>
        <v>Valid</v>
      </c>
      <c r="AQ1098" t="str">
        <f>IF(Audit_Data[[#This Row],[Z_CostContact]]=3,"Valid","Invalid")</f>
        <v>Valid</v>
      </c>
      <c r="AR1098" t="str">
        <f t="shared" si="231"/>
        <v>Valid</v>
      </c>
      <c r="AS1098" t="str">
        <f t="shared" si="232"/>
        <v>Valid</v>
      </c>
    </row>
    <row r="1099" spans="1:45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 t="str">
        <f t="shared" si="221"/>
        <v>Ok</v>
      </c>
      <c r="AE1099" t="str">
        <f>IF(AND(Audit_Data[[#This Row],[Year_Birth]]&gt;=1900,Audit_Data[[#This Row],[Year_Birth]]&lt;=2010),"OK","Invalid")</f>
        <v>OK</v>
      </c>
      <c r="AF1099" t="str">
        <f t="shared" si="222"/>
        <v>Valid</v>
      </c>
      <c r="AG1099" t="str">
        <f t="shared" si="223"/>
        <v>Valid</v>
      </c>
      <c r="AH1099" t="str">
        <f t="shared" si="224"/>
        <v>Valid</v>
      </c>
      <c r="AI1099" t="str">
        <f t="shared" si="225"/>
        <v>Valid</v>
      </c>
      <c r="AJ1099" t="str">
        <f t="shared" si="226"/>
        <v>Valid</v>
      </c>
      <c r="AK1099" t="str">
        <f t="shared" si="233"/>
        <v xml:space="preserve">Valid </v>
      </c>
      <c r="AL1099" t="str">
        <f>IF(AND(Audit_Data[[#This Row],[Recency]]&gt;=0,Audit_Data[[#This Row],[Recency]]&lt;=100),"Valid","Invalid")</f>
        <v>Valid</v>
      </c>
      <c r="AM1099" t="str">
        <f t="shared" si="227"/>
        <v>Valid</v>
      </c>
      <c r="AN1099" t="str">
        <f t="shared" si="228"/>
        <v>Valid</v>
      </c>
      <c r="AO1099" t="str">
        <f t="shared" si="229"/>
        <v>Valid</v>
      </c>
      <c r="AP1099" t="str">
        <f t="shared" si="230"/>
        <v>Valid</v>
      </c>
      <c r="AQ1099" t="str">
        <f>IF(Audit_Data[[#This Row],[Z_CostContact]]=3,"Valid","Invalid")</f>
        <v>Valid</v>
      </c>
      <c r="AR1099" t="str">
        <f t="shared" si="231"/>
        <v>Valid</v>
      </c>
      <c r="AS1099" t="str">
        <f t="shared" si="232"/>
        <v>Valid</v>
      </c>
    </row>
    <row r="1100" spans="1:45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 t="str">
        <f t="shared" si="221"/>
        <v>Ok</v>
      </c>
      <c r="AE1100" t="str">
        <f>IF(AND(Audit_Data[[#This Row],[Year_Birth]]&gt;=1900,Audit_Data[[#This Row],[Year_Birth]]&lt;=2010),"OK","Invalid")</f>
        <v>OK</v>
      </c>
      <c r="AF1100" t="str">
        <f t="shared" si="222"/>
        <v>Valid</v>
      </c>
      <c r="AG1100" t="str">
        <f t="shared" si="223"/>
        <v>Valid</v>
      </c>
      <c r="AH1100" t="str">
        <f t="shared" si="224"/>
        <v>Valid</v>
      </c>
      <c r="AI1100" t="str">
        <f t="shared" si="225"/>
        <v>Valid</v>
      </c>
      <c r="AJ1100" t="str">
        <f t="shared" si="226"/>
        <v>Valid</v>
      </c>
      <c r="AK1100" t="str">
        <f t="shared" si="233"/>
        <v xml:space="preserve">Valid </v>
      </c>
      <c r="AL1100" t="str">
        <f>IF(AND(Audit_Data[[#This Row],[Recency]]&gt;=0,Audit_Data[[#This Row],[Recency]]&lt;=100),"Valid","Invalid")</f>
        <v>Valid</v>
      </c>
      <c r="AM1100" t="str">
        <f t="shared" si="227"/>
        <v>Valid</v>
      </c>
      <c r="AN1100" t="str">
        <f t="shared" si="228"/>
        <v>Valid</v>
      </c>
      <c r="AO1100" t="str">
        <f t="shared" si="229"/>
        <v>Valid</v>
      </c>
      <c r="AP1100" t="str">
        <f t="shared" si="230"/>
        <v>Valid</v>
      </c>
      <c r="AQ1100" t="str">
        <f>IF(Audit_Data[[#This Row],[Z_CostContact]]=3,"Valid","Invalid")</f>
        <v>Valid</v>
      </c>
      <c r="AR1100" t="str">
        <f t="shared" si="231"/>
        <v>Valid</v>
      </c>
      <c r="AS1100" t="str">
        <f t="shared" si="232"/>
        <v>Valid</v>
      </c>
    </row>
    <row r="1101" spans="1:45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 t="str">
        <f t="shared" si="221"/>
        <v>Ok</v>
      </c>
      <c r="AE1101" t="str">
        <f>IF(AND(Audit_Data[[#This Row],[Year_Birth]]&gt;=1900,Audit_Data[[#This Row],[Year_Birth]]&lt;=2010),"OK","Invalid")</f>
        <v>OK</v>
      </c>
      <c r="AF1101" t="str">
        <f t="shared" si="222"/>
        <v>Valid</v>
      </c>
      <c r="AG1101" t="str">
        <f t="shared" si="223"/>
        <v>Valid</v>
      </c>
      <c r="AH1101" t="str">
        <f t="shared" si="224"/>
        <v>Valid</v>
      </c>
      <c r="AI1101" t="str">
        <f t="shared" si="225"/>
        <v>Valid</v>
      </c>
      <c r="AJ1101" t="str">
        <f t="shared" si="226"/>
        <v>Valid</v>
      </c>
      <c r="AK1101" t="str">
        <f t="shared" si="233"/>
        <v xml:space="preserve">Valid </v>
      </c>
      <c r="AL1101" t="str">
        <f>IF(AND(Audit_Data[[#This Row],[Recency]]&gt;=0,Audit_Data[[#This Row],[Recency]]&lt;=100),"Valid","Invalid")</f>
        <v>Valid</v>
      </c>
      <c r="AM1101" t="str">
        <f t="shared" si="227"/>
        <v>Valid</v>
      </c>
      <c r="AN1101" t="str">
        <f t="shared" si="228"/>
        <v>Valid</v>
      </c>
      <c r="AO1101" t="str">
        <f t="shared" si="229"/>
        <v>Valid</v>
      </c>
      <c r="AP1101" t="str">
        <f t="shared" si="230"/>
        <v>Valid</v>
      </c>
      <c r="AQ1101" t="str">
        <f>IF(Audit_Data[[#This Row],[Z_CostContact]]=3,"Valid","Invalid")</f>
        <v>Valid</v>
      </c>
      <c r="AR1101" t="str">
        <f t="shared" si="231"/>
        <v>Valid</v>
      </c>
      <c r="AS1101" t="str">
        <f t="shared" si="232"/>
        <v>Valid</v>
      </c>
    </row>
    <row r="1102" spans="1:45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 t="str">
        <f t="shared" si="221"/>
        <v>Ok</v>
      </c>
      <c r="AE1102" t="str">
        <f>IF(AND(Audit_Data[[#This Row],[Year_Birth]]&gt;=1900,Audit_Data[[#This Row],[Year_Birth]]&lt;=2010),"OK","Invalid")</f>
        <v>OK</v>
      </c>
      <c r="AF1102" t="str">
        <f t="shared" si="222"/>
        <v>Valid</v>
      </c>
      <c r="AG1102" t="str">
        <f t="shared" si="223"/>
        <v>Valid</v>
      </c>
      <c r="AH1102" t="str">
        <f t="shared" si="224"/>
        <v>Valid</v>
      </c>
      <c r="AI1102" t="str">
        <f t="shared" si="225"/>
        <v>Valid</v>
      </c>
      <c r="AJ1102" t="str">
        <f t="shared" si="226"/>
        <v>Valid</v>
      </c>
      <c r="AK1102" t="str">
        <f t="shared" si="233"/>
        <v xml:space="preserve">Valid </v>
      </c>
      <c r="AL1102" t="str">
        <f>IF(AND(Audit_Data[[#This Row],[Recency]]&gt;=0,Audit_Data[[#This Row],[Recency]]&lt;=100),"Valid","Invalid")</f>
        <v>Valid</v>
      </c>
      <c r="AM1102" t="str">
        <f t="shared" si="227"/>
        <v>Valid</v>
      </c>
      <c r="AN1102" t="str">
        <f t="shared" si="228"/>
        <v>Valid</v>
      </c>
      <c r="AO1102" t="str">
        <f t="shared" si="229"/>
        <v>Valid</v>
      </c>
      <c r="AP1102" t="str">
        <f t="shared" si="230"/>
        <v>Valid</v>
      </c>
      <c r="AQ1102" t="str">
        <f>IF(Audit_Data[[#This Row],[Z_CostContact]]=3,"Valid","Invalid")</f>
        <v>Valid</v>
      </c>
      <c r="AR1102" t="str">
        <f t="shared" si="231"/>
        <v>Valid</v>
      </c>
      <c r="AS1102" t="str">
        <f t="shared" si="232"/>
        <v>Valid</v>
      </c>
    </row>
    <row r="1103" spans="1:45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 t="str">
        <f t="shared" si="221"/>
        <v>Ok</v>
      </c>
      <c r="AE1103" t="str">
        <f>IF(AND(Audit_Data[[#This Row],[Year_Birth]]&gt;=1900,Audit_Data[[#This Row],[Year_Birth]]&lt;=2010),"OK","Invalid")</f>
        <v>OK</v>
      </c>
      <c r="AF1103" t="str">
        <f t="shared" si="222"/>
        <v>Valid</v>
      </c>
      <c r="AG1103" t="str">
        <f t="shared" si="223"/>
        <v>Valid</v>
      </c>
      <c r="AH1103" t="str">
        <f t="shared" si="224"/>
        <v>Valid</v>
      </c>
      <c r="AI1103" t="str">
        <f t="shared" si="225"/>
        <v>Valid</v>
      </c>
      <c r="AJ1103" t="str">
        <f t="shared" si="226"/>
        <v>Valid</v>
      </c>
      <c r="AK1103" t="str">
        <f t="shared" si="233"/>
        <v xml:space="preserve">Valid </v>
      </c>
      <c r="AL1103" t="str">
        <f>IF(AND(Audit_Data[[#This Row],[Recency]]&gt;=0,Audit_Data[[#This Row],[Recency]]&lt;=100),"Valid","Invalid")</f>
        <v>Valid</v>
      </c>
      <c r="AM1103" t="str">
        <f t="shared" si="227"/>
        <v>Valid</v>
      </c>
      <c r="AN1103" t="str">
        <f t="shared" si="228"/>
        <v>Valid</v>
      </c>
      <c r="AO1103" t="str">
        <f t="shared" si="229"/>
        <v>Valid</v>
      </c>
      <c r="AP1103" t="str">
        <f t="shared" si="230"/>
        <v>Valid</v>
      </c>
      <c r="AQ1103" t="str">
        <f>IF(Audit_Data[[#This Row],[Z_CostContact]]=3,"Valid","Invalid")</f>
        <v>Valid</v>
      </c>
      <c r="AR1103" t="str">
        <f t="shared" si="231"/>
        <v>Valid</v>
      </c>
      <c r="AS1103" t="str">
        <f t="shared" si="232"/>
        <v>Valid</v>
      </c>
    </row>
    <row r="1104" spans="1:45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 t="str">
        <f t="shared" si="221"/>
        <v>Ok</v>
      </c>
      <c r="AE1104" t="str">
        <f>IF(AND(Audit_Data[[#This Row],[Year_Birth]]&gt;=1900,Audit_Data[[#This Row],[Year_Birth]]&lt;=2010),"OK","Invalid")</f>
        <v>OK</v>
      </c>
      <c r="AF1104" t="str">
        <f t="shared" si="222"/>
        <v>Valid</v>
      </c>
      <c r="AG1104" t="str">
        <f t="shared" si="223"/>
        <v>Valid</v>
      </c>
      <c r="AH1104" t="str">
        <f t="shared" si="224"/>
        <v>Valid</v>
      </c>
      <c r="AI1104" t="str">
        <f t="shared" si="225"/>
        <v>Valid</v>
      </c>
      <c r="AJ1104" t="str">
        <f t="shared" si="226"/>
        <v>Valid</v>
      </c>
      <c r="AK1104" t="str">
        <f t="shared" si="233"/>
        <v xml:space="preserve">Valid </v>
      </c>
      <c r="AL1104" t="str">
        <f>IF(AND(Audit_Data[[#This Row],[Recency]]&gt;=0,Audit_Data[[#This Row],[Recency]]&lt;=100),"Valid","Invalid")</f>
        <v>Valid</v>
      </c>
      <c r="AM1104" t="str">
        <f t="shared" si="227"/>
        <v>Valid</v>
      </c>
      <c r="AN1104" t="str">
        <f t="shared" si="228"/>
        <v>Valid</v>
      </c>
      <c r="AO1104" t="str">
        <f t="shared" si="229"/>
        <v>Valid</v>
      </c>
      <c r="AP1104" t="str">
        <f t="shared" si="230"/>
        <v>Valid</v>
      </c>
      <c r="AQ1104" t="str">
        <f>IF(Audit_Data[[#This Row],[Z_CostContact]]=3,"Valid","Invalid")</f>
        <v>Valid</v>
      </c>
      <c r="AR1104" t="str">
        <f t="shared" si="231"/>
        <v>Valid</v>
      </c>
      <c r="AS1104" t="str">
        <f t="shared" si="232"/>
        <v>Valid</v>
      </c>
    </row>
    <row r="1105" spans="1:45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 t="str">
        <f t="shared" si="221"/>
        <v>Ok</v>
      </c>
      <c r="AE1105" t="str">
        <f>IF(AND(Audit_Data[[#This Row],[Year_Birth]]&gt;=1900,Audit_Data[[#This Row],[Year_Birth]]&lt;=2010),"OK","Invalid")</f>
        <v>OK</v>
      </c>
      <c r="AF1105" t="str">
        <f t="shared" si="222"/>
        <v>Valid</v>
      </c>
      <c r="AG1105" t="str">
        <f t="shared" si="223"/>
        <v>Valid</v>
      </c>
      <c r="AH1105" t="str">
        <f t="shared" si="224"/>
        <v>Valid</v>
      </c>
      <c r="AI1105" t="str">
        <f t="shared" si="225"/>
        <v>Valid</v>
      </c>
      <c r="AJ1105" t="str">
        <f t="shared" si="226"/>
        <v>Valid</v>
      </c>
      <c r="AK1105" t="str">
        <f t="shared" si="233"/>
        <v xml:space="preserve">Valid </v>
      </c>
      <c r="AL1105" t="str">
        <f>IF(AND(Audit_Data[[#This Row],[Recency]]&gt;=0,Audit_Data[[#This Row],[Recency]]&lt;=100),"Valid","Invalid")</f>
        <v>Valid</v>
      </c>
      <c r="AM1105" t="str">
        <f t="shared" si="227"/>
        <v>Valid</v>
      </c>
      <c r="AN1105" t="str">
        <f t="shared" si="228"/>
        <v>Valid</v>
      </c>
      <c r="AO1105" t="str">
        <f t="shared" si="229"/>
        <v>Valid</v>
      </c>
      <c r="AP1105" t="str">
        <f t="shared" si="230"/>
        <v>Valid</v>
      </c>
      <c r="AQ1105" t="str">
        <f>IF(Audit_Data[[#This Row],[Z_CostContact]]=3,"Valid","Invalid")</f>
        <v>Valid</v>
      </c>
      <c r="AR1105" t="str">
        <f t="shared" si="231"/>
        <v>Valid</v>
      </c>
      <c r="AS1105" t="str">
        <f t="shared" si="232"/>
        <v>Valid</v>
      </c>
    </row>
    <row r="1106" spans="1:45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 t="str">
        <f t="shared" si="221"/>
        <v>Ok</v>
      </c>
      <c r="AE1106" t="str">
        <f>IF(AND(Audit_Data[[#This Row],[Year_Birth]]&gt;=1900,Audit_Data[[#This Row],[Year_Birth]]&lt;=2010),"OK","Invalid")</f>
        <v>OK</v>
      </c>
      <c r="AF1106" t="str">
        <f t="shared" si="222"/>
        <v>Valid</v>
      </c>
      <c r="AG1106" t="str">
        <f t="shared" si="223"/>
        <v>Valid</v>
      </c>
      <c r="AH1106" t="str">
        <f t="shared" si="224"/>
        <v>Valid</v>
      </c>
      <c r="AI1106" t="str">
        <f t="shared" si="225"/>
        <v>Valid</v>
      </c>
      <c r="AJ1106" t="str">
        <f t="shared" si="226"/>
        <v>Valid</v>
      </c>
      <c r="AK1106" t="str">
        <f t="shared" si="233"/>
        <v xml:space="preserve">Valid </v>
      </c>
      <c r="AL1106" t="str">
        <f>IF(AND(Audit_Data[[#This Row],[Recency]]&gt;=0,Audit_Data[[#This Row],[Recency]]&lt;=100),"Valid","Invalid")</f>
        <v>Valid</v>
      </c>
      <c r="AM1106" t="str">
        <f t="shared" si="227"/>
        <v>Valid</v>
      </c>
      <c r="AN1106" t="str">
        <f t="shared" si="228"/>
        <v>Valid</v>
      </c>
      <c r="AO1106" t="str">
        <f t="shared" si="229"/>
        <v>Valid</v>
      </c>
      <c r="AP1106" t="str">
        <f t="shared" si="230"/>
        <v>Valid</v>
      </c>
      <c r="AQ1106" t="str">
        <f>IF(Audit_Data[[#This Row],[Z_CostContact]]=3,"Valid","Invalid")</f>
        <v>Valid</v>
      </c>
      <c r="AR1106" t="str">
        <f t="shared" si="231"/>
        <v>Valid</v>
      </c>
      <c r="AS1106" t="str">
        <f t="shared" si="232"/>
        <v>Valid</v>
      </c>
    </row>
    <row r="1107" spans="1:45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 t="str">
        <f t="shared" si="221"/>
        <v>Ok</v>
      </c>
      <c r="AE1107" t="str">
        <f>IF(AND(Audit_Data[[#This Row],[Year_Birth]]&gt;=1900,Audit_Data[[#This Row],[Year_Birth]]&lt;=2010),"OK","Invalid")</f>
        <v>OK</v>
      </c>
      <c r="AF1107" t="str">
        <f t="shared" si="222"/>
        <v>Valid</v>
      </c>
      <c r="AG1107" t="str">
        <f t="shared" si="223"/>
        <v>Valid</v>
      </c>
      <c r="AH1107" t="str">
        <f t="shared" si="224"/>
        <v>Valid</v>
      </c>
      <c r="AI1107" t="str">
        <f t="shared" si="225"/>
        <v>Valid</v>
      </c>
      <c r="AJ1107" t="str">
        <f t="shared" si="226"/>
        <v>Valid</v>
      </c>
      <c r="AK1107" t="str">
        <f t="shared" si="233"/>
        <v xml:space="preserve">Valid </v>
      </c>
      <c r="AL1107" t="str">
        <f>IF(AND(Audit_Data[[#This Row],[Recency]]&gt;=0,Audit_Data[[#This Row],[Recency]]&lt;=100),"Valid","Invalid")</f>
        <v>Valid</v>
      </c>
      <c r="AM1107" t="str">
        <f t="shared" si="227"/>
        <v>Valid</v>
      </c>
      <c r="AN1107" t="str">
        <f t="shared" si="228"/>
        <v>Valid</v>
      </c>
      <c r="AO1107" t="str">
        <f t="shared" si="229"/>
        <v>Valid</v>
      </c>
      <c r="AP1107" t="str">
        <f t="shared" si="230"/>
        <v>Valid</v>
      </c>
      <c r="AQ1107" t="str">
        <f>IF(Audit_Data[[#This Row],[Z_CostContact]]=3,"Valid","Invalid")</f>
        <v>Valid</v>
      </c>
      <c r="AR1107" t="str">
        <f t="shared" si="231"/>
        <v>Valid</v>
      </c>
      <c r="AS1107" t="str">
        <f t="shared" si="232"/>
        <v>Valid</v>
      </c>
    </row>
    <row r="1108" spans="1:45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 t="str">
        <f t="shared" si="221"/>
        <v>Ok</v>
      </c>
      <c r="AE1108" t="str">
        <f>IF(AND(Audit_Data[[#This Row],[Year_Birth]]&gt;=1900,Audit_Data[[#This Row],[Year_Birth]]&lt;=2010),"OK","Invalid")</f>
        <v>OK</v>
      </c>
      <c r="AF1108" t="str">
        <f t="shared" si="222"/>
        <v>Valid</v>
      </c>
      <c r="AG1108" t="str">
        <f t="shared" si="223"/>
        <v>Valid</v>
      </c>
      <c r="AH1108" t="str">
        <f t="shared" si="224"/>
        <v>Valid</v>
      </c>
      <c r="AI1108" t="str">
        <f t="shared" si="225"/>
        <v>Valid</v>
      </c>
      <c r="AJ1108" t="str">
        <f t="shared" si="226"/>
        <v>Valid</v>
      </c>
      <c r="AK1108" t="str">
        <f t="shared" si="233"/>
        <v xml:space="preserve">Valid </v>
      </c>
      <c r="AL1108" t="str">
        <f>IF(AND(Audit_Data[[#This Row],[Recency]]&gt;=0,Audit_Data[[#This Row],[Recency]]&lt;=100),"Valid","Invalid")</f>
        <v>Valid</v>
      </c>
      <c r="AM1108" t="str">
        <f t="shared" si="227"/>
        <v>Valid</v>
      </c>
      <c r="AN1108" t="str">
        <f t="shared" si="228"/>
        <v>Valid</v>
      </c>
      <c r="AO1108" t="str">
        <f t="shared" si="229"/>
        <v>Valid</v>
      </c>
      <c r="AP1108" t="str">
        <f t="shared" si="230"/>
        <v>Valid</v>
      </c>
      <c r="AQ1108" t="str">
        <f>IF(Audit_Data[[#This Row],[Z_CostContact]]=3,"Valid","Invalid")</f>
        <v>Valid</v>
      </c>
      <c r="AR1108" t="str">
        <f t="shared" si="231"/>
        <v>Valid</v>
      </c>
      <c r="AS1108" t="str">
        <f t="shared" si="232"/>
        <v>Valid</v>
      </c>
    </row>
    <row r="1109" spans="1:45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 t="str">
        <f t="shared" si="221"/>
        <v>Ok</v>
      </c>
      <c r="AE1109" t="str">
        <f>IF(AND(Audit_Data[[#This Row],[Year_Birth]]&gt;=1900,Audit_Data[[#This Row],[Year_Birth]]&lt;=2010),"OK","Invalid")</f>
        <v>OK</v>
      </c>
      <c r="AF1109" t="str">
        <f t="shared" si="222"/>
        <v>Valid</v>
      </c>
      <c r="AG1109" t="str">
        <f t="shared" si="223"/>
        <v>Valid</v>
      </c>
      <c r="AH1109" t="str">
        <f t="shared" si="224"/>
        <v>Valid</v>
      </c>
      <c r="AI1109" t="str">
        <f t="shared" si="225"/>
        <v>Valid</v>
      </c>
      <c r="AJ1109" t="str">
        <f t="shared" si="226"/>
        <v>Valid</v>
      </c>
      <c r="AK1109" t="str">
        <f t="shared" si="233"/>
        <v xml:space="preserve">Valid </v>
      </c>
      <c r="AL1109" t="str">
        <f>IF(AND(Audit_Data[[#This Row],[Recency]]&gt;=0,Audit_Data[[#This Row],[Recency]]&lt;=100),"Valid","Invalid")</f>
        <v>Valid</v>
      </c>
      <c r="AM1109" t="str">
        <f t="shared" si="227"/>
        <v>Valid</v>
      </c>
      <c r="AN1109" t="str">
        <f t="shared" si="228"/>
        <v>Valid</v>
      </c>
      <c r="AO1109" t="str">
        <f t="shared" si="229"/>
        <v>Valid</v>
      </c>
      <c r="AP1109" t="str">
        <f t="shared" si="230"/>
        <v>Valid</v>
      </c>
      <c r="AQ1109" t="str">
        <f>IF(Audit_Data[[#This Row],[Z_CostContact]]=3,"Valid","Invalid")</f>
        <v>Valid</v>
      </c>
      <c r="AR1109" t="str">
        <f t="shared" si="231"/>
        <v>Valid</v>
      </c>
      <c r="AS1109" t="str">
        <f t="shared" si="232"/>
        <v>Valid</v>
      </c>
    </row>
    <row r="1110" spans="1:45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 t="str">
        <f t="shared" si="221"/>
        <v>Ok</v>
      </c>
      <c r="AE1110" t="str">
        <f>IF(AND(Audit_Data[[#This Row],[Year_Birth]]&gt;=1900,Audit_Data[[#This Row],[Year_Birth]]&lt;=2010),"OK","Invalid")</f>
        <v>OK</v>
      </c>
      <c r="AF1110" t="str">
        <f t="shared" si="222"/>
        <v>Valid</v>
      </c>
      <c r="AG1110" t="str">
        <f t="shared" si="223"/>
        <v>Valid</v>
      </c>
      <c r="AH1110" t="str">
        <f t="shared" si="224"/>
        <v>Valid</v>
      </c>
      <c r="AI1110" t="str">
        <f t="shared" si="225"/>
        <v>Valid</v>
      </c>
      <c r="AJ1110" t="str">
        <f t="shared" si="226"/>
        <v>Valid</v>
      </c>
      <c r="AK1110" t="str">
        <f t="shared" si="233"/>
        <v xml:space="preserve">Valid </v>
      </c>
      <c r="AL1110" t="str">
        <f>IF(AND(Audit_Data[[#This Row],[Recency]]&gt;=0,Audit_Data[[#This Row],[Recency]]&lt;=100),"Valid","Invalid")</f>
        <v>Valid</v>
      </c>
      <c r="AM1110" t="str">
        <f t="shared" si="227"/>
        <v>Valid</v>
      </c>
      <c r="AN1110" t="str">
        <f t="shared" si="228"/>
        <v>Valid</v>
      </c>
      <c r="AO1110" t="str">
        <f t="shared" si="229"/>
        <v>Valid</v>
      </c>
      <c r="AP1110" t="str">
        <f t="shared" si="230"/>
        <v>Valid</v>
      </c>
      <c r="AQ1110" t="str">
        <f>IF(Audit_Data[[#This Row],[Z_CostContact]]=3,"Valid","Invalid")</f>
        <v>Valid</v>
      </c>
      <c r="AR1110" t="str">
        <f t="shared" si="231"/>
        <v>Valid</v>
      </c>
      <c r="AS1110" t="str">
        <f t="shared" si="232"/>
        <v>Valid</v>
      </c>
    </row>
    <row r="1111" spans="1:45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 t="str">
        <f t="shared" si="221"/>
        <v>Ok</v>
      </c>
      <c r="AE1111" t="str">
        <f>IF(AND(Audit_Data[[#This Row],[Year_Birth]]&gt;=1900,Audit_Data[[#This Row],[Year_Birth]]&lt;=2010),"OK","Invalid")</f>
        <v>OK</v>
      </c>
      <c r="AF1111" t="str">
        <f t="shared" si="222"/>
        <v>Valid</v>
      </c>
      <c r="AG1111" t="str">
        <f t="shared" si="223"/>
        <v>Valid</v>
      </c>
      <c r="AH1111" t="str">
        <f t="shared" si="224"/>
        <v>Valid</v>
      </c>
      <c r="AI1111" t="str">
        <f t="shared" si="225"/>
        <v>Valid</v>
      </c>
      <c r="AJ1111" t="str">
        <f t="shared" si="226"/>
        <v>Valid</v>
      </c>
      <c r="AK1111" t="str">
        <f t="shared" si="233"/>
        <v xml:space="preserve">Valid </v>
      </c>
      <c r="AL1111" t="str">
        <f>IF(AND(Audit_Data[[#This Row],[Recency]]&gt;=0,Audit_Data[[#This Row],[Recency]]&lt;=100),"Valid","Invalid")</f>
        <v>Valid</v>
      </c>
      <c r="AM1111" t="str">
        <f t="shared" si="227"/>
        <v>Valid</v>
      </c>
      <c r="AN1111" t="str">
        <f t="shared" si="228"/>
        <v>Valid</v>
      </c>
      <c r="AO1111" t="str">
        <f t="shared" si="229"/>
        <v>Valid</v>
      </c>
      <c r="AP1111" t="str">
        <f t="shared" si="230"/>
        <v>Valid</v>
      </c>
      <c r="AQ1111" t="str">
        <f>IF(Audit_Data[[#This Row],[Z_CostContact]]=3,"Valid","Invalid")</f>
        <v>Valid</v>
      </c>
      <c r="AR1111" t="str">
        <f t="shared" si="231"/>
        <v>Valid</v>
      </c>
      <c r="AS1111" t="str">
        <f t="shared" si="232"/>
        <v>Valid</v>
      </c>
    </row>
    <row r="1112" spans="1:45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 t="str">
        <f t="shared" si="221"/>
        <v>Ok</v>
      </c>
      <c r="AE1112" t="str">
        <f>IF(AND(Audit_Data[[#This Row],[Year_Birth]]&gt;=1900,Audit_Data[[#This Row],[Year_Birth]]&lt;=2010),"OK","Invalid")</f>
        <v>OK</v>
      </c>
      <c r="AF1112" t="str">
        <f t="shared" si="222"/>
        <v>Valid</v>
      </c>
      <c r="AG1112" t="str">
        <f t="shared" si="223"/>
        <v>Valid</v>
      </c>
      <c r="AH1112" t="str">
        <f t="shared" si="224"/>
        <v>Valid</v>
      </c>
      <c r="AI1112" t="str">
        <f t="shared" si="225"/>
        <v>Valid</v>
      </c>
      <c r="AJ1112" t="str">
        <f t="shared" si="226"/>
        <v>Valid</v>
      </c>
      <c r="AK1112" t="str">
        <f t="shared" si="233"/>
        <v xml:space="preserve">Valid </v>
      </c>
      <c r="AL1112" t="str">
        <f>IF(AND(Audit_Data[[#This Row],[Recency]]&gt;=0,Audit_Data[[#This Row],[Recency]]&lt;=100),"Valid","Invalid")</f>
        <v>Valid</v>
      </c>
      <c r="AM1112" t="str">
        <f t="shared" si="227"/>
        <v>Valid</v>
      </c>
      <c r="AN1112" t="str">
        <f t="shared" si="228"/>
        <v>Valid</v>
      </c>
      <c r="AO1112" t="str">
        <f t="shared" si="229"/>
        <v>Valid</v>
      </c>
      <c r="AP1112" t="str">
        <f t="shared" si="230"/>
        <v>Valid</v>
      </c>
      <c r="AQ1112" t="str">
        <f>IF(Audit_Data[[#This Row],[Z_CostContact]]=3,"Valid","Invalid")</f>
        <v>Valid</v>
      </c>
      <c r="AR1112" t="str">
        <f t="shared" si="231"/>
        <v>Valid</v>
      </c>
      <c r="AS1112" t="str">
        <f t="shared" si="232"/>
        <v>Valid</v>
      </c>
    </row>
    <row r="1113" spans="1:45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 t="str">
        <f t="shared" si="221"/>
        <v>Ok</v>
      </c>
      <c r="AE1113" t="str">
        <f>IF(AND(Audit_Data[[#This Row],[Year_Birth]]&gt;=1900,Audit_Data[[#This Row],[Year_Birth]]&lt;=2010),"OK","Invalid")</f>
        <v>OK</v>
      </c>
      <c r="AF1113" t="str">
        <f t="shared" si="222"/>
        <v>Valid</v>
      </c>
      <c r="AG1113" t="str">
        <f t="shared" si="223"/>
        <v>Valid</v>
      </c>
      <c r="AH1113" t="str">
        <f t="shared" si="224"/>
        <v>Valid</v>
      </c>
      <c r="AI1113" t="str">
        <f t="shared" si="225"/>
        <v>Valid</v>
      </c>
      <c r="AJ1113" t="str">
        <f t="shared" si="226"/>
        <v>Valid</v>
      </c>
      <c r="AK1113" t="str">
        <f t="shared" si="233"/>
        <v xml:space="preserve">Valid </v>
      </c>
      <c r="AL1113" t="str">
        <f>IF(AND(Audit_Data[[#This Row],[Recency]]&gt;=0,Audit_Data[[#This Row],[Recency]]&lt;=100),"Valid","Invalid")</f>
        <v>Valid</v>
      </c>
      <c r="AM1113" t="str">
        <f t="shared" si="227"/>
        <v>Valid</v>
      </c>
      <c r="AN1113" t="str">
        <f t="shared" si="228"/>
        <v>Valid</v>
      </c>
      <c r="AO1113" t="str">
        <f t="shared" si="229"/>
        <v>Valid</v>
      </c>
      <c r="AP1113" t="str">
        <f t="shared" si="230"/>
        <v>Valid</v>
      </c>
      <c r="AQ1113" t="str">
        <f>IF(Audit_Data[[#This Row],[Z_CostContact]]=3,"Valid","Invalid")</f>
        <v>Valid</v>
      </c>
      <c r="AR1113" t="str">
        <f t="shared" si="231"/>
        <v>Valid</v>
      </c>
      <c r="AS1113" t="str">
        <f t="shared" si="232"/>
        <v>Valid</v>
      </c>
    </row>
    <row r="1114" spans="1:45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 t="str">
        <f t="shared" si="221"/>
        <v>Ok</v>
      </c>
      <c r="AE1114" t="str">
        <f>IF(AND(Audit_Data[[#This Row],[Year_Birth]]&gt;=1900,Audit_Data[[#This Row],[Year_Birth]]&lt;=2010),"OK","Invalid")</f>
        <v>OK</v>
      </c>
      <c r="AF1114" t="str">
        <f t="shared" si="222"/>
        <v>Valid</v>
      </c>
      <c r="AG1114" t="str">
        <f t="shared" si="223"/>
        <v>Valid</v>
      </c>
      <c r="AH1114" t="str">
        <f t="shared" si="224"/>
        <v>Valid</v>
      </c>
      <c r="AI1114" t="str">
        <f t="shared" si="225"/>
        <v>Valid</v>
      </c>
      <c r="AJ1114" t="str">
        <f t="shared" si="226"/>
        <v>Valid</v>
      </c>
      <c r="AK1114" t="str">
        <f t="shared" si="233"/>
        <v xml:space="preserve">Valid </v>
      </c>
      <c r="AL1114" t="str">
        <f>IF(AND(Audit_Data[[#This Row],[Recency]]&gt;=0,Audit_Data[[#This Row],[Recency]]&lt;=100),"Valid","Invalid")</f>
        <v>Valid</v>
      </c>
      <c r="AM1114" t="str">
        <f t="shared" si="227"/>
        <v>Valid</v>
      </c>
      <c r="AN1114" t="str">
        <f t="shared" si="228"/>
        <v>Valid</v>
      </c>
      <c r="AO1114" t="str">
        <f t="shared" si="229"/>
        <v>Valid</v>
      </c>
      <c r="AP1114" t="str">
        <f t="shared" si="230"/>
        <v>Valid</v>
      </c>
      <c r="AQ1114" t="str">
        <f>IF(Audit_Data[[#This Row],[Z_CostContact]]=3,"Valid","Invalid")</f>
        <v>Valid</v>
      </c>
      <c r="AR1114" t="str">
        <f t="shared" si="231"/>
        <v>Valid</v>
      </c>
      <c r="AS1114" t="str">
        <f t="shared" si="232"/>
        <v>Valid</v>
      </c>
    </row>
    <row r="1115" spans="1:45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 t="str">
        <f t="shared" si="221"/>
        <v>Ok</v>
      </c>
      <c r="AE1115" t="str">
        <f>IF(AND(Audit_Data[[#This Row],[Year_Birth]]&gt;=1900,Audit_Data[[#This Row],[Year_Birth]]&lt;=2010),"OK","Invalid")</f>
        <v>OK</v>
      </c>
      <c r="AF1115" t="str">
        <f t="shared" si="222"/>
        <v>Valid</v>
      </c>
      <c r="AG1115" t="str">
        <f t="shared" si="223"/>
        <v>Valid</v>
      </c>
      <c r="AH1115" t="str">
        <f t="shared" si="224"/>
        <v>Valid</v>
      </c>
      <c r="AI1115" t="str">
        <f t="shared" si="225"/>
        <v>Valid</v>
      </c>
      <c r="AJ1115" t="str">
        <f t="shared" si="226"/>
        <v>Valid</v>
      </c>
      <c r="AK1115" t="str">
        <f t="shared" si="233"/>
        <v xml:space="preserve">Valid </v>
      </c>
      <c r="AL1115" t="str">
        <f>IF(AND(Audit_Data[[#This Row],[Recency]]&gt;=0,Audit_Data[[#This Row],[Recency]]&lt;=100),"Valid","Invalid")</f>
        <v>Valid</v>
      </c>
      <c r="AM1115" t="str">
        <f t="shared" si="227"/>
        <v>Valid</v>
      </c>
      <c r="AN1115" t="str">
        <f t="shared" si="228"/>
        <v>Valid</v>
      </c>
      <c r="AO1115" t="str">
        <f t="shared" si="229"/>
        <v>Valid</v>
      </c>
      <c r="AP1115" t="str">
        <f t="shared" si="230"/>
        <v>Valid</v>
      </c>
      <c r="AQ1115" t="str">
        <f>IF(Audit_Data[[#This Row],[Z_CostContact]]=3,"Valid","Invalid")</f>
        <v>Valid</v>
      </c>
      <c r="AR1115" t="str">
        <f t="shared" si="231"/>
        <v>Valid</v>
      </c>
      <c r="AS1115" t="str">
        <f t="shared" si="232"/>
        <v>Valid</v>
      </c>
    </row>
    <row r="1116" spans="1:45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 t="str">
        <f t="shared" si="221"/>
        <v>Ok</v>
      </c>
      <c r="AE1116" t="str">
        <f>IF(AND(Audit_Data[[#This Row],[Year_Birth]]&gt;=1900,Audit_Data[[#This Row],[Year_Birth]]&lt;=2010),"OK","Invalid")</f>
        <v>OK</v>
      </c>
      <c r="AF1116" t="str">
        <f t="shared" si="222"/>
        <v>Valid</v>
      </c>
      <c r="AG1116" t="str">
        <f t="shared" si="223"/>
        <v>Valid</v>
      </c>
      <c r="AH1116" t="str">
        <f t="shared" si="224"/>
        <v>Valid</v>
      </c>
      <c r="AI1116" t="str">
        <f t="shared" si="225"/>
        <v>Valid</v>
      </c>
      <c r="AJ1116" t="str">
        <f t="shared" si="226"/>
        <v>Valid</v>
      </c>
      <c r="AK1116" t="str">
        <f t="shared" si="233"/>
        <v xml:space="preserve">Valid </v>
      </c>
      <c r="AL1116" t="str">
        <f>IF(AND(Audit_Data[[#This Row],[Recency]]&gt;=0,Audit_Data[[#This Row],[Recency]]&lt;=100),"Valid","Invalid")</f>
        <v>Valid</v>
      </c>
      <c r="AM1116" t="str">
        <f t="shared" si="227"/>
        <v>Valid</v>
      </c>
      <c r="AN1116" t="str">
        <f t="shared" si="228"/>
        <v>Valid</v>
      </c>
      <c r="AO1116" t="str">
        <f t="shared" si="229"/>
        <v>Valid</v>
      </c>
      <c r="AP1116" t="str">
        <f t="shared" si="230"/>
        <v>Valid</v>
      </c>
      <c r="AQ1116" t="str">
        <f>IF(Audit_Data[[#This Row],[Z_CostContact]]=3,"Valid","Invalid")</f>
        <v>Valid</v>
      </c>
      <c r="AR1116" t="str">
        <f t="shared" si="231"/>
        <v>Valid</v>
      </c>
      <c r="AS1116" t="str">
        <f t="shared" si="232"/>
        <v>Valid</v>
      </c>
    </row>
    <row r="1117" spans="1:45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 t="str">
        <f t="shared" si="221"/>
        <v>Ok</v>
      </c>
      <c r="AE1117" t="str">
        <f>IF(AND(Audit_Data[[#This Row],[Year_Birth]]&gt;=1900,Audit_Data[[#This Row],[Year_Birth]]&lt;=2010),"OK","Invalid")</f>
        <v>OK</v>
      </c>
      <c r="AF1117" t="str">
        <f t="shared" si="222"/>
        <v>Valid</v>
      </c>
      <c r="AG1117" t="str">
        <f t="shared" si="223"/>
        <v>Valid</v>
      </c>
      <c r="AH1117" t="str">
        <f t="shared" si="224"/>
        <v>Valid</v>
      </c>
      <c r="AI1117" t="str">
        <f t="shared" si="225"/>
        <v>Valid</v>
      </c>
      <c r="AJ1117" t="str">
        <f t="shared" si="226"/>
        <v>Valid</v>
      </c>
      <c r="AK1117" t="str">
        <f t="shared" si="233"/>
        <v xml:space="preserve">Valid </v>
      </c>
      <c r="AL1117" t="str">
        <f>IF(AND(Audit_Data[[#This Row],[Recency]]&gt;=0,Audit_Data[[#This Row],[Recency]]&lt;=100),"Valid","Invalid")</f>
        <v>Valid</v>
      </c>
      <c r="AM1117" t="str">
        <f t="shared" si="227"/>
        <v>Valid</v>
      </c>
      <c r="AN1117" t="str">
        <f t="shared" si="228"/>
        <v>Valid</v>
      </c>
      <c r="AO1117" t="str">
        <f t="shared" si="229"/>
        <v>Valid</v>
      </c>
      <c r="AP1117" t="str">
        <f t="shared" si="230"/>
        <v>Valid</v>
      </c>
      <c r="AQ1117" t="str">
        <f>IF(Audit_Data[[#This Row],[Z_CostContact]]=3,"Valid","Invalid")</f>
        <v>Valid</v>
      </c>
      <c r="AR1117" t="str">
        <f t="shared" si="231"/>
        <v>Valid</v>
      </c>
      <c r="AS1117" t="str">
        <f t="shared" si="232"/>
        <v>Valid</v>
      </c>
    </row>
    <row r="1118" spans="1:45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 t="str">
        <f t="shared" si="221"/>
        <v>Ok</v>
      </c>
      <c r="AE1118" t="str">
        <f>IF(AND(Audit_Data[[#This Row],[Year_Birth]]&gt;=1900,Audit_Data[[#This Row],[Year_Birth]]&lt;=2010),"OK","Invalid")</f>
        <v>OK</v>
      </c>
      <c r="AF1118" t="str">
        <f t="shared" si="222"/>
        <v>Valid</v>
      </c>
      <c r="AG1118" t="str">
        <f t="shared" si="223"/>
        <v>Valid</v>
      </c>
      <c r="AH1118" t="str">
        <f t="shared" si="224"/>
        <v>Valid</v>
      </c>
      <c r="AI1118" t="str">
        <f t="shared" si="225"/>
        <v>Valid</v>
      </c>
      <c r="AJ1118" t="str">
        <f t="shared" si="226"/>
        <v>Valid</v>
      </c>
      <c r="AK1118" t="str">
        <f t="shared" si="233"/>
        <v xml:space="preserve">Valid </v>
      </c>
      <c r="AL1118" t="str">
        <f>IF(AND(Audit_Data[[#This Row],[Recency]]&gt;=0,Audit_Data[[#This Row],[Recency]]&lt;=100),"Valid","Invalid")</f>
        <v>Valid</v>
      </c>
      <c r="AM1118" t="str">
        <f t="shared" si="227"/>
        <v>Valid</v>
      </c>
      <c r="AN1118" t="str">
        <f t="shared" si="228"/>
        <v>Valid</v>
      </c>
      <c r="AO1118" t="str">
        <f t="shared" si="229"/>
        <v>Valid</v>
      </c>
      <c r="AP1118" t="str">
        <f t="shared" si="230"/>
        <v>Valid</v>
      </c>
      <c r="AQ1118" t="str">
        <f>IF(Audit_Data[[#This Row],[Z_CostContact]]=3,"Valid","Invalid")</f>
        <v>Valid</v>
      </c>
      <c r="AR1118" t="str">
        <f t="shared" si="231"/>
        <v>Valid</v>
      </c>
      <c r="AS1118" t="str">
        <f t="shared" si="232"/>
        <v>Valid</v>
      </c>
    </row>
    <row r="1119" spans="1:45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 t="str">
        <f t="shared" si="221"/>
        <v>Ok</v>
      </c>
      <c r="AE1119" t="str">
        <f>IF(AND(Audit_Data[[#This Row],[Year_Birth]]&gt;=1900,Audit_Data[[#This Row],[Year_Birth]]&lt;=2010),"OK","Invalid")</f>
        <v>OK</v>
      </c>
      <c r="AF1119" t="str">
        <f t="shared" si="222"/>
        <v>Valid</v>
      </c>
      <c r="AG1119" t="str">
        <f t="shared" si="223"/>
        <v>Valid</v>
      </c>
      <c r="AH1119" t="str">
        <f t="shared" si="224"/>
        <v>Valid</v>
      </c>
      <c r="AI1119" t="str">
        <f t="shared" si="225"/>
        <v>Valid</v>
      </c>
      <c r="AJ1119" t="str">
        <f t="shared" si="226"/>
        <v>Valid</v>
      </c>
      <c r="AK1119" t="str">
        <f t="shared" si="233"/>
        <v xml:space="preserve">Valid </v>
      </c>
      <c r="AL1119" t="str">
        <f>IF(AND(Audit_Data[[#This Row],[Recency]]&gt;=0,Audit_Data[[#This Row],[Recency]]&lt;=100),"Valid","Invalid")</f>
        <v>Valid</v>
      </c>
      <c r="AM1119" t="str">
        <f t="shared" si="227"/>
        <v>Valid</v>
      </c>
      <c r="AN1119" t="str">
        <f t="shared" si="228"/>
        <v>Valid</v>
      </c>
      <c r="AO1119" t="str">
        <f t="shared" si="229"/>
        <v>Valid</v>
      </c>
      <c r="AP1119" t="str">
        <f t="shared" si="230"/>
        <v>Valid</v>
      </c>
      <c r="AQ1119" t="str">
        <f>IF(Audit_Data[[#This Row],[Z_CostContact]]=3,"Valid","Invalid")</f>
        <v>Valid</v>
      </c>
      <c r="AR1119" t="str">
        <f t="shared" si="231"/>
        <v>Valid</v>
      </c>
      <c r="AS1119" t="str">
        <f t="shared" si="232"/>
        <v>Valid</v>
      </c>
    </row>
    <row r="1120" spans="1:45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 t="str">
        <f t="shared" si="221"/>
        <v>Ok</v>
      </c>
      <c r="AE1120" t="str">
        <f>IF(AND(Audit_Data[[#This Row],[Year_Birth]]&gt;=1900,Audit_Data[[#This Row],[Year_Birth]]&lt;=2010),"OK","Invalid")</f>
        <v>OK</v>
      </c>
      <c r="AF1120" t="str">
        <f t="shared" si="222"/>
        <v>Valid</v>
      </c>
      <c r="AG1120" t="str">
        <f t="shared" si="223"/>
        <v>Valid</v>
      </c>
      <c r="AH1120" t="str">
        <f t="shared" si="224"/>
        <v>Valid</v>
      </c>
      <c r="AI1120" t="str">
        <f t="shared" si="225"/>
        <v>Valid</v>
      </c>
      <c r="AJ1120" t="str">
        <f t="shared" si="226"/>
        <v>Valid</v>
      </c>
      <c r="AK1120" t="str">
        <f t="shared" si="233"/>
        <v xml:space="preserve">Valid </v>
      </c>
      <c r="AL1120" t="str">
        <f>IF(AND(Audit_Data[[#This Row],[Recency]]&gt;=0,Audit_Data[[#This Row],[Recency]]&lt;=100),"Valid","Invalid")</f>
        <v>Valid</v>
      </c>
      <c r="AM1120" t="str">
        <f t="shared" si="227"/>
        <v>Valid</v>
      </c>
      <c r="AN1120" t="str">
        <f t="shared" si="228"/>
        <v>Valid</v>
      </c>
      <c r="AO1120" t="str">
        <f t="shared" si="229"/>
        <v>Valid</v>
      </c>
      <c r="AP1120" t="str">
        <f t="shared" si="230"/>
        <v>Valid</v>
      </c>
      <c r="AQ1120" t="str">
        <f>IF(Audit_Data[[#This Row],[Z_CostContact]]=3,"Valid","Invalid")</f>
        <v>Valid</v>
      </c>
      <c r="AR1120" t="str">
        <f t="shared" si="231"/>
        <v>Valid</v>
      </c>
      <c r="AS1120" t="str">
        <f t="shared" si="232"/>
        <v>Valid</v>
      </c>
    </row>
    <row r="1121" spans="1:45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 t="str">
        <f t="shared" si="221"/>
        <v>Ok</v>
      </c>
      <c r="AE1121" t="str">
        <f>IF(AND(Audit_Data[[#This Row],[Year_Birth]]&gt;=1900,Audit_Data[[#This Row],[Year_Birth]]&lt;=2010),"OK","Invalid")</f>
        <v>OK</v>
      </c>
      <c r="AF1121" t="str">
        <f t="shared" si="222"/>
        <v>Valid</v>
      </c>
      <c r="AG1121" t="str">
        <f t="shared" si="223"/>
        <v>Valid</v>
      </c>
      <c r="AH1121" t="str">
        <f t="shared" si="224"/>
        <v>Valid</v>
      </c>
      <c r="AI1121" t="str">
        <f t="shared" si="225"/>
        <v>Valid</v>
      </c>
      <c r="AJ1121" t="str">
        <f t="shared" si="226"/>
        <v>Valid</v>
      </c>
      <c r="AK1121" t="str">
        <f t="shared" si="233"/>
        <v xml:space="preserve">Valid </v>
      </c>
      <c r="AL1121" t="str">
        <f>IF(AND(Audit_Data[[#This Row],[Recency]]&gt;=0,Audit_Data[[#This Row],[Recency]]&lt;=100),"Valid","Invalid")</f>
        <v>Valid</v>
      </c>
      <c r="AM1121" t="str">
        <f t="shared" si="227"/>
        <v>Valid</v>
      </c>
      <c r="AN1121" t="str">
        <f t="shared" si="228"/>
        <v>Valid</v>
      </c>
      <c r="AO1121" t="str">
        <f t="shared" si="229"/>
        <v>Valid</v>
      </c>
      <c r="AP1121" t="str">
        <f t="shared" si="230"/>
        <v>Valid</v>
      </c>
      <c r="AQ1121" t="str">
        <f>IF(Audit_Data[[#This Row],[Z_CostContact]]=3,"Valid","Invalid")</f>
        <v>Valid</v>
      </c>
      <c r="AR1121" t="str">
        <f t="shared" si="231"/>
        <v>Valid</v>
      </c>
      <c r="AS1121" t="str">
        <f t="shared" si="232"/>
        <v>Valid</v>
      </c>
    </row>
    <row r="1122" spans="1:45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 t="str">
        <f t="shared" si="221"/>
        <v>Ok</v>
      </c>
      <c r="AE1122" t="str">
        <f>IF(AND(Audit_Data[[#This Row],[Year_Birth]]&gt;=1900,Audit_Data[[#This Row],[Year_Birth]]&lt;=2010),"OK","Invalid")</f>
        <v>OK</v>
      </c>
      <c r="AF1122" t="str">
        <f t="shared" si="222"/>
        <v>Valid</v>
      </c>
      <c r="AG1122" t="str">
        <f t="shared" si="223"/>
        <v>Valid</v>
      </c>
      <c r="AH1122" t="str">
        <f t="shared" si="224"/>
        <v>Valid</v>
      </c>
      <c r="AI1122" t="str">
        <f t="shared" si="225"/>
        <v>Valid</v>
      </c>
      <c r="AJ1122" t="str">
        <f t="shared" si="226"/>
        <v>Valid</v>
      </c>
      <c r="AK1122" t="str">
        <f t="shared" si="233"/>
        <v xml:space="preserve">Valid </v>
      </c>
      <c r="AL1122" t="str">
        <f>IF(AND(Audit_Data[[#This Row],[Recency]]&gt;=0,Audit_Data[[#This Row],[Recency]]&lt;=100),"Valid","Invalid")</f>
        <v>Valid</v>
      </c>
      <c r="AM1122" t="str">
        <f t="shared" si="227"/>
        <v>Valid</v>
      </c>
      <c r="AN1122" t="str">
        <f t="shared" si="228"/>
        <v>Valid</v>
      </c>
      <c r="AO1122" t="str">
        <f t="shared" si="229"/>
        <v>Valid</v>
      </c>
      <c r="AP1122" t="str">
        <f t="shared" si="230"/>
        <v>Valid</v>
      </c>
      <c r="AQ1122" t="str">
        <f>IF(Audit_Data[[#This Row],[Z_CostContact]]=3,"Valid","Invalid")</f>
        <v>Valid</v>
      </c>
      <c r="AR1122" t="str">
        <f t="shared" si="231"/>
        <v>Valid</v>
      </c>
      <c r="AS1122" t="str">
        <f t="shared" si="232"/>
        <v>Valid</v>
      </c>
    </row>
    <row r="1123" spans="1:45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 t="str">
        <f t="shared" si="221"/>
        <v>Ok</v>
      </c>
      <c r="AE1123" t="str">
        <f>IF(AND(Audit_Data[[#This Row],[Year_Birth]]&gt;=1900,Audit_Data[[#This Row],[Year_Birth]]&lt;=2010),"OK","Invalid")</f>
        <v>OK</v>
      </c>
      <c r="AF1123" t="str">
        <f t="shared" si="222"/>
        <v>Valid</v>
      </c>
      <c r="AG1123" t="str">
        <f t="shared" si="223"/>
        <v>Valid</v>
      </c>
      <c r="AH1123" t="str">
        <f t="shared" si="224"/>
        <v>Valid</v>
      </c>
      <c r="AI1123" t="str">
        <f t="shared" si="225"/>
        <v>Valid</v>
      </c>
      <c r="AJ1123" t="str">
        <f t="shared" si="226"/>
        <v>Valid</v>
      </c>
      <c r="AK1123" t="str">
        <f t="shared" si="233"/>
        <v xml:space="preserve">Valid </v>
      </c>
      <c r="AL1123" t="str">
        <f>IF(AND(Audit_Data[[#This Row],[Recency]]&gt;=0,Audit_Data[[#This Row],[Recency]]&lt;=100),"Valid","Invalid")</f>
        <v>Valid</v>
      </c>
      <c r="AM1123" t="str">
        <f t="shared" si="227"/>
        <v>Valid</v>
      </c>
      <c r="AN1123" t="str">
        <f t="shared" si="228"/>
        <v>Valid</v>
      </c>
      <c r="AO1123" t="str">
        <f t="shared" si="229"/>
        <v>Valid</v>
      </c>
      <c r="AP1123" t="str">
        <f t="shared" si="230"/>
        <v>Valid</v>
      </c>
      <c r="AQ1123" t="str">
        <f>IF(Audit_Data[[#This Row],[Z_CostContact]]=3,"Valid","Invalid")</f>
        <v>Valid</v>
      </c>
      <c r="AR1123" t="str">
        <f t="shared" si="231"/>
        <v>Valid</v>
      </c>
      <c r="AS1123" t="str">
        <f t="shared" si="232"/>
        <v>Valid</v>
      </c>
    </row>
    <row r="1124" spans="1:45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 t="str">
        <f t="shared" si="221"/>
        <v>Ok</v>
      </c>
      <c r="AE1124" t="str">
        <f>IF(AND(Audit_Data[[#This Row],[Year_Birth]]&gt;=1900,Audit_Data[[#This Row],[Year_Birth]]&lt;=2010),"OK","Invalid")</f>
        <v>OK</v>
      </c>
      <c r="AF1124" t="str">
        <f t="shared" si="222"/>
        <v>Valid</v>
      </c>
      <c r="AG1124" t="str">
        <f t="shared" si="223"/>
        <v>Valid</v>
      </c>
      <c r="AH1124" t="str">
        <f t="shared" si="224"/>
        <v>Valid</v>
      </c>
      <c r="AI1124" t="str">
        <f t="shared" si="225"/>
        <v>Valid</v>
      </c>
      <c r="AJ1124" t="str">
        <f t="shared" si="226"/>
        <v>Valid</v>
      </c>
      <c r="AK1124" t="str">
        <f t="shared" si="233"/>
        <v xml:space="preserve">Valid </v>
      </c>
      <c r="AL1124" t="str">
        <f>IF(AND(Audit_Data[[#This Row],[Recency]]&gt;=0,Audit_Data[[#This Row],[Recency]]&lt;=100),"Valid","Invalid")</f>
        <v>Valid</v>
      </c>
      <c r="AM1124" t="str">
        <f t="shared" si="227"/>
        <v>Valid</v>
      </c>
      <c r="AN1124" t="str">
        <f t="shared" si="228"/>
        <v>Valid</v>
      </c>
      <c r="AO1124" t="str">
        <f t="shared" si="229"/>
        <v>Valid</v>
      </c>
      <c r="AP1124" t="str">
        <f t="shared" si="230"/>
        <v>Valid</v>
      </c>
      <c r="AQ1124" t="str">
        <f>IF(Audit_Data[[#This Row],[Z_CostContact]]=3,"Valid","Invalid")</f>
        <v>Valid</v>
      </c>
      <c r="AR1124" t="str">
        <f t="shared" si="231"/>
        <v>Valid</v>
      </c>
      <c r="AS1124" t="str">
        <f t="shared" si="232"/>
        <v>Valid</v>
      </c>
    </row>
    <row r="1125" spans="1:45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 t="str">
        <f t="shared" si="221"/>
        <v>Ok</v>
      </c>
      <c r="AE1125" t="str">
        <f>IF(AND(Audit_Data[[#This Row],[Year_Birth]]&gt;=1900,Audit_Data[[#This Row],[Year_Birth]]&lt;=2010),"OK","Invalid")</f>
        <v>OK</v>
      </c>
      <c r="AF1125" t="str">
        <f t="shared" si="222"/>
        <v>Valid</v>
      </c>
      <c r="AG1125" t="str">
        <f t="shared" si="223"/>
        <v>Valid</v>
      </c>
      <c r="AH1125" t="str">
        <f t="shared" si="224"/>
        <v>Valid</v>
      </c>
      <c r="AI1125" t="str">
        <f t="shared" si="225"/>
        <v>Valid</v>
      </c>
      <c r="AJ1125" t="str">
        <f t="shared" si="226"/>
        <v>Valid</v>
      </c>
      <c r="AK1125" t="str">
        <f t="shared" si="233"/>
        <v xml:space="preserve">Valid </v>
      </c>
      <c r="AL1125" t="str">
        <f>IF(AND(Audit_Data[[#This Row],[Recency]]&gt;=0,Audit_Data[[#This Row],[Recency]]&lt;=100),"Valid","Invalid")</f>
        <v>Valid</v>
      </c>
      <c r="AM1125" t="str">
        <f t="shared" si="227"/>
        <v>Valid</v>
      </c>
      <c r="AN1125" t="str">
        <f t="shared" si="228"/>
        <v>Valid</v>
      </c>
      <c r="AO1125" t="str">
        <f t="shared" si="229"/>
        <v>Valid</v>
      </c>
      <c r="AP1125" t="str">
        <f t="shared" si="230"/>
        <v>Valid</v>
      </c>
      <c r="AQ1125" t="str">
        <f>IF(Audit_Data[[#This Row],[Z_CostContact]]=3,"Valid","Invalid")</f>
        <v>Valid</v>
      </c>
      <c r="AR1125" t="str">
        <f t="shared" si="231"/>
        <v>Valid</v>
      </c>
      <c r="AS1125" t="str">
        <f t="shared" si="232"/>
        <v>Valid</v>
      </c>
    </row>
    <row r="1126" spans="1:45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 t="str">
        <f t="shared" si="221"/>
        <v>Ok</v>
      </c>
      <c r="AE1126" t="str">
        <f>IF(AND(Audit_Data[[#This Row],[Year_Birth]]&gt;=1900,Audit_Data[[#This Row],[Year_Birth]]&lt;=2010),"OK","Invalid")</f>
        <v>OK</v>
      </c>
      <c r="AF1126" t="str">
        <f t="shared" si="222"/>
        <v>Valid</v>
      </c>
      <c r="AG1126" t="str">
        <f t="shared" si="223"/>
        <v>Valid</v>
      </c>
      <c r="AH1126" t="str">
        <f t="shared" si="224"/>
        <v>Valid</v>
      </c>
      <c r="AI1126" t="str">
        <f t="shared" si="225"/>
        <v>Valid</v>
      </c>
      <c r="AJ1126" t="str">
        <f t="shared" si="226"/>
        <v>Valid</v>
      </c>
      <c r="AK1126" t="str">
        <f t="shared" si="233"/>
        <v xml:space="preserve">Valid </v>
      </c>
      <c r="AL1126" t="str">
        <f>IF(AND(Audit_Data[[#This Row],[Recency]]&gt;=0,Audit_Data[[#This Row],[Recency]]&lt;=100),"Valid","Invalid")</f>
        <v>Valid</v>
      </c>
      <c r="AM1126" t="str">
        <f t="shared" si="227"/>
        <v>Valid</v>
      </c>
      <c r="AN1126" t="str">
        <f t="shared" si="228"/>
        <v>Valid</v>
      </c>
      <c r="AO1126" t="str">
        <f t="shared" si="229"/>
        <v>Valid</v>
      </c>
      <c r="AP1126" t="str">
        <f t="shared" si="230"/>
        <v>Valid</v>
      </c>
      <c r="AQ1126" t="str">
        <f>IF(Audit_Data[[#This Row],[Z_CostContact]]=3,"Valid","Invalid")</f>
        <v>Valid</v>
      </c>
      <c r="AR1126" t="str">
        <f t="shared" si="231"/>
        <v>Valid</v>
      </c>
      <c r="AS1126" t="str">
        <f t="shared" si="232"/>
        <v>Valid</v>
      </c>
    </row>
    <row r="1127" spans="1:45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 t="str">
        <f t="shared" si="221"/>
        <v>Ok</v>
      </c>
      <c r="AE1127" t="str">
        <f>IF(AND(Audit_Data[[#This Row],[Year_Birth]]&gt;=1900,Audit_Data[[#This Row],[Year_Birth]]&lt;=2010),"OK","Invalid")</f>
        <v>OK</v>
      </c>
      <c r="AF1127" t="str">
        <f t="shared" si="222"/>
        <v>Valid</v>
      </c>
      <c r="AG1127" t="str">
        <f t="shared" si="223"/>
        <v>Valid</v>
      </c>
      <c r="AH1127" t="str">
        <f t="shared" si="224"/>
        <v>Valid</v>
      </c>
      <c r="AI1127" t="str">
        <f t="shared" si="225"/>
        <v>Valid</v>
      </c>
      <c r="AJ1127" t="str">
        <f t="shared" si="226"/>
        <v>Valid</v>
      </c>
      <c r="AK1127" t="str">
        <f t="shared" si="233"/>
        <v xml:space="preserve">Valid </v>
      </c>
      <c r="AL1127" t="str">
        <f>IF(AND(Audit_Data[[#This Row],[Recency]]&gt;=0,Audit_Data[[#This Row],[Recency]]&lt;=100),"Valid","Invalid")</f>
        <v>Valid</v>
      </c>
      <c r="AM1127" t="str">
        <f t="shared" si="227"/>
        <v>Valid</v>
      </c>
      <c r="AN1127" t="str">
        <f t="shared" si="228"/>
        <v>Valid</v>
      </c>
      <c r="AO1127" t="str">
        <f t="shared" si="229"/>
        <v>Valid</v>
      </c>
      <c r="AP1127" t="str">
        <f t="shared" si="230"/>
        <v>Valid</v>
      </c>
      <c r="AQ1127" t="str">
        <f>IF(Audit_Data[[#This Row],[Z_CostContact]]=3,"Valid","Invalid")</f>
        <v>Valid</v>
      </c>
      <c r="AR1127" t="str">
        <f t="shared" si="231"/>
        <v>Valid</v>
      </c>
      <c r="AS1127" t="str">
        <f t="shared" si="232"/>
        <v>Valid</v>
      </c>
    </row>
    <row r="1128" spans="1:45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 t="str">
        <f t="shared" si="221"/>
        <v>Ok</v>
      </c>
      <c r="AE1128" t="str">
        <f>IF(AND(Audit_Data[[#This Row],[Year_Birth]]&gt;=1900,Audit_Data[[#This Row],[Year_Birth]]&lt;=2010),"OK","Invalid")</f>
        <v>OK</v>
      </c>
      <c r="AF1128" t="str">
        <f t="shared" si="222"/>
        <v>Valid</v>
      </c>
      <c r="AG1128" t="str">
        <f t="shared" si="223"/>
        <v>Valid</v>
      </c>
      <c r="AH1128" t="str">
        <f t="shared" si="224"/>
        <v>Valid</v>
      </c>
      <c r="AI1128" t="str">
        <f t="shared" si="225"/>
        <v>Valid</v>
      </c>
      <c r="AJ1128" t="str">
        <f t="shared" si="226"/>
        <v>Valid</v>
      </c>
      <c r="AK1128" t="str">
        <f t="shared" si="233"/>
        <v xml:space="preserve">Valid </v>
      </c>
      <c r="AL1128" t="str">
        <f>IF(AND(Audit_Data[[#This Row],[Recency]]&gt;=0,Audit_Data[[#This Row],[Recency]]&lt;=100),"Valid","Invalid")</f>
        <v>Valid</v>
      </c>
      <c r="AM1128" t="str">
        <f t="shared" si="227"/>
        <v>Valid</v>
      </c>
      <c r="AN1128" t="str">
        <f t="shared" si="228"/>
        <v>Valid</v>
      </c>
      <c r="AO1128" t="str">
        <f t="shared" si="229"/>
        <v>Valid</v>
      </c>
      <c r="AP1128" t="str">
        <f t="shared" si="230"/>
        <v>Valid</v>
      </c>
      <c r="AQ1128" t="str">
        <f>IF(Audit_Data[[#This Row],[Z_CostContact]]=3,"Valid","Invalid")</f>
        <v>Valid</v>
      </c>
      <c r="AR1128" t="str">
        <f t="shared" si="231"/>
        <v>Valid</v>
      </c>
      <c r="AS1128" t="str">
        <f t="shared" si="232"/>
        <v>Valid</v>
      </c>
    </row>
    <row r="1129" spans="1:45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 t="str">
        <f t="shared" si="221"/>
        <v>Ok</v>
      </c>
      <c r="AE1129" t="str">
        <f>IF(AND(Audit_Data[[#This Row],[Year_Birth]]&gt;=1900,Audit_Data[[#This Row],[Year_Birth]]&lt;=2010),"OK","Invalid")</f>
        <v>OK</v>
      </c>
      <c r="AF1129" t="str">
        <f t="shared" si="222"/>
        <v>Valid</v>
      </c>
      <c r="AG1129" t="str">
        <f t="shared" si="223"/>
        <v>Valid</v>
      </c>
      <c r="AH1129" t="str">
        <f t="shared" si="224"/>
        <v>Valid</v>
      </c>
      <c r="AI1129" t="str">
        <f t="shared" si="225"/>
        <v>Valid</v>
      </c>
      <c r="AJ1129" t="str">
        <f t="shared" si="226"/>
        <v>Valid</v>
      </c>
      <c r="AK1129" t="str">
        <f t="shared" si="233"/>
        <v xml:space="preserve">Valid </v>
      </c>
      <c r="AL1129" t="str">
        <f>IF(AND(Audit_Data[[#This Row],[Recency]]&gt;=0,Audit_Data[[#This Row],[Recency]]&lt;=100),"Valid","Invalid")</f>
        <v>Valid</v>
      </c>
      <c r="AM1129" t="str">
        <f t="shared" si="227"/>
        <v>Valid</v>
      </c>
      <c r="AN1129" t="str">
        <f t="shared" si="228"/>
        <v>Valid</v>
      </c>
      <c r="AO1129" t="str">
        <f t="shared" si="229"/>
        <v>Valid</v>
      </c>
      <c r="AP1129" t="str">
        <f t="shared" si="230"/>
        <v>Valid</v>
      </c>
      <c r="AQ1129" t="str">
        <f>IF(Audit_Data[[#This Row],[Z_CostContact]]=3,"Valid","Invalid")</f>
        <v>Valid</v>
      </c>
      <c r="AR1129" t="str">
        <f t="shared" si="231"/>
        <v>Valid</v>
      </c>
      <c r="AS1129" t="str">
        <f t="shared" si="232"/>
        <v>Valid</v>
      </c>
    </row>
    <row r="1130" spans="1:45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 t="str">
        <f t="shared" si="221"/>
        <v>Ok</v>
      </c>
      <c r="AE1130" t="str">
        <f>IF(AND(Audit_Data[[#This Row],[Year_Birth]]&gt;=1900,Audit_Data[[#This Row],[Year_Birth]]&lt;=2010),"OK","Invalid")</f>
        <v>OK</v>
      </c>
      <c r="AF1130" t="str">
        <f t="shared" si="222"/>
        <v>Valid</v>
      </c>
      <c r="AG1130" t="str">
        <f t="shared" si="223"/>
        <v>Valid</v>
      </c>
      <c r="AH1130" t="str">
        <f t="shared" si="224"/>
        <v>Valid</v>
      </c>
      <c r="AI1130" t="str">
        <f t="shared" si="225"/>
        <v>Valid</v>
      </c>
      <c r="AJ1130" t="str">
        <f t="shared" si="226"/>
        <v>Valid</v>
      </c>
      <c r="AK1130" t="str">
        <f t="shared" si="233"/>
        <v xml:space="preserve">Valid </v>
      </c>
      <c r="AL1130" t="str">
        <f>IF(AND(Audit_Data[[#This Row],[Recency]]&gt;=0,Audit_Data[[#This Row],[Recency]]&lt;=100),"Valid","Invalid")</f>
        <v>Valid</v>
      </c>
      <c r="AM1130" t="str">
        <f t="shared" si="227"/>
        <v>Valid</v>
      </c>
      <c r="AN1130" t="str">
        <f t="shared" si="228"/>
        <v>Valid</v>
      </c>
      <c r="AO1130" t="str">
        <f t="shared" si="229"/>
        <v>Valid</v>
      </c>
      <c r="AP1130" t="str">
        <f t="shared" si="230"/>
        <v>Valid</v>
      </c>
      <c r="AQ1130" t="str">
        <f>IF(Audit_Data[[#This Row],[Z_CostContact]]=3,"Valid","Invalid")</f>
        <v>Valid</v>
      </c>
      <c r="AR1130" t="str">
        <f t="shared" si="231"/>
        <v>Valid</v>
      </c>
      <c r="AS1130" t="str">
        <f t="shared" si="232"/>
        <v>Valid</v>
      </c>
    </row>
    <row r="1131" spans="1:45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 t="str">
        <f t="shared" si="221"/>
        <v>Ok</v>
      </c>
      <c r="AE1131" t="str">
        <f>IF(AND(Audit_Data[[#This Row],[Year_Birth]]&gt;=1900,Audit_Data[[#This Row],[Year_Birth]]&lt;=2010),"OK","Invalid")</f>
        <v>OK</v>
      </c>
      <c r="AF1131" t="str">
        <f t="shared" si="222"/>
        <v>Valid</v>
      </c>
      <c r="AG1131" t="str">
        <f t="shared" si="223"/>
        <v>Valid</v>
      </c>
      <c r="AH1131" t="str">
        <f t="shared" si="224"/>
        <v>Valid</v>
      </c>
      <c r="AI1131" t="str">
        <f t="shared" si="225"/>
        <v>Valid</v>
      </c>
      <c r="AJ1131" t="str">
        <f t="shared" si="226"/>
        <v>Valid</v>
      </c>
      <c r="AK1131" t="str">
        <f t="shared" si="233"/>
        <v xml:space="preserve">Valid </v>
      </c>
      <c r="AL1131" t="str">
        <f>IF(AND(Audit_Data[[#This Row],[Recency]]&gt;=0,Audit_Data[[#This Row],[Recency]]&lt;=100),"Valid","Invalid")</f>
        <v>Valid</v>
      </c>
      <c r="AM1131" t="str">
        <f t="shared" si="227"/>
        <v>Valid</v>
      </c>
      <c r="AN1131" t="str">
        <f t="shared" si="228"/>
        <v>Valid</v>
      </c>
      <c r="AO1131" t="str">
        <f t="shared" si="229"/>
        <v>Valid</v>
      </c>
      <c r="AP1131" t="str">
        <f t="shared" si="230"/>
        <v>Valid</v>
      </c>
      <c r="AQ1131" t="str">
        <f>IF(Audit_Data[[#This Row],[Z_CostContact]]=3,"Valid","Invalid")</f>
        <v>Valid</v>
      </c>
      <c r="AR1131" t="str">
        <f t="shared" si="231"/>
        <v>Valid</v>
      </c>
      <c r="AS1131" t="str">
        <f t="shared" si="232"/>
        <v>Valid</v>
      </c>
    </row>
    <row r="1132" spans="1:45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 t="str">
        <f t="shared" si="221"/>
        <v>Ok</v>
      </c>
      <c r="AE1132" t="str">
        <f>IF(AND(Audit_Data[[#This Row],[Year_Birth]]&gt;=1900,Audit_Data[[#This Row],[Year_Birth]]&lt;=2010),"OK","Invalid")</f>
        <v>OK</v>
      </c>
      <c r="AF1132" t="str">
        <f t="shared" si="222"/>
        <v>Valid</v>
      </c>
      <c r="AG1132" t="str">
        <f t="shared" si="223"/>
        <v>Valid</v>
      </c>
      <c r="AH1132" t="str">
        <f t="shared" si="224"/>
        <v>Valid</v>
      </c>
      <c r="AI1132" t="str">
        <f t="shared" si="225"/>
        <v>Valid</v>
      </c>
      <c r="AJ1132" t="str">
        <f t="shared" si="226"/>
        <v>Valid</v>
      </c>
      <c r="AK1132" t="str">
        <f t="shared" si="233"/>
        <v xml:space="preserve">Valid </v>
      </c>
      <c r="AL1132" t="str">
        <f>IF(AND(Audit_Data[[#This Row],[Recency]]&gt;=0,Audit_Data[[#This Row],[Recency]]&lt;=100),"Valid","Invalid")</f>
        <v>Valid</v>
      </c>
      <c r="AM1132" t="str">
        <f t="shared" si="227"/>
        <v>Valid</v>
      </c>
      <c r="AN1132" t="str">
        <f t="shared" si="228"/>
        <v>Valid</v>
      </c>
      <c r="AO1132" t="str">
        <f t="shared" si="229"/>
        <v>Valid</v>
      </c>
      <c r="AP1132" t="str">
        <f t="shared" si="230"/>
        <v>Valid</v>
      </c>
      <c r="AQ1132" t="str">
        <f>IF(Audit_Data[[#This Row],[Z_CostContact]]=3,"Valid","Invalid")</f>
        <v>Valid</v>
      </c>
      <c r="AR1132" t="str">
        <f t="shared" si="231"/>
        <v>Valid</v>
      </c>
      <c r="AS1132" t="str">
        <f t="shared" si="232"/>
        <v>Valid</v>
      </c>
    </row>
    <row r="1133" spans="1:45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 t="str">
        <f t="shared" si="221"/>
        <v>Ok</v>
      </c>
      <c r="AE1133" t="str">
        <f>IF(AND(Audit_Data[[#This Row],[Year_Birth]]&gt;=1900,Audit_Data[[#This Row],[Year_Birth]]&lt;=2010),"OK","Invalid")</f>
        <v>OK</v>
      </c>
      <c r="AF1133" t="str">
        <f t="shared" si="222"/>
        <v>Valid</v>
      </c>
      <c r="AG1133" t="str">
        <f t="shared" si="223"/>
        <v>Valid</v>
      </c>
      <c r="AH1133" t="str">
        <f t="shared" si="224"/>
        <v>Valid</v>
      </c>
      <c r="AI1133" t="str">
        <f t="shared" si="225"/>
        <v>Valid</v>
      </c>
      <c r="AJ1133" t="str">
        <f t="shared" si="226"/>
        <v>Valid</v>
      </c>
      <c r="AK1133" t="str">
        <f t="shared" si="233"/>
        <v xml:space="preserve">Valid </v>
      </c>
      <c r="AL1133" t="str">
        <f>IF(AND(Audit_Data[[#This Row],[Recency]]&gt;=0,Audit_Data[[#This Row],[Recency]]&lt;=100),"Valid","Invalid")</f>
        <v>Valid</v>
      </c>
      <c r="AM1133" t="str">
        <f t="shared" si="227"/>
        <v>Valid</v>
      </c>
      <c r="AN1133" t="str">
        <f t="shared" si="228"/>
        <v>Valid</v>
      </c>
      <c r="AO1133" t="str">
        <f t="shared" si="229"/>
        <v>Valid</v>
      </c>
      <c r="AP1133" t="str">
        <f t="shared" si="230"/>
        <v>Valid</v>
      </c>
      <c r="AQ1133" t="str">
        <f>IF(Audit_Data[[#This Row],[Z_CostContact]]=3,"Valid","Invalid")</f>
        <v>Valid</v>
      </c>
      <c r="AR1133" t="str">
        <f t="shared" si="231"/>
        <v>Valid</v>
      </c>
      <c r="AS1133" t="str">
        <f t="shared" si="232"/>
        <v>Valid</v>
      </c>
    </row>
    <row r="1134" spans="1:45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 t="str">
        <f t="shared" si="221"/>
        <v>Ok</v>
      </c>
      <c r="AE1134" t="str">
        <f>IF(AND(Audit_Data[[#This Row],[Year_Birth]]&gt;=1900,Audit_Data[[#This Row],[Year_Birth]]&lt;=2010),"OK","Invalid")</f>
        <v>OK</v>
      </c>
      <c r="AF1134" t="str">
        <f t="shared" si="222"/>
        <v>Valid</v>
      </c>
      <c r="AG1134" t="str">
        <f t="shared" si="223"/>
        <v>Valid</v>
      </c>
      <c r="AH1134" t="str">
        <f t="shared" si="224"/>
        <v>Valid</v>
      </c>
      <c r="AI1134" t="str">
        <f t="shared" si="225"/>
        <v>Valid</v>
      </c>
      <c r="AJ1134" t="str">
        <f t="shared" si="226"/>
        <v>Valid</v>
      </c>
      <c r="AK1134" t="str">
        <f t="shared" si="233"/>
        <v xml:space="preserve">Valid </v>
      </c>
      <c r="AL1134" t="str">
        <f>IF(AND(Audit_Data[[#This Row],[Recency]]&gt;=0,Audit_Data[[#This Row],[Recency]]&lt;=100),"Valid","Invalid")</f>
        <v>Valid</v>
      </c>
      <c r="AM1134" t="str">
        <f t="shared" si="227"/>
        <v>Valid</v>
      </c>
      <c r="AN1134" t="str">
        <f t="shared" si="228"/>
        <v>Valid</v>
      </c>
      <c r="AO1134" t="str">
        <f t="shared" si="229"/>
        <v>Valid</v>
      </c>
      <c r="AP1134" t="str">
        <f t="shared" si="230"/>
        <v>Valid</v>
      </c>
      <c r="AQ1134" t="str">
        <f>IF(Audit_Data[[#This Row],[Z_CostContact]]=3,"Valid","Invalid")</f>
        <v>Valid</v>
      </c>
      <c r="AR1134" t="str">
        <f t="shared" si="231"/>
        <v>Valid</v>
      </c>
      <c r="AS1134" t="str">
        <f t="shared" si="232"/>
        <v>Valid</v>
      </c>
    </row>
    <row r="1135" spans="1:45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 t="str">
        <f t="shared" si="221"/>
        <v>Ok</v>
      </c>
      <c r="AE1135" t="str">
        <f>IF(AND(Audit_Data[[#This Row],[Year_Birth]]&gt;=1900,Audit_Data[[#This Row],[Year_Birth]]&lt;=2010),"OK","Invalid")</f>
        <v>OK</v>
      </c>
      <c r="AF1135" t="str">
        <f t="shared" si="222"/>
        <v>Valid</v>
      </c>
      <c r="AG1135" t="str">
        <f t="shared" si="223"/>
        <v>Valid</v>
      </c>
      <c r="AH1135" t="str">
        <f t="shared" si="224"/>
        <v>Valid</v>
      </c>
      <c r="AI1135" t="str">
        <f t="shared" si="225"/>
        <v>Valid</v>
      </c>
      <c r="AJ1135" t="str">
        <f t="shared" si="226"/>
        <v>Valid</v>
      </c>
      <c r="AK1135" t="str">
        <f t="shared" si="233"/>
        <v xml:space="preserve">Valid </v>
      </c>
      <c r="AL1135" t="str">
        <f>IF(AND(Audit_Data[[#This Row],[Recency]]&gt;=0,Audit_Data[[#This Row],[Recency]]&lt;=100),"Valid","Invalid")</f>
        <v>Valid</v>
      </c>
      <c r="AM1135" t="str">
        <f t="shared" si="227"/>
        <v>Valid</v>
      </c>
      <c r="AN1135" t="str">
        <f t="shared" si="228"/>
        <v>Valid</v>
      </c>
      <c r="AO1135" t="str">
        <f t="shared" si="229"/>
        <v>Valid</v>
      </c>
      <c r="AP1135" t="str">
        <f t="shared" si="230"/>
        <v>Valid</v>
      </c>
      <c r="AQ1135" t="str">
        <f>IF(Audit_Data[[#This Row],[Z_CostContact]]=3,"Valid","Invalid")</f>
        <v>Valid</v>
      </c>
      <c r="AR1135" t="str">
        <f t="shared" si="231"/>
        <v>Valid</v>
      </c>
      <c r="AS1135" t="str">
        <f t="shared" si="232"/>
        <v>Valid</v>
      </c>
    </row>
    <row r="1136" spans="1:45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 t="str">
        <f t="shared" si="221"/>
        <v>Ok</v>
      </c>
      <c r="AE1136" t="str">
        <f>IF(AND(Audit_Data[[#This Row],[Year_Birth]]&gt;=1900,Audit_Data[[#This Row],[Year_Birth]]&lt;=2010),"OK","Invalid")</f>
        <v>OK</v>
      </c>
      <c r="AF1136" t="str">
        <f t="shared" si="222"/>
        <v>Valid</v>
      </c>
      <c r="AG1136" t="str">
        <f t="shared" si="223"/>
        <v>Valid</v>
      </c>
      <c r="AH1136" t="str">
        <f t="shared" si="224"/>
        <v>Valid</v>
      </c>
      <c r="AI1136" t="str">
        <f t="shared" si="225"/>
        <v>Valid</v>
      </c>
      <c r="AJ1136" t="str">
        <f t="shared" si="226"/>
        <v>Valid</v>
      </c>
      <c r="AK1136" t="str">
        <f t="shared" si="233"/>
        <v xml:space="preserve">Valid </v>
      </c>
      <c r="AL1136" t="str">
        <f>IF(AND(Audit_Data[[#This Row],[Recency]]&gt;=0,Audit_Data[[#This Row],[Recency]]&lt;=100),"Valid","Invalid")</f>
        <v>Valid</v>
      </c>
      <c r="AM1136" t="str">
        <f t="shared" si="227"/>
        <v>Valid</v>
      </c>
      <c r="AN1136" t="str">
        <f t="shared" si="228"/>
        <v>Valid</v>
      </c>
      <c r="AO1136" t="str">
        <f t="shared" si="229"/>
        <v>Valid</v>
      </c>
      <c r="AP1136" t="str">
        <f t="shared" si="230"/>
        <v>Valid</v>
      </c>
      <c r="AQ1136" t="str">
        <f>IF(Audit_Data[[#This Row],[Z_CostContact]]=3,"Valid","Invalid")</f>
        <v>Valid</v>
      </c>
      <c r="AR1136" t="str">
        <f t="shared" si="231"/>
        <v>Valid</v>
      </c>
      <c r="AS1136" t="str">
        <f t="shared" si="232"/>
        <v>Valid</v>
      </c>
    </row>
    <row r="1137" spans="1:45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 t="str">
        <f t="shared" si="221"/>
        <v>Ok</v>
      </c>
      <c r="AE1137" t="str">
        <f>IF(AND(Audit_Data[[#This Row],[Year_Birth]]&gt;=1900,Audit_Data[[#This Row],[Year_Birth]]&lt;=2010),"OK","Invalid")</f>
        <v>OK</v>
      </c>
      <c r="AF1137" t="str">
        <f t="shared" si="222"/>
        <v>Valid</v>
      </c>
      <c r="AG1137" t="str">
        <f t="shared" si="223"/>
        <v>Valid</v>
      </c>
      <c r="AH1137" t="str">
        <f t="shared" si="224"/>
        <v>Valid</v>
      </c>
      <c r="AI1137" t="str">
        <f t="shared" si="225"/>
        <v>Valid</v>
      </c>
      <c r="AJ1137" t="str">
        <f t="shared" si="226"/>
        <v>Valid</v>
      </c>
      <c r="AK1137" t="str">
        <f t="shared" si="233"/>
        <v xml:space="preserve">Valid </v>
      </c>
      <c r="AL1137" t="str">
        <f>IF(AND(Audit_Data[[#This Row],[Recency]]&gt;=0,Audit_Data[[#This Row],[Recency]]&lt;=100),"Valid","Invalid")</f>
        <v>Valid</v>
      </c>
      <c r="AM1137" t="str">
        <f t="shared" si="227"/>
        <v>Valid</v>
      </c>
      <c r="AN1137" t="str">
        <f t="shared" si="228"/>
        <v>Valid</v>
      </c>
      <c r="AO1137" t="str">
        <f t="shared" si="229"/>
        <v>Valid</v>
      </c>
      <c r="AP1137" t="str">
        <f t="shared" si="230"/>
        <v>Valid</v>
      </c>
      <c r="AQ1137" t="str">
        <f>IF(Audit_Data[[#This Row],[Z_CostContact]]=3,"Valid","Invalid")</f>
        <v>Valid</v>
      </c>
      <c r="AR1137" t="str">
        <f t="shared" si="231"/>
        <v>Valid</v>
      </c>
      <c r="AS1137" t="str">
        <f t="shared" si="232"/>
        <v>Valid</v>
      </c>
    </row>
    <row r="1138" spans="1:45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 t="str">
        <f t="shared" si="221"/>
        <v>Ok</v>
      </c>
      <c r="AE1138" t="str">
        <f>IF(AND(Audit_Data[[#This Row],[Year_Birth]]&gt;=1900,Audit_Data[[#This Row],[Year_Birth]]&lt;=2010),"OK","Invalid")</f>
        <v>OK</v>
      </c>
      <c r="AF1138" t="str">
        <f t="shared" si="222"/>
        <v>Valid</v>
      </c>
      <c r="AG1138" t="str">
        <f t="shared" si="223"/>
        <v>Valid</v>
      </c>
      <c r="AH1138" t="str">
        <f t="shared" si="224"/>
        <v>Valid</v>
      </c>
      <c r="AI1138" t="str">
        <f t="shared" si="225"/>
        <v>Valid</v>
      </c>
      <c r="AJ1138" t="str">
        <f t="shared" si="226"/>
        <v>Valid</v>
      </c>
      <c r="AK1138" t="str">
        <f t="shared" si="233"/>
        <v xml:space="preserve">Valid </v>
      </c>
      <c r="AL1138" t="str">
        <f>IF(AND(Audit_Data[[#This Row],[Recency]]&gt;=0,Audit_Data[[#This Row],[Recency]]&lt;=100),"Valid","Invalid")</f>
        <v>Valid</v>
      </c>
      <c r="AM1138" t="str">
        <f t="shared" si="227"/>
        <v>Valid</v>
      </c>
      <c r="AN1138" t="str">
        <f t="shared" si="228"/>
        <v>Valid</v>
      </c>
      <c r="AO1138" t="str">
        <f t="shared" si="229"/>
        <v>Valid</v>
      </c>
      <c r="AP1138" t="str">
        <f t="shared" si="230"/>
        <v>Valid</v>
      </c>
      <c r="AQ1138" t="str">
        <f>IF(Audit_Data[[#This Row],[Z_CostContact]]=3,"Valid","Invalid")</f>
        <v>Valid</v>
      </c>
      <c r="AR1138" t="str">
        <f t="shared" si="231"/>
        <v>Valid</v>
      </c>
      <c r="AS1138" t="str">
        <f t="shared" si="232"/>
        <v>Valid</v>
      </c>
    </row>
    <row r="1139" spans="1:45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 t="str">
        <f t="shared" si="221"/>
        <v>Ok</v>
      </c>
      <c r="AE1139" t="str">
        <f>IF(AND(Audit_Data[[#This Row],[Year_Birth]]&gt;=1900,Audit_Data[[#This Row],[Year_Birth]]&lt;=2010),"OK","Invalid")</f>
        <v>OK</v>
      </c>
      <c r="AF1139" t="str">
        <f t="shared" si="222"/>
        <v>Valid</v>
      </c>
      <c r="AG1139" t="str">
        <f t="shared" si="223"/>
        <v>Valid</v>
      </c>
      <c r="AH1139" t="str">
        <f t="shared" si="224"/>
        <v>Valid</v>
      </c>
      <c r="AI1139" t="str">
        <f t="shared" si="225"/>
        <v>Valid</v>
      </c>
      <c r="AJ1139" t="str">
        <f t="shared" si="226"/>
        <v>Valid</v>
      </c>
      <c r="AK1139" t="str">
        <f t="shared" si="233"/>
        <v xml:space="preserve">Valid </v>
      </c>
      <c r="AL1139" t="str">
        <f>IF(AND(Audit_Data[[#This Row],[Recency]]&gt;=0,Audit_Data[[#This Row],[Recency]]&lt;=100),"Valid","Invalid")</f>
        <v>Valid</v>
      </c>
      <c r="AM1139" t="str">
        <f t="shared" si="227"/>
        <v>Valid</v>
      </c>
      <c r="AN1139" t="str">
        <f t="shared" si="228"/>
        <v>Valid</v>
      </c>
      <c r="AO1139" t="str">
        <f t="shared" si="229"/>
        <v>Valid</v>
      </c>
      <c r="AP1139" t="str">
        <f t="shared" si="230"/>
        <v>Valid</v>
      </c>
      <c r="AQ1139" t="str">
        <f>IF(Audit_Data[[#This Row],[Z_CostContact]]=3,"Valid","Invalid")</f>
        <v>Valid</v>
      </c>
      <c r="AR1139" t="str">
        <f t="shared" si="231"/>
        <v>Valid</v>
      </c>
      <c r="AS1139" t="str">
        <f t="shared" si="232"/>
        <v>Valid</v>
      </c>
    </row>
    <row r="1140" spans="1:45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 t="str">
        <f t="shared" si="221"/>
        <v>Ok</v>
      </c>
      <c r="AE1140" t="str">
        <f>IF(AND(Audit_Data[[#This Row],[Year_Birth]]&gt;=1900,Audit_Data[[#This Row],[Year_Birth]]&lt;=2010),"OK","Invalid")</f>
        <v>OK</v>
      </c>
      <c r="AF1140" t="str">
        <f t="shared" si="222"/>
        <v>Valid</v>
      </c>
      <c r="AG1140" t="str">
        <f t="shared" si="223"/>
        <v>Valid</v>
      </c>
      <c r="AH1140" t="str">
        <f t="shared" si="224"/>
        <v>Valid</v>
      </c>
      <c r="AI1140" t="str">
        <f t="shared" si="225"/>
        <v>Valid</v>
      </c>
      <c r="AJ1140" t="str">
        <f t="shared" si="226"/>
        <v>Valid</v>
      </c>
      <c r="AK1140" t="str">
        <f t="shared" si="233"/>
        <v xml:space="preserve">Valid </v>
      </c>
      <c r="AL1140" t="str">
        <f>IF(AND(Audit_Data[[#This Row],[Recency]]&gt;=0,Audit_Data[[#This Row],[Recency]]&lt;=100),"Valid","Invalid")</f>
        <v>Valid</v>
      </c>
      <c r="AM1140" t="str">
        <f t="shared" si="227"/>
        <v>Valid</v>
      </c>
      <c r="AN1140" t="str">
        <f t="shared" si="228"/>
        <v>Valid</v>
      </c>
      <c r="AO1140" t="str">
        <f t="shared" si="229"/>
        <v>Valid</v>
      </c>
      <c r="AP1140" t="str">
        <f t="shared" si="230"/>
        <v>Valid</v>
      </c>
      <c r="AQ1140" t="str">
        <f>IF(Audit_Data[[#This Row],[Z_CostContact]]=3,"Valid","Invalid")</f>
        <v>Valid</v>
      </c>
      <c r="AR1140" t="str">
        <f t="shared" si="231"/>
        <v>Valid</v>
      </c>
      <c r="AS1140" t="str">
        <f t="shared" si="232"/>
        <v>Valid</v>
      </c>
    </row>
    <row r="1141" spans="1:45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 t="str">
        <f t="shared" si="221"/>
        <v>Ok</v>
      </c>
      <c r="AE1141" t="str">
        <f>IF(AND(Audit_Data[[#This Row],[Year_Birth]]&gt;=1900,Audit_Data[[#This Row],[Year_Birth]]&lt;=2010),"OK","Invalid")</f>
        <v>OK</v>
      </c>
      <c r="AF1141" t="str">
        <f t="shared" si="222"/>
        <v>Valid</v>
      </c>
      <c r="AG1141" t="str">
        <f t="shared" si="223"/>
        <v>Valid</v>
      </c>
      <c r="AH1141" t="str">
        <f t="shared" si="224"/>
        <v>Valid</v>
      </c>
      <c r="AI1141" t="str">
        <f t="shared" si="225"/>
        <v>Valid</v>
      </c>
      <c r="AJ1141" t="str">
        <f t="shared" si="226"/>
        <v>Valid</v>
      </c>
      <c r="AK1141" t="str">
        <f t="shared" si="233"/>
        <v xml:space="preserve">Valid </v>
      </c>
      <c r="AL1141" t="str">
        <f>IF(AND(Audit_Data[[#This Row],[Recency]]&gt;=0,Audit_Data[[#This Row],[Recency]]&lt;=100),"Valid","Invalid")</f>
        <v>Valid</v>
      </c>
      <c r="AM1141" t="str">
        <f t="shared" si="227"/>
        <v>Valid</v>
      </c>
      <c r="AN1141" t="str">
        <f t="shared" si="228"/>
        <v>Valid</v>
      </c>
      <c r="AO1141" t="str">
        <f t="shared" si="229"/>
        <v>Valid</v>
      </c>
      <c r="AP1141" t="str">
        <f t="shared" si="230"/>
        <v>Valid</v>
      </c>
      <c r="AQ1141" t="str">
        <f>IF(Audit_Data[[#This Row],[Z_CostContact]]=3,"Valid","Invalid")</f>
        <v>Valid</v>
      </c>
      <c r="AR1141" t="str">
        <f t="shared" si="231"/>
        <v>Valid</v>
      </c>
      <c r="AS1141" t="str">
        <f t="shared" si="232"/>
        <v>Valid</v>
      </c>
    </row>
    <row r="1142" spans="1:45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 t="str">
        <f t="shared" si="221"/>
        <v>Ok</v>
      </c>
      <c r="AE1142" t="str">
        <f>IF(AND(Audit_Data[[#This Row],[Year_Birth]]&gt;=1900,Audit_Data[[#This Row],[Year_Birth]]&lt;=2010),"OK","Invalid")</f>
        <v>OK</v>
      </c>
      <c r="AF1142" t="str">
        <f t="shared" si="222"/>
        <v>Valid</v>
      </c>
      <c r="AG1142" t="str">
        <f t="shared" si="223"/>
        <v>Valid</v>
      </c>
      <c r="AH1142" t="str">
        <f t="shared" si="224"/>
        <v>Valid</v>
      </c>
      <c r="AI1142" t="str">
        <f t="shared" si="225"/>
        <v>Valid</v>
      </c>
      <c r="AJ1142" t="str">
        <f t="shared" si="226"/>
        <v>Valid</v>
      </c>
      <c r="AK1142" t="str">
        <f t="shared" si="233"/>
        <v xml:space="preserve">Valid </v>
      </c>
      <c r="AL1142" t="str">
        <f>IF(AND(Audit_Data[[#This Row],[Recency]]&gt;=0,Audit_Data[[#This Row],[Recency]]&lt;=100),"Valid","Invalid")</f>
        <v>Valid</v>
      </c>
      <c r="AM1142" t="str">
        <f t="shared" si="227"/>
        <v>Valid</v>
      </c>
      <c r="AN1142" t="str">
        <f t="shared" si="228"/>
        <v>Valid</v>
      </c>
      <c r="AO1142" t="str">
        <f t="shared" si="229"/>
        <v>Valid</v>
      </c>
      <c r="AP1142" t="str">
        <f t="shared" si="230"/>
        <v>Valid</v>
      </c>
      <c r="AQ1142" t="str">
        <f>IF(Audit_Data[[#This Row],[Z_CostContact]]=3,"Valid","Invalid")</f>
        <v>Valid</v>
      </c>
      <c r="AR1142" t="str">
        <f t="shared" si="231"/>
        <v>Valid</v>
      </c>
      <c r="AS1142" t="str">
        <f t="shared" si="232"/>
        <v>Valid</v>
      </c>
    </row>
    <row r="1143" spans="1:45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 t="str">
        <f t="shared" si="221"/>
        <v>Ok</v>
      </c>
      <c r="AE1143" t="str">
        <f>IF(AND(Audit_Data[[#This Row],[Year_Birth]]&gt;=1900,Audit_Data[[#This Row],[Year_Birth]]&lt;=2010),"OK","Invalid")</f>
        <v>OK</v>
      </c>
      <c r="AF1143" t="str">
        <f t="shared" si="222"/>
        <v>Valid</v>
      </c>
      <c r="AG1143" t="str">
        <f t="shared" si="223"/>
        <v>Valid</v>
      </c>
      <c r="AH1143" t="str">
        <f t="shared" si="224"/>
        <v>Valid</v>
      </c>
      <c r="AI1143" t="str">
        <f t="shared" si="225"/>
        <v>Valid</v>
      </c>
      <c r="AJ1143" t="str">
        <f t="shared" si="226"/>
        <v>Valid</v>
      </c>
      <c r="AK1143" t="str">
        <f t="shared" si="233"/>
        <v xml:space="preserve">Valid </v>
      </c>
      <c r="AL1143" t="str">
        <f>IF(AND(Audit_Data[[#This Row],[Recency]]&gt;=0,Audit_Data[[#This Row],[Recency]]&lt;=100),"Valid","Invalid")</f>
        <v>Valid</v>
      </c>
      <c r="AM1143" t="str">
        <f t="shared" si="227"/>
        <v>Valid</v>
      </c>
      <c r="AN1143" t="str">
        <f t="shared" si="228"/>
        <v>Valid</v>
      </c>
      <c r="AO1143" t="str">
        <f t="shared" si="229"/>
        <v>Valid</v>
      </c>
      <c r="AP1143" t="str">
        <f t="shared" si="230"/>
        <v>Valid</v>
      </c>
      <c r="AQ1143" t="str">
        <f>IF(Audit_Data[[#This Row],[Z_CostContact]]=3,"Valid","Invalid")</f>
        <v>Valid</v>
      </c>
      <c r="AR1143" t="str">
        <f t="shared" si="231"/>
        <v>Valid</v>
      </c>
      <c r="AS1143" t="str">
        <f t="shared" si="232"/>
        <v>Valid</v>
      </c>
    </row>
    <row r="1144" spans="1:45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 t="str">
        <f t="shared" si="221"/>
        <v>Ok</v>
      </c>
      <c r="AE1144" t="str">
        <f>IF(AND(Audit_Data[[#This Row],[Year_Birth]]&gt;=1900,Audit_Data[[#This Row],[Year_Birth]]&lt;=2010),"OK","Invalid")</f>
        <v>OK</v>
      </c>
      <c r="AF1144" t="str">
        <f t="shared" si="222"/>
        <v>Valid</v>
      </c>
      <c r="AG1144" t="str">
        <f t="shared" si="223"/>
        <v>Valid</v>
      </c>
      <c r="AH1144" t="str">
        <f t="shared" si="224"/>
        <v>Valid</v>
      </c>
      <c r="AI1144" t="str">
        <f t="shared" si="225"/>
        <v>Valid</v>
      </c>
      <c r="AJ1144" t="str">
        <f t="shared" si="226"/>
        <v>Valid</v>
      </c>
      <c r="AK1144" t="str">
        <f t="shared" si="233"/>
        <v xml:space="preserve">Valid </v>
      </c>
      <c r="AL1144" t="str">
        <f>IF(AND(Audit_Data[[#This Row],[Recency]]&gt;=0,Audit_Data[[#This Row],[Recency]]&lt;=100),"Valid","Invalid")</f>
        <v>Valid</v>
      </c>
      <c r="AM1144" t="str">
        <f t="shared" si="227"/>
        <v>Valid</v>
      </c>
      <c r="AN1144" t="str">
        <f t="shared" si="228"/>
        <v>Valid</v>
      </c>
      <c r="AO1144" t="str">
        <f t="shared" si="229"/>
        <v>Valid</v>
      </c>
      <c r="AP1144" t="str">
        <f t="shared" si="230"/>
        <v>Valid</v>
      </c>
      <c r="AQ1144" t="str">
        <f>IF(Audit_Data[[#This Row],[Z_CostContact]]=3,"Valid","Invalid")</f>
        <v>Valid</v>
      </c>
      <c r="AR1144" t="str">
        <f t="shared" si="231"/>
        <v>Valid</v>
      </c>
      <c r="AS1144" t="str">
        <f t="shared" si="232"/>
        <v>Valid</v>
      </c>
    </row>
    <row r="1145" spans="1:45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 t="str">
        <f t="shared" si="221"/>
        <v>Ok</v>
      </c>
      <c r="AE1145" t="str">
        <f>IF(AND(Audit_Data[[#This Row],[Year_Birth]]&gt;=1900,Audit_Data[[#This Row],[Year_Birth]]&lt;=2010),"OK","Invalid")</f>
        <v>OK</v>
      </c>
      <c r="AF1145" t="str">
        <f t="shared" si="222"/>
        <v>Valid</v>
      </c>
      <c r="AG1145" t="str">
        <f t="shared" si="223"/>
        <v>Valid</v>
      </c>
      <c r="AH1145" t="str">
        <f t="shared" si="224"/>
        <v>Valid</v>
      </c>
      <c r="AI1145" t="str">
        <f t="shared" si="225"/>
        <v>Valid</v>
      </c>
      <c r="AJ1145" t="str">
        <f t="shared" si="226"/>
        <v>Valid</v>
      </c>
      <c r="AK1145" t="str">
        <f t="shared" si="233"/>
        <v xml:space="preserve">Valid </v>
      </c>
      <c r="AL1145" t="str">
        <f>IF(AND(Audit_Data[[#This Row],[Recency]]&gt;=0,Audit_Data[[#This Row],[Recency]]&lt;=100),"Valid","Invalid")</f>
        <v>Valid</v>
      </c>
      <c r="AM1145" t="str">
        <f t="shared" si="227"/>
        <v>Valid</v>
      </c>
      <c r="AN1145" t="str">
        <f t="shared" si="228"/>
        <v>Valid</v>
      </c>
      <c r="AO1145" t="str">
        <f t="shared" si="229"/>
        <v>Valid</v>
      </c>
      <c r="AP1145" t="str">
        <f t="shared" si="230"/>
        <v>Valid</v>
      </c>
      <c r="AQ1145" t="str">
        <f>IF(Audit_Data[[#This Row],[Z_CostContact]]=3,"Valid","Invalid")</f>
        <v>Valid</v>
      </c>
      <c r="AR1145" t="str">
        <f t="shared" si="231"/>
        <v>Valid</v>
      </c>
      <c r="AS1145" t="str">
        <f t="shared" si="232"/>
        <v>Valid</v>
      </c>
    </row>
    <row r="1146" spans="1:45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 t="str">
        <f t="shared" si="221"/>
        <v>Ok</v>
      </c>
      <c r="AE1146" t="str">
        <f>IF(AND(Audit_Data[[#This Row],[Year_Birth]]&gt;=1900,Audit_Data[[#This Row],[Year_Birth]]&lt;=2010),"OK","Invalid")</f>
        <v>OK</v>
      </c>
      <c r="AF1146" t="str">
        <f t="shared" si="222"/>
        <v>Valid</v>
      </c>
      <c r="AG1146" t="str">
        <f t="shared" si="223"/>
        <v>Valid</v>
      </c>
      <c r="AH1146" t="str">
        <f t="shared" si="224"/>
        <v>Valid</v>
      </c>
      <c r="AI1146" t="str">
        <f t="shared" si="225"/>
        <v>Valid</v>
      </c>
      <c r="AJ1146" t="str">
        <f t="shared" si="226"/>
        <v>Valid</v>
      </c>
      <c r="AK1146" t="str">
        <f t="shared" si="233"/>
        <v xml:space="preserve">Valid </v>
      </c>
      <c r="AL1146" t="str">
        <f>IF(AND(Audit_Data[[#This Row],[Recency]]&gt;=0,Audit_Data[[#This Row],[Recency]]&lt;=100),"Valid","Invalid")</f>
        <v>Valid</v>
      </c>
      <c r="AM1146" t="str">
        <f t="shared" si="227"/>
        <v>Valid</v>
      </c>
      <c r="AN1146" t="str">
        <f t="shared" si="228"/>
        <v>Valid</v>
      </c>
      <c r="AO1146" t="str">
        <f t="shared" si="229"/>
        <v>Valid</v>
      </c>
      <c r="AP1146" t="str">
        <f t="shared" si="230"/>
        <v>Valid</v>
      </c>
      <c r="AQ1146" t="str">
        <f>IF(Audit_Data[[#This Row],[Z_CostContact]]=3,"Valid","Invalid")</f>
        <v>Valid</v>
      </c>
      <c r="AR1146" t="str">
        <f t="shared" si="231"/>
        <v>Valid</v>
      </c>
      <c r="AS1146" t="str">
        <f t="shared" si="232"/>
        <v>Valid</v>
      </c>
    </row>
    <row r="1147" spans="1:45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 t="str">
        <f t="shared" si="221"/>
        <v>Ok</v>
      </c>
      <c r="AE1147" t="str">
        <f>IF(AND(Audit_Data[[#This Row],[Year_Birth]]&gt;=1900,Audit_Data[[#This Row],[Year_Birth]]&lt;=2010),"OK","Invalid")</f>
        <v>OK</v>
      </c>
      <c r="AF1147" t="str">
        <f t="shared" si="222"/>
        <v>Valid</v>
      </c>
      <c r="AG1147" t="str">
        <f t="shared" si="223"/>
        <v>Valid</v>
      </c>
      <c r="AH1147" t="str">
        <f t="shared" si="224"/>
        <v>Valid</v>
      </c>
      <c r="AI1147" t="str">
        <f t="shared" si="225"/>
        <v>Valid</v>
      </c>
      <c r="AJ1147" t="str">
        <f t="shared" si="226"/>
        <v>Valid</v>
      </c>
      <c r="AK1147" t="str">
        <f t="shared" si="233"/>
        <v xml:space="preserve">Valid </v>
      </c>
      <c r="AL1147" t="str">
        <f>IF(AND(Audit_Data[[#This Row],[Recency]]&gt;=0,Audit_Data[[#This Row],[Recency]]&lt;=100),"Valid","Invalid")</f>
        <v>Valid</v>
      </c>
      <c r="AM1147" t="str">
        <f t="shared" si="227"/>
        <v>Valid</v>
      </c>
      <c r="AN1147" t="str">
        <f t="shared" si="228"/>
        <v>Valid</v>
      </c>
      <c r="AO1147" t="str">
        <f t="shared" si="229"/>
        <v>Valid</v>
      </c>
      <c r="AP1147" t="str">
        <f t="shared" si="230"/>
        <v>Valid</v>
      </c>
      <c r="AQ1147" t="str">
        <f>IF(Audit_Data[[#This Row],[Z_CostContact]]=3,"Valid","Invalid")</f>
        <v>Valid</v>
      </c>
      <c r="AR1147" t="str">
        <f t="shared" si="231"/>
        <v>Valid</v>
      </c>
      <c r="AS1147" t="str">
        <f t="shared" si="232"/>
        <v>Valid</v>
      </c>
    </row>
    <row r="1148" spans="1:45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 t="str">
        <f t="shared" si="221"/>
        <v>Ok</v>
      </c>
      <c r="AE1148" t="str">
        <f>IF(AND(Audit_Data[[#This Row],[Year_Birth]]&gt;=1900,Audit_Data[[#This Row],[Year_Birth]]&lt;=2010),"OK","Invalid")</f>
        <v>OK</v>
      </c>
      <c r="AF1148" t="str">
        <f t="shared" si="222"/>
        <v>Valid</v>
      </c>
      <c r="AG1148" t="str">
        <f t="shared" si="223"/>
        <v>Valid</v>
      </c>
      <c r="AH1148" t="str">
        <f t="shared" si="224"/>
        <v>Valid</v>
      </c>
      <c r="AI1148" t="str">
        <f t="shared" si="225"/>
        <v>Valid</v>
      </c>
      <c r="AJ1148" t="str">
        <f t="shared" si="226"/>
        <v>Valid</v>
      </c>
      <c r="AK1148" t="str">
        <f t="shared" si="233"/>
        <v xml:space="preserve">Valid </v>
      </c>
      <c r="AL1148" t="str">
        <f>IF(AND(Audit_Data[[#This Row],[Recency]]&gt;=0,Audit_Data[[#This Row],[Recency]]&lt;=100),"Valid","Invalid")</f>
        <v>Valid</v>
      </c>
      <c r="AM1148" t="str">
        <f t="shared" si="227"/>
        <v>Valid</v>
      </c>
      <c r="AN1148" t="str">
        <f t="shared" si="228"/>
        <v>Valid</v>
      </c>
      <c r="AO1148" t="str">
        <f t="shared" si="229"/>
        <v>Valid</v>
      </c>
      <c r="AP1148" t="str">
        <f t="shared" si="230"/>
        <v>Valid</v>
      </c>
      <c r="AQ1148" t="str">
        <f>IF(Audit_Data[[#This Row],[Z_CostContact]]=3,"Valid","Invalid")</f>
        <v>Valid</v>
      </c>
      <c r="AR1148" t="str">
        <f t="shared" si="231"/>
        <v>Valid</v>
      </c>
      <c r="AS1148" t="str">
        <f t="shared" si="232"/>
        <v>Valid</v>
      </c>
    </row>
    <row r="1149" spans="1:45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 t="str">
        <f t="shared" si="221"/>
        <v>Ok</v>
      </c>
      <c r="AE1149" t="str">
        <f>IF(AND(Audit_Data[[#This Row],[Year_Birth]]&gt;=1900,Audit_Data[[#This Row],[Year_Birth]]&lt;=2010),"OK","Invalid")</f>
        <v>OK</v>
      </c>
      <c r="AF1149" t="str">
        <f t="shared" si="222"/>
        <v>Valid</v>
      </c>
      <c r="AG1149" t="str">
        <f t="shared" si="223"/>
        <v>Valid</v>
      </c>
      <c r="AH1149" t="str">
        <f t="shared" si="224"/>
        <v>Valid</v>
      </c>
      <c r="AI1149" t="str">
        <f t="shared" si="225"/>
        <v>Valid</v>
      </c>
      <c r="AJ1149" t="str">
        <f t="shared" si="226"/>
        <v>Valid</v>
      </c>
      <c r="AK1149" t="str">
        <f t="shared" si="233"/>
        <v xml:space="preserve">Valid </v>
      </c>
      <c r="AL1149" t="str">
        <f>IF(AND(Audit_Data[[#This Row],[Recency]]&gt;=0,Audit_Data[[#This Row],[Recency]]&lt;=100),"Valid","Invalid")</f>
        <v>Valid</v>
      </c>
      <c r="AM1149" t="str">
        <f t="shared" si="227"/>
        <v>Valid</v>
      </c>
      <c r="AN1149" t="str">
        <f t="shared" si="228"/>
        <v>Valid</v>
      </c>
      <c r="AO1149" t="str">
        <f t="shared" si="229"/>
        <v>Valid</v>
      </c>
      <c r="AP1149" t="str">
        <f t="shared" si="230"/>
        <v>Valid</v>
      </c>
      <c r="AQ1149" t="str">
        <f>IF(Audit_Data[[#This Row],[Z_CostContact]]=3,"Valid","Invalid")</f>
        <v>Valid</v>
      </c>
      <c r="AR1149" t="str">
        <f t="shared" si="231"/>
        <v>Valid</v>
      </c>
      <c r="AS1149" t="str">
        <f t="shared" si="232"/>
        <v>Valid</v>
      </c>
    </row>
    <row r="1150" spans="1:45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 t="str">
        <f t="shared" si="221"/>
        <v>Ok</v>
      </c>
      <c r="AE1150" t="str">
        <f>IF(AND(Audit_Data[[#This Row],[Year_Birth]]&gt;=1900,Audit_Data[[#This Row],[Year_Birth]]&lt;=2010),"OK","Invalid")</f>
        <v>OK</v>
      </c>
      <c r="AF1150" t="str">
        <f t="shared" si="222"/>
        <v>Valid</v>
      </c>
      <c r="AG1150" t="str">
        <f t="shared" si="223"/>
        <v>Valid</v>
      </c>
      <c r="AH1150" t="str">
        <f t="shared" si="224"/>
        <v>Valid</v>
      </c>
      <c r="AI1150" t="str">
        <f t="shared" si="225"/>
        <v>Valid</v>
      </c>
      <c r="AJ1150" t="str">
        <f t="shared" si="226"/>
        <v>Valid</v>
      </c>
      <c r="AK1150" t="str">
        <f t="shared" si="233"/>
        <v xml:space="preserve">Valid </v>
      </c>
      <c r="AL1150" t="str">
        <f>IF(AND(Audit_Data[[#This Row],[Recency]]&gt;=0,Audit_Data[[#This Row],[Recency]]&lt;=100),"Valid","Invalid")</f>
        <v>Valid</v>
      </c>
      <c r="AM1150" t="str">
        <f t="shared" si="227"/>
        <v>Valid</v>
      </c>
      <c r="AN1150" t="str">
        <f t="shared" si="228"/>
        <v>Valid</v>
      </c>
      <c r="AO1150" t="str">
        <f t="shared" si="229"/>
        <v>Valid</v>
      </c>
      <c r="AP1150" t="str">
        <f t="shared" si="230"/>
        <v>Valid</v>
      </c>
      <c r="AQ1150" t="str">
        <f>IF(Audit_Data[[#This Row],[Z_CostContact]]=3,"Valid","Invalid")</f>
        <v>Valid</v>
      </c>
      <c r="AR1150" t="str">
        <f t="shared" si="231"/>
        <v>Valid</v>
      </c>
      <c r="AS1150" t="str">
        <f t="shared" si="232"/>
        <v>Valid</v>
      </c>
    </row>
    <row r="1151" spans="1:45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 t="str">
        <f t="shared" si="221"/>
        <v>Ok</v>
      </c>
      <c r="AE1151" t="str">
        <f>IF(AND(Audit_Data[[#This Row],[Year_Birth]]&gt;=1900,Audit_Data[[#This Row],[Year_Birth]]&lt;=2010),"OK","Invalid")</f>
        <v>OK</v>
      </c>
      <c r="AF1151" t="str">
        <f t="shared" si="222"/>
        <v>Valid</v>
      </c>
      <c r="AG1151" t="str">
        <f t="shared" si="223"/>
        <v>Valid</v>
      </c>
      <c r="AH1151" t="str">
        <f t="shared" si="224"/>
        <v>Valid</v>
      </c>
      <c r="AI1151" t="str">
        <f t="shared" si="225"/>
        <v>Valid</v>
      </c>
      <c r="AJ1151" t="str">
        <f t="shared" si="226"/>
        <v>Valid</v>
      </c>
      <c r="AK1151" t="str">
        <f t="shared" si="233"/>
        <v xml:space="preserve">Valid </v>
      </c>
      <c r="AL1151" t="str">
        <f>IF(AND(Audit_Data[[#This Row],[Recency]]&gt;=0,Audit_Data[[#This Row],[Recency]]&lt;=100),"Valid","Invalid")</f>
        <v>Valid</v>
      </c>
      <c r="AM1151" t="str">
        <f t="shared" si="227"/>
        <v>Valid</v>
      </c>
      <c r="AN1151" t="str">
        <f t="shared" si="228"/>
        <v>Valid</v>
      </c>
      <c r="AO1151" t="str">
        <f t="shared" si="229"/>
        <v>Valid</v>
      </c>
      <c r="AP1151" t="str">
        <f t="shared" si="230"/>
        <v>Valid</v>
      </c>
      <c r="AQ1151" t="str">
        <f>IF(Audit_Data[[#This Row],[Z_CostContact]]=3,"Valid","Invalid")</f>
        <v>Valid</v>
      </c>
      <c r="AR1151" t="str">
        <f t="shared" si="231"/>
        <v>Valid</v>
      </c>
      <c r="AS1151" t="str">
        <f t="shared" si="232"/>
        <v>Valid</v>
      </c>
    </row>
    <row r="1152" spans="1:45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 t="str">
        <f t="shared" si="221"/>
        <v>Ok</v>
      </c>
      <c r="AE1152" t="str">
        <f>IF(AND(Audit_Data[[#This Row],[Year_Birth]]&gt;=1900,Audit_Data[[#This Row],[Year_Birth]]&lt;=2010),"OK","Invalid")</f>
        <v>OK</v>
      </c>
      <c r="AF1152" t="str">
        <f t="shared" si="222"/>
        <v>Valid</v>
      </c>
      <c r="AG1152" t="str">
        <f t="shared" si="223"/>
        <v>Valid</v>
      </c>
      <c r="AH1152" t="str">
        <f t="shared" si="224"/>
        <v>Valid</v>
      </c>
      <c r="AI1152" t="str">
        <f t="shared" si="225"/>
        <v>Valid</v>
      </c>
      <c r="AJ1152" t="str">
        <f t="shared" si="226"/>
        <v>Valid</v>
      </c>
      <c r="AK1152" t="str">
        <f t="shared" si="233"/>
        <v xml:space="preserve">Valid </v>
      </c>
      <c r="AL1152" t="str">
        <f>IF(AND(Audit_Data[[#This Row],[Recency]]&gt;=0,Audit_Data[[#This Row],[Recency]]&lt;=100),"Valid","Invalid")</f>
        <v>Valid</v>
      </c>
      <c r="AM1152" t="str">
        <f t="shared" si="227"/>
        <v>Valid</v>
      </c>
      <c r="AN1152" t="str">
        <f t="shared" si="228"/>
        <v>Valid</v>
      </c>
      <c r="AO1152" t="str">
        <f t="shared" si="229"/>
        <v>Valid</v>
      </c>
      <c r="AP1152" t="str">
        <f t="shared" si="230"/>
        <v>Valid</v>
      </c>
      <c r="AQ1152" t="str">
        <f>IF(Audit_Data[[#This Row],[Z_CostContact]]=3,"Valid","Invalid")</f>
        <v>Valid</v>
      </c>
      <c r="AR1152" t="str">
        <f t="shared" si="231"/>
        <v>Valid</v>
      </c>
      <c r="AS1152" t="str">
        <f t="shared" si="232"/>
        <v>Valid</v>
      </c>
    </row>
    <row r="1153" spans="1:45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 t="str">
        <f t="shared" si="221"/>
        <v>Ok</v>
      </c>
      <c r="AE1153" t="str">
        <f>IF(AND(Audit_Data[[#This Row],[Year_Birth]]&gt;=1900,Audit_Data[[#This Row],[Year_Birth]]&lt;=2010),"OK","Invalid")</f>
        <v>OK</v>
      </c>
      <c r="AF1153" t="str">
        <f t="shared" si="222"/>
        <v>Valid</v>
      </c>
      <c r="AG1153" t="str">
        <f t="shared" si="223"/>
        <v>Valid</v>
      </c>
      <c r="AH1153" t="str">
        <f t="shared" si="224"/>
        <v>Valid</v>
      </c>
      <c r="AI1153" t="str">
        <f t="shared" si="225"/>
        <v>Valid</v>
      </c>
      <c r="AJ1153" t="str">
        <f t="shared" si="226"/>
        <v>Valid</v>
      </c>
      <c r="AK1153" t="str">
        <f t="shared" si="233"/>
        <v xml:space="preserve">Valid </v>
      </c>
      <c r="AL1153" t="str">
        <f>IF(AND(Audit_Data[[#This Row],[Recency]]&gt;=0,Audit_Data[[#This Row],[Recency]]&lt;=100),"Valid","Invalid")</f>
        <v>Valid</v>
      </c>
      <c r="AM1153" t="str">
        <f t="shared" si="227"/>
        <v>Valid</v>
      </c>
      <c r="AN1153" t="str">
        <f t="shared" si="228"/>
        <v>Valid</v>
      </c>
      <c r="AO1153" t="str">
        <f t="shared" si="229"/>
        <v>Valid</v>
      </c>
      <c r="AP1153" t="str">
        <f t="shared" si="230"/>
        <v>Valid</v>
      </c>
      <c r="AQ1153" t="str">
        <f>IF(Audit_Data[[#This Row],[Z_CostContact]]=3,"Valid","Invalid")</f>
        <v>Valid</v>
      </c>
      <c r="AR1153" t="str">
        <f t="shared" si="231"/>
        <v>Valid</v>
      </c>
      <c r="AS1153" t="str">
        <f t="shared" si="232"/>
        <v>Valid</v>
      </c>
    </row>
    <row r="1154" spans="1:45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 t="str">
        <f t="shared" ref="AD1154:AD1217" si="234">IF(COUNTIF(A:A,A1154)&gt;1,"Duplicate","Ok")</f>
        <v>Ok</v>
      </c>
      <c r="AE1154" t="str">
        <f>IF(AND(Audit_Data[[#This Row],[Year_Birth]]&gt;=1900,Audit_Data[[#This Row],[Year_Birth]]&lt;=2010),"OK","Invalid")</f>
        <v>OK</v>
      </c>
      <c r="AF1154" t="str">
        <f t="shared" ref="AF1154:AF1217" si="235">IF(OR(C1154="Graduation",C1154="phD",C1154="Master",C1154="Basic",C1154="2n Cycle"),"Valid","Invalid")</f>
        <v>Valid</v>
      </c>
      <c r="AG1154" t="str">
        <f t="shared" ref="AG1154:AG1217" si="236">IF(OR(D1154="Single",D1154="Married",D1154="Divorced",D1154="Together",D1154="Widow",D1154="Alone"),"Valid","Invalid")</f>
        <v>Valid</v>
      </c>
      <c r="AH1154" t="str">
        <f t="shared" ref="AH1154:AH1217" si="237">IF(AND(ISNUMBER(E1154),E1154&lt;&gt;""),"Valid","Invalid")</f>
        <v>Valid</v>
      </c>
      <c r="AI1154" t="str">
        <f t="shared" ref="AI1154:AI1217" si="238">IF(AND(F1154&gt;=0,F1154&lt;=2),"Valid","Invalid")</f>
        <v>Valid</v>
      </c>
      <c r="AJ1154" t="str">
        <f t="shared" ref="AJ1154:AJ1217" si="239">IF(AND(G1154&gt;=0,G1154&lt;=2),"Valid","Invalid")</f>
        <v>Valid</v>
      </c>
      <c r="AK1154" t="str">
        <f t="shared" si="233"/>
        <v xml:space="preserve">Valid </v>
      </c>
      <c r="AL1154" t="str">
        <f>IF(AND(Audit_Data[[#This Row],[Recency]]&gt;=0,Audit_Data[[#This Row],[Recency]]&lt;=100),"Valid","Invalid")</f>
        <v>Valid</v>
      </c>
      <c r="AM1154" t="str">
        <f t="shared" ref="AM1154:AM1217" si="240">IF(AND(ISNUMBER(J1154),J1154&gt;=0,ISNUMBER(K1154),K1154&gt;=0,ISNUMBER(L1154),L1154&gt;=0,ISNUMBER(M1154),M1154&gt;=0,ISNUMBER(N1154),N1154&gt;=0,ISNUMBER(O1154),O1154&gt;=0),"Valid","Invalid")</f>
        <v>Valid</v>
      </c>
      <c r="AN1154" t="str">
        <f t="shared" ref="AN1154:AN1217" si="241">IF(AND(ISNUMBER(P1154),P1154&gt;=0,ISNUMBER(Q1154),Q1154&gt;=0,ISNUMBER(R1154),R1154&gt;=0,ISNUMBER(S1154),S1154&gt;=0,ISNUMBER(T1154),T1154&gt;=0),"Valid","Invalid")</f>
        <v>Valid</v>
      </c>
      <c r="AO1154" t="str">
        <f t="shared" ref="AO1154:AO1217" si="242">IF(AND(U1154&lt;=1,V1154&lt;=1,W1154&lt;=1,X1154&lt;=1,Y1154&lt;=1),"Valid","Invalid")</f>
        <v>Valid</v>
      </c>
      <c r="AP1154" t="str">
        <f t="shared" ref="AP1154:AP1217" si="243">IF(OR(Z1154=0,Z1154=1),"Valid","Invalid")</f>
        <v>Valid</v>
      </c>
      <c r="AQ1154" t="str">
        <f>IF(Audit_Data[[#This Row],[Z_CostContact]]=3,"Valid","Invalid")</f>
        <v>Valid</v>
      </c>
      <c r="AR1154" t="str">
        <f t="shared" ref="AR1154:AR1217" si="244">IF(AB1154=11,"Valid","Invalid")</f>
        <v>Valid</v>
      </c>
      <c r="AS1154" t="str">
        <f t="shared" ref="AS1154:AS1217" si="245">IF(OR(AC1154=0,AC1154=1),"Valid","Invalid")</f>
        <v>Valid</v>
      </c>
    </row>
    <row r="1155" spans="1:45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 t="str">
        <f t="shared" si="234"/>
        <v>Ok</v>
      </c>
      <c r="AE1155" t="str">
        <f>IF(AND(Audit_Data[[#This Row],[Year_Birth]]&gt;=1900,Audit_Data[[#This Row],[Year_Birth]]&lt;=2010),"OK","Invalid")</f>
        <v>OK</v>
      </c>
      <c r="AF1155" t="str">
        <f t="shared" si="235"/>
        <v>Valid</v>
      </c>
      <c r="AG1155" t="str">
        <f t="shared" si="236"/>
        <v>Valid</v>
      </c>
      <c r="AH1155" t="str">
        <f t="shared" si="237"/>
        <v>Valid</v>
      </c>
      <c r="AI1155" t="str">
        <f t="shared" si="238"/>
        <v>Valid</v>
      </c>
      <c r="AJ1155" t="str">
        <f t="shared" si="239"/>
        <v>Valid</v>
      </c>
      <c r="AK1155" t="str">
        <f t="shared" ref="AK1155:AK1218" si="246">IF(AND(ISNUMBER(H1155),H1155&gt;=DATE(2012,1,1),H1155&lt;=DATE(2014,12,31)),"Valid ","Invalid")</f>
        <v xml:space="preserve">Valid </v>
      </c>
      <c r="AL1155" t="str">
        <f>IF(AND(Audit_Data[[#This Row],[Recency]]&gt;=0,Audit_Data[[#This Row],[Recency]]&lt;=100),"Valid","Invalid")</f>
        <v>Valid</v>
      </c>
      <c r="AM1155" t="str">
        <f t="shared" si="240"/>
        <v>Valid</v>
      </c>
      <c r="AN1155" t="str">
        <f t="shared" si="241"/>
        <v>Valid</v>
      </c>
      <c r="AO1155" t="str">
        <f t="shared" si="242"/>
        <v>Valid</v>
      </c>
      <c r="AP1155" t="str">
        <f t="shared" si="243"/>
        <v>Valid</v>
      </c>
      <c r="AQ1155" t="str">
        <f>IF(Audit_Data[[#This Row],[Z_CostContact]]=3,"Valid","Invalid")</f>
        <v>Valid</v>
      </c>
      <c r="AR1155" t="str">
        <f t="shared" si="244"/>
        <v>Valid</v>
      </c>
      <c r="AS1155" t="str">
        <f t="shared" si="245"/>
        <v>Valid</v>
      </c>
    </row>
    <row r="1156" spans="1:45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 t="str">
        <f t="shared" si="234"/>
        <v>Ok</v>
      </c>
      <c r="AE1156" t="str">
        <f>IF(AND(Audit_Data[[#This Row],[Year_Birth]]&gt;=1900,Audit_Data[[#This Row],[Year_Birth]]&lt;=2010),"OK","Invalid")</f>
        <v>OK</v>
      </c>
      <c r="AF1156" t="str">
        <f t="shared" si="235"/>
        <v>Valid</v>
      </c>
      <c r="AG1156" t="str">
        <f t="shared" si="236"/>
        <v>Valid</v>
      </c>
      <c r="AH1156" t="str">
        <f t="shared" si="237"/>
        <v>Valid</v>
      </c>
      <c r="AI1156" t="str">
        <f t="shared" si="238"/>
        <v>Valid</v>
      </c>
      <c r="AJ1156" t="str">
        <f t="shared" si="239"/>
        <v>Valid</v>
      </c>
      <c r="AK1156" t="str">
        <f t="shared" si="246"/>
        <v xml:space="preserve">Valid </v>
      </c>
      <c r="AL1156" t="str">
        <f>IF(AND(Audit_Data[[#This Row],[Recency]]&gt;=0,Audit_Data[[#This Row],[Recency]]&lt;=100),"Valid","Invalid")</f>
        <v>Valid</v>
      </c>
      <c r="AM1156" t="str">
        <f t="shared" si="240"/>
        <v>Valid</v>
      </c>
      <c r="AN1156" t="str">
        <f t="shared" si="241"/>
        <v>Valid</v>
      </c>
      <c r="AO1156" t="str">
        <f t="shared" si="242"/>
        <v>Valid</v>
      </c>
      <c r="AP1156" t="str">
        <f t="shared" si="243"/>
        <v>Valid</v>
      </c>
      <c r="AQ1156" t="str">
        <f>IF(Audit_Data[[#This Row],[Z_CostContact]]=3,"Valid","Invalid")</f>
        <v>Valid</v>
      </c>
      <c r="AR1156" t="str">
        <f t="shared" si="244"/>
        <v>Valid</v>
      </c>
      <c r="AS1156" t="str">
        <f t="shared" si="245"/>
        <v>Valid</v>
      </c>
    </row>
    <row r="1157" spans="1:45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 t="str">
        <f t="shared" si="234"/>
        <v>Ok</v>
      </c>
      <c r="AE1157" t="str">
        <f>IF(AND(Audit_Data[[#This Row],[Year_Birth]]&gt;=1900,Audit_Data[[#This Row],[Year_Birth]]&lt;=2010),"OK","Invalid")</f>
        <v>OK</v>
      </c>
      <c r="AF1157" t="str">
        <f t="shared" si="235"/>
        <v>Valid</v>
      </c>
      <c r="AG1157" t="str">
        <f t="shared" si="236"/>
        <v>Valid</v>
      </c>
      <c r="AH1157" t="str">
        <f t="shared" si="237"/>
        <v>Valid</v>
      </c>
      <c r="AI1157" t="str">
        <f t="shared" si="238"/>
        <v>Valid</v>
      </c>
      <c r="AJ1157" t="str">
        <f t="shared" si="239"/>
        <v>Valid</v>
      </c>
      <c r="AK1157" t="str">
        <f t="shared" si="246"/>
        <v xml:space="preserve">Valid </v>
      </c>
      <c r="AL1157" t="str">
        <f>IF(AND(Audit_Data[[#This Row],[Recency]]&gt;=0,Audit_Data[[#This Row],[Recency]]&lt;=100),"Valid","Invalid")</f>
        <v>Valid</v>
      </c>
      <c r="AM1157" t="str">
        <f t="shared" si="240"/>
        <v>Valid</v>
      </c>
      <c r="AN1157" t="str">
        <f t="shared" si="241"/>
        <v>Valid</v>
      </c>
      <c r="AO1157" t="str">
        <f t="shared" si="242"/>
        <v>Valid</v>
      </c>
      <c r="AP1157" t="str">
        <f t="shared" si="243"/>
        <v>Valid</v>
      </c>
      <c r="AQ1157" t="str">
        <f>IF(Audit_Data[[#This Row],[Z_CostContact]]=3,"Valid","Invalid")</f>
        <v>Valid</v>
      </c>
      <c r="AR1157" t="str">
        <f t="shared" si="244"/>
        <v>Valid</v>
      </c>
      <c r="AS1157" t="str">
        <f t="shared" si="245"/>
        <v>Valid</v>
      </c>
    </row>
    <row r="1158" spans="1:45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 t="str">
        <f t="shared" si="234"/>
        <v>Ok</v>
      </c>
      <c r="AE1158" t="str">
        <f>IF(AND(Audit_Data[[#This Row],[Year_Birth]]&gt;=1900,Audit_Data[[#This Row],[Year_Birth]]&lt;=2010),"OK","Invalid")</f>
        <v>OK</v>
      </c>
      <c r="AF1158" t="str">
        <f t="shared" si="235"/>
        <v>Valid</v>
      </c>
      <c r="AG1158" t="str">
        <f t="shared" si="236"/>
        <v>Valid</v>
      </c>
      <c r="AH1158" t="str">
        <f t="shared" si="237"/>
        <v>Valid</v>
      </c>
      <c r="AI1158" t="str">
        <f t="shared" si="238"/>
        <v>Valid</v>
      </c>
      <c r="AJ1158" t="str">
        <f t="shared" si="239"/>
        <v>Valid</v>
      </c>
      <c r="AK1158" t="str">
        <f t="shared" si="246"/>
        <v xml:space="preserve">Valid </v>
      </c>
      <c r="AL1158" t="str">
        <f>IF(AND(Audit_Data[[#This Row],[Recency]]&gt;=0,Audit_Data[[#This Row],[Recency]]&lt;=100),"Valid","Invalid")</f>
        <v>Valid</v>
      </c>
      <c r="AM1158" t="str">
        <f t="shared" si="240"/>
        <v>Valid</v>
      </c>
      <c r="AN1158" t="str">
        <f t="shared" si="241"/>
        <v>Valid</v>
      </c>
      <c r="AO1158" t="str">
        <f t="shared" si="242"/>
        <v>Valid</v>
      </c>
      <c r="AP1158" t="str">
        <f t="shared" si="243"/>
        <v>Valid</v>
      </c>
      <c r="AQ1158" t="str">
        <f>IF(Audit_Data[[#This Row],[Z_CostContact]]=3,"Valid","Invalid")</f>
        <v>Valid</v>
      </c>
      <c r="AR1158" t="str">
        <f t="shared" si="244"/>
        <v>Valid</v>
      </c>
      <c r="AS1158" t="str">
        <f t="shared" si="245"/>
        <v>Valid</v>
      </c>
    </row>
    <row r="1159" spans="1:45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 t="str">
        <f t="shared" si="234"/>
        <v>Ok</v>
      </c>
      <c r="AE1159" t="str">
        <f>IF(AND(Audit_Data[[#This Row],[Year_Birth]]&gt;=1900,Audit_Data[[#This Row],[Year_Birth]]&lt;=2010),"OK","Invalid")</f>
        <v>OK</v>
      </c>
      <c r="AF1159" t="str">
        <f t="shared" si="235"/>
        <v>Valid</v>
      </c>
      <c r="AG1159" t="str">
        <f t="shared" si="236"/>
        <v>Valid</v>
      </c>
      <c r="AH1159" t="str">
        <f t="shared" si="237"/>
        <v>Valid</v>
      </c>
      <c r="AI1159" t="str">
        <f t="shared" si="238"/>
        <v>Valid</v>
      </c>
      <c r="AJ1159" t="str">
        <f t="shared" si="239"/>
        <v>Valid</v>
      </c>
      <c r="AK1159" t="str">
        <f t="shared" si="246"/>
        <v xml:space="preserve">Valid </v>
      </c>
      <c r="AL1159" t="str">
        <f>IF(AND(Audit_Data[[#This Row],[Recency]]&gt;=0,Audit_Data[[#This Row],[Recency]]&lt;=100),"Valid","Invalid")</f>
        <v>Valid</v>
      </c>
      <c r="AM1159" t="str">
        <f t="shared" si="240"/>
        <v>Valid</v>
      </c>
      <c r="AN1159" t="str">
        <f t="shared" si="241"/>
        <v>Valid</v>
      </c>
      <c r="AO1159" t="str">
        <f t="shared" si="242"/>
        <v>Valid</v>
      </c>
      <c r="AP1159" t="str">
        <f t="shared" si="243"/>
        <v>Valid</v>
      </c>
      <c r="AQ1159" t="str">
        <f>IF(Audit_Data[[#This Row],[Z_CostContact]]=3,"Valid","Invalid")</f>
        <v>Valid</v>
      </c>
      <c r="AR1159" t="str">
        <f t="shared" si="244"/>
        <v>Valid</v>
      </c>
      <c r="AS1159" t="str">
        <f t="shared" si="245"/>
        <v>Valid</v>
      </c>
    </row>
    <row r="1160" spans="1:45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 t="str">
        <f t="shared" si="234"/>
        <v>Ok</v>
      </c>
      <c r="AE1160" t="str">
        <f>IF(AND(Audit_Data[[#This Row],[Year_Birth]]&gt;=1900,Audit_Data[[#This Row],[Year_Birth]]&lt;=2010),"OK","Invalid")</f>
        <v>OK</v>
      </c>
      <c r="AF1160" t="str">
        <f t="shared" si="235"/>
        <v>Valid</v>
      </c>
      <c r="AG1160" t="str">
        <f t="shared" si="236"/>
        <v>Valid</v>
      </c>
      <c r="AH1160" t="str">
        <f t="shared" si="237"/>
        <v>Valid</v>
      </c>
      <c r="AI1160" t="str">
        <f t="shared" si="238"/>
        <v>Valid</v>
      </c>
      <c r="AJ1160" t="str">
        <f t="shared" si="239"/>
        <v>Valid</v>
      </c>
      <c r="AK1160" t="str">
        <f t="shared" si="246"/>
        <v xml:space="preserve">Valid </v>
      </c>
      <c r="AL1160" t="str">
        <f>IF(AND(Audit_Data[[#This Row],[Recency]]&gt;=0,Audit_Data[[#This Row],[Recency]]&lt;=100),"Valid","Invalid")</f>
        <v>Valid</v>
      </c>
      <c r="AM1160" t="str">
        <f t="shared" si="240"/>
        <v>Valid</v>
      </c>
      <c r="AN1160" t="str">
        <f t="shared" si="241"/>
        <v>Valid</v>
      </c>
      <c r="AO1160" t="str">
        <f t="shared" si="242"/>
        <v>Valid</v>
      </c>
      <c r="AP1160" t="str">
        <f t="shared" si="243"/>
        <v>Valid</v>
      </c>
      <c r="AQ1160" t="str">
        <f>IF(Audit_Data[[#This Row],[Z_CostContact]]=3,"Valid","Invalid")</f>
        <v>Valid</v>
      </c>
      <c r="AR1160" t="str">
        <f t="shared" si="244"/>
        <v>Valid</v>
      </c>
      <c r="AS1160" t="str">
        <f t="shared" si="245"/>
        <v>Valid</v>
      </c>
    </row>
    <row r="1161" spans="1:45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 t="str">
        <f t="shared" si="234"/>
        <v>Ok</v>
      </c>
      <c r="AE1161" t="str">
        <f>IF(AND(Audit_Data[[#This Row],[Year_Birth]]&gt;=1900,Audit_Data[[#This Row],[Year_Birth]]&lt;=2010),"OK","Invalid")</f>
        <v>OK</v>
      </c>
      <c r="AF1161" t="str">
        <f t="shared" si="235"/>
        <v>Valid</v>
      </c>
      <c r="AG1161" t="str">
        <f t="shared" si="236"/>
        <v>Valid</v>
      </c>
      <c r="AH1161" t="str">
        <f t="shared" si="237"/>
        <v>Valid</v>
      </c>
      <c r="AI1161" t="str">
        <f t="shared" si="238"/>
        <v>Valid</v>
      </c>
      <c r="AJ1161" t="str">
        <f t="shared" si="239"/>
        <v>Valid</v>
      </c>
      <c r="AK1161" t="str">
        <f t="shared" si="246"/>
        <v xml:space="preserve">Valid </v>
      </c>
      <c r="AL1161" t="str">
        <f>IF(AND(Audit_Data[[#This Row],[Recency]]&gt;=0,Audit_Data[[#This Row],[Recency]]&lt;=100),"Valid","Invalid")</f>
        <v>Valid</v>
      </c>
      <c r="AM1161" t="str">
        <f t="shared" si="240"/>
        <v>Valid</v>
      </c>
      <c r="AN1161" t="str">
        <f t="shared" si="241"/>
        <v>Valid</v>
      </c>
      <c r="AO1161" t="str">
        <f t="shared" si="242"/>
        <v>Valid</v>
      </c>
      <c r="AP1161" t="str">
        <f t="shared" si="243"/>
        <v>Valid</v>
      </c>
      <c r="AQ1161" t="str">
        <f>IF(Audit_Data[[#This Row],[Z_CostContact]]=3,"Valid","Invalid")</f>
        <v>Valid</v>
      </c>
      <c r="AR1161" t="str">
        <f t="shared" si="244"/>
        <v>Valid</v>
      </c>
      <c r="AS1161" t="str">
        <f t="shared" si="245"/>
        <v>Valid</v>
      </c>
    </row>
    <row r="1162" spans="1:45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 t="str">
        <f t="shared" si="234"/>
        <v>Ok</v>
      </c>
      <c r="AE1162" t="str">
        <f>IF(AND(Audit_Data[[#This Row],[Year_Birth]]&gt;=1900,Audit_Data[[#This Row],[Year_Birth]]&lt;=2010),"OK","Invalid")</f>
        <v>OK</v>
      </c>
      <c r="AF1162" t="str">
        <f t="shared" si="235"/>
        <v>Valid</v>
      </c>
      <c r="AG1162" t="str">
        <f t="shared" si="236"/>
        <v>Valid</v>
      </c>
      <c r="AH1162" t="str">
        <f t="shared" si="237"/>
        <v>Valid</v>
      </c>
      <c r="AI1162" t="str">
        <f t="shared" si="238"/>
        <v>Valid</v>
      </c>
      <c r="AJ1162" t="str">
        <f t="shared" si="239"/>
        <v>Valid</v>
      </c>
      <c r="AK1162" t="str">
        <f t="shared" si="246"/>
        <v xml:space="preserve">Valid </v>
      </c>
      <c r="AL1162" t="str">
        <f>IF(AND(Audit_Data[[#This Row],[Recency]]&gt;=0,Audit_Data[[#This Row],[Recency]]&lt;=100),"Valid","Invalid")</f>
        <v>Valid</v>
      </c>
      <c r="AM1162" t="str">
        <f t="shared" si="240"/>
        <v>Valid</v>
      </c>
      <c r="AN1162" t="str">
        <f t="shared" si="241"/>
        <v>Valid</v>
      </c>
      <c r="AO1162" t="str">
        <f t="shared" si="242"/>
        <v>Valid</v>
      </c>
      <c r="AP1162" t="str">
        <f t="shared" si="243"/>
        <v>Valid</v>
      </c>
      <c r="AQ1162" t="str">
        <f>IF(Audit_Data[[#This Row],[Z_CostContact]]=3,"Valid","Invalid")</f>
        <v>Valid</v>
      </c>
      <c r="AR1162" t="str">
        <f t="shared" si="244"/>
        <v>Valid</v>
      </c>
      <c r="AS1162" t="str">
        <f t="shared" si="245"/>
        <v>Valid</v>
      </c>
    </row>
    <row r="1163" spans="1:45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 t="str">
        <f t="shared" si="234"/>
        <v>Ok</v>
      </c>
      <c r="AE1163" t="str">
        <f>IF(AND(Audit_Data[[#This Row],[Year_Birth]]&gt;=1900,Audit_Data[[#This Row],[Year_Birth]]&lt;=2010),"OK","Invalid")</f>
        <v>OK</v>
      </c>
      <c r="AF1163" t="str">
        <f t="shared" si="235"/>
        <v>Valid</v>
      </c>
      <c r="AG1163" t="str">
        <f t="shared" si="236"/>
        <v>Valid</v>
      </c>
      <c r="AH1163" t="str">
        <f t="shared" si="237"/>
        <v>Valid</v>
      </c>
      <c r="AI1163" t="str">
        <f t="shared" si="238"/>
        <v>Valid</v>
      </c>
      <c r="AJ1163" t="str">
        <f t="shared" si="239"/>
        <v>Valid</v>
      </c>
      <c r="AK1163" t="str">
        <f t="shared" si="246"/>
        <v xml:space="preserve">Valid </v>
      </c>
      <c r="AL1163" t="str">
        <f>IF(AND(Audit_Data[[#This Row],[Recency]]&gt;=0,Audit_Data[[#This Row],[Recency]]&lt;=100),"Valid","Invalid")</f>
        <v>Valid</v>
      </c>
      <c r="AM1163" t="str">
        <f t="shared" si="240"/>
        <v>Valid</v>
      </c>
      <c r="AN1163" t="str">
        <f t="shared" si="241"/>
        <v>Valid</v>
      </c>
      <c r="AO1163" t="str">
        <f t="shared" si="242"/>
        <v>Valid</v>
      </c>
      <c r="AP1163" t="str">
        <f t="shared" si="243"/>
        <v>Valid</v>
      </c>
      <c r="AQ1163" t="str">
        <f>IF(Audit_Data[[#This Row],[Z_CostContact]]=3,"Valid","Invalid")</f>
        <v>Valid</v>
      </c>
      <c r="AR1163" t="str">
        <f t="shared" si="244"/>
        <v>Valid</v>
      </c>
      <c r="AS1163" t="str">
        <f t="shared" si="245"/>
        <v>Valid</v>
      </c>
    </row>
    <row r="1164" spans="1:45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 t="str">
        <f t="shared" si="234"/>
        <v>Ok</v>
      </c>
      <c r="AE1164" t="str">
        <f>IF(AND(Audit_Data[[#This Row],[Year_Birth]]&gt;=1900,Audit_Data[[#This Row],[Year_Birth]]&lt;=2010),"OK","Invalid")</f>
        <v>OK</v>
      </c>
      <c r="AF1164" t="str">
        <f t="shared" si="235"/>
        <v>Valid</v>
      </c>
      <c r="AG1164" t="str">
        <f t="shared" si="236"/>
        <v>Valid</v>
      </c>
      <c r="AH1164" t="str">
        <f t="shared" si="237"/>
        <v>Valid</v>
      </c>
      <c r="AI1164" t="str">
        <f t="shared" si="238"/>
        <v>Valid</v>
      </c>
      <c r="AJ1164" t="str">
        <f t="shared" si="239"/>
        <v>Valid</v>
      </c>
      <c r="AK1164" t="str">
        <f t="shared" si="246"/>
        <v xml:space="preserve">Valid </v>
      </c>
      <c r="AL1164" t="str">
        <f>IF(AND(Audit_Data[[#This Row],[Recency]]&gt;=0,Audit_Data[[#This Row],[Recency]]&lt;=100),"Valid","Invalid")</f>
        <v>Valid</v>
      </c>
      <c r="AM1164" t="str">
        <f t="shared" si="240"/>
        <v>Valid</v>
      </c>
      <c r="AN1164" t="str">
        <f t="shared" si="241"/>
        <v>Valid</v>
      </c>
      <c r="AO1164" t="str">
        <f t="shared" si="242"/>
        <v>Valid</v>
      </c>
      <c r="AP1164" t="str">
        <f t="shared" si="243"/>
        <v>Valid</v>
      </c>
      <c r="AQ1164" t="str">
        <f>IF(Audit_Data[[#This Row],[Z_CostContact]]=3,"Valid","Invalid")</f>
        <v>Valid</v>
      </c>
      <c r="AR1164" t="str">
        <f t="shared" si="244"/>
        <v>Valid</v>
      </c>
      <c r="AS1164" t="str">
        <f t="shared" si="245"/>
        <v>Valid</v>
      </c>
    </row>
    <row r="1165" spans="1:45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 t="str">
        <f t="shared" si="234"/>
        <v>Ok</v>
      </c>
      <c r="AE1165" t="str">
        <f>IF(AND(Audit_Data[[#This Row],[Year_Birth]]&gt;=1900,Audit_Data[[#This Row],[Year_Birth]]&lt;=2010),"OK","Invalid")</f>
        <v>OK</v>
      </c>
      <c r="AF1165" t="str">
        <f t="shared" si="235"/>
        <v>Valid</v>
      </c>
      <c r="AG1165" t="str">
        <f t="shared" si="236"/>
        <v>Valid</v>
      </c>
      <c r="AH1165" t="str">
        <f t="shared" si="237"/>
        <v>Valid</v>
      </c>
      <c r="AI1165" t="str">
        <f t="shared" si="238"/>
        <v>Valid</v>
      </c>
      <c r="AJ1165" t="str">
        <f t="shared" si="239"/>
        <v>Valid</v>
      </c>
      <c r="AK1165" t="str">
        <f t="shared" si="246"/>
        <v xml:space="preserve">Valid </v>
      </c>
      <c r="AL1165" t="str">
        <f>IF(AND(Audit_Data[[#This Row],[Recency]]&gt;=0,Audit_Data[[#This Row],[Recency]]&lt;=100),"Valid","Invalid")</f>
        <v>Valid</v>
      </c>
      <c r="AM1165" t="str">
        <f t="shared" si="240"/>
        <v>Valid</v>
      </c>
      <c r="AN1165" t="str">
        <f t="shared" si="241"/>
        <v>Valid</v>
      </c>
      <c r="AO1165" t="str">
        <f t="shared" si="242"/>
        <v>Valid</v>
      </c>
      <c r="AP1165" t="str">
        <f t="shared" si="243"/>
        <v>Valid</v>
      </c>
      <c r="AQ1165" t="str">
        <f>IF(Audit_Data[[#This Row],[Z_CostContact]]=3,"Valid","Invalid")</f>
        <v>Valid</v>
      </c>
      <c r="AR1165" t="str">
        <f t="shared" si="244"/>
        <v>Valid</v>
      </c>
      <c r="AS1165" t="str">
        <f t="shared" si="245"/>
        <v>Valid</v>
      </c>
    </row>
    <row r="1166" spans="1:45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 t="str">
        <f t="shared" si="234"/>
        <v>Ok</v>
      </c>
      <c r="AE1166" t="str">
        <f>IF(AND(Audit_Data[[#This Row],[Year_Birth]]&gt;=1900,Audit_Data[[#This Row],[Year_Birth]]&lt;=2010),"OK","Invalid")</f>
        <v>OK</v>
      </c>
      <c r="AF1166" t="str">
        <f t="shared" si="235"/>
        <v>Valid</v>
      </c>
      <c r="AG1166" t="str">
        <f t="shared" si="236"/>
        <v>Valid</v>
      </c>
      <c r="AH1166" t="str">
        <f t="shared" si="237"/>
        <v>Valid</v>
      </c>
      <c r="AI1166" t="str">
        <f t="shared" si="238"/>
        <v>Valid</v>
      </c>
      <c r="AJ1166" t="str">
        <f t="shared" si="239"/>
        <v>Valid</v>
      </c>
      <c r="AK1166" t="str">
        <f t="shared" si="246"/>
        <v xml:space="preserve">Valid </v>
      </c>
      <c r="AL1166" t="str">
        <f>IF(AND(Audit_Data[[#This Row],[Recency]]&gt;=0,Audit_Data[[#This Row],[Recency]]&lt;=100),"Valid","Invalid")</f>
        <v>Valid</v>
      </c>
      <c r="AM1166" t="str">
        <f t="shared" si="240"/>
        <v>Valid</v>
      </c>
      <c r="AN1166" t="str">
        <f t="shared" si="241"/>
        <v>Valid</v>
      </c>
      <c r="AO1166" t="str">
        <f t="shared" si="242"/>
        <v>Valid</v>
      </c>
      <c r="AP1166" t="str">
        <f t="shared" si="243"/>
        <v>Valid</v>
      </c>
      <c r="AQ1166" t="str">
        <f>IF(Audit_Data[[#This Row],[Z_CostContact]]=3,"Valid","Invalid")</f>
        <v>Valid</v>
      </c>
      <c r="AR1166" t="str">
        <f t="shared" si="244"/>
        <v>Valid</v>
      </c>
      <c r="AS1166" t="str">
        <f t="shared" si="245"/>
        <v>Valid</v>
      </c>
    </row>
    <row r="1167" spans="1:45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 t="str">
        <f t="shared" si="234"/>
        <v>Ok</v>
      </c>
      <c r="AE1167" t="str">
        <f>IF(AND(Audit_Data[[#This Row],[Year_Birth]]&gt;=1900,Audit_Data[[#This Row],[Year_Birth]]&lt;=2010),"OK","Invalid")</f>
        <v>OK</v>
      </c>
      <c r="AF1167" t="str">
        <f t="shared" si="235"/>
        <v>Valid</v>
      </c>
      <c r="AG1167" t="str">
        <f t="shared" si="236"/>
        <v>Valid</v>
      </c>
      <c r="AH1167" t="str">
        <f t="shared" si="237"/>
        <v>Valid</v>
      </c>
      <c r="AI1167" t="str">
        <f t="shared" si="238"/>
        <v>Valid</v>
      </c>
      <c r="AJ1167" t="str">
        <f t="shared" si="239"/>
        <v>Valid</v>
      </c>
      <c r="AK1167" t="str">
        <f t="shared" si="246"/>
        <v xml:space="preserve">Valid </v>
      </c>
      <c r="AL1167" t="str">
        <f>IF(AND(Audit_Data[[#This Row],[Recency]]&gt;=0,Audit_Data[[#This Row],[Recency]]&lt;=100),"Valid","Invalid")</f>
        <v>Valid</v>
      </c>
      <c r="AM1167" t="str">
        <f t="shared" si="240"/>
        <v>Valid</v>
      </c>
      <c r="AN1167" t="str">
        <f t="shared" si="241"/>
        <v>Valid</v>
      </c>
      <c r="AO1167" t="str">
        <f t="shared" si="242"/>
        <v>Valid</v>
      </c>
      <c r="AP1167" t="str">
        <f t="shared" si="243"/>
        <v>Valid</v>
      </c>
      <c r="AQ1167" t="str">
        <f>IF(Audit_Data[[#This Row],[Z_CostContact]]=3,"Valid","Invalid")</f>
        <v>Valid</v>
      </c>
      <c r="AR1167" t="str">
        <f t="shared" si="244"/>
        <v>Valid</v>
      </c>
      <c r="AS1167" t="str">
        <f t="shared" si="245"/>
        <v>Valid</v>
      </c>
    </row>
    <row r="1168" spans="1:45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 t="str">
        <f t="shared" si="234"/>
        <v>Ok</v>
      </c>
      <c r="AE1168" t="str">
        <f>IF(AND(Audit_Data[[#This Row],[Year_Birth]]&gt;=1900,Audit_Data[[#This Row],[Year_Birth]]&lt;=2010),"OK","Invalid")</f>
        <v>OK</v>
      </c>
      <c r="AF1168" t="str">
        <f t="shared" si="235"/>
        <v>Valid</v>
      </c>
      <c r="AG1168" t="str">
        <f t="shared" si="236"/>
        <v>Valid</v>
      </c>
      <c r="AH1168" t="str">
        <f t="shared" si="237"/>
        <v>Valid</v>
      </c>
      <c r="AI1168" t="str">
        <f t="shared" si="238"/>
        <v>Valid</v>
      </c>
      <c r="AJ1168" t="str">
        <f t="shared" si="239"/>
        <v>Valid</v>
      </c>
      <c r="AK1168" t="str">
        <f t="shared" si="246"/>
        <v xml:space="preserve">Valid </v>
      </c>
      <c r="AL1168" t="str">
        <f>IF(AND(Audit_Data[[#This Row],[Recency]]&gt;=0,Audit_Data[[#This Row],[Recency]]&lt;=100),"Valid","Invalid")</f>
        <v>Valid</v>
      </c>
      <c r="AM1168" t="str">
        <f t="shared" si="240"/>
        <v>Valid</v>
      </c>
      <c r="AN1168" t="str">
        <f t="shared" si="241"/>
        <v>Valid</v>
      </c>
      <c r="AO1168" t="str">
        <f t="shared" si="242"/>
        <v>Valid</v>
      </c>
      <c r="AP1168" t="str">
        <f t="shared" si="243"/>
        <v>Valid</v>
      </c>
      <c r="AQ1168" t="str">
        <f>IF(Audit_Data[[#This Row],[Z_CostContact]]=3,"Valid","Invalid")</f>
        <v>Valid</v>
      </c>
      <c r="AR1168" t="str">
        <f t="shared" si="244"/>
        <v>Valid</v>
      </c>
      <c r="AS1168" t="str">
        <f t="shared" si="245"/>
        <v>Valid</v>
      </c>
    </row>
    <row r="1169" spans="1:45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 t="str">
        <f t="shared" si="234"/>
        <v>Ok</v>
      </c>
      <c r="AE1169" t="str">
        <f>IF(AND(Audit_Data[[#This Row],[Year_Birth]]&gt;=1900,Audit_Data[[#This Row],[Year_Birth]]&lt;=2010),"OK","Invalid")</f>
        <v>OK</v>
      </c>
      <c r="AF1169" t="str">
        <f t="shared" si="235"/>
        <v>Valid</v>
      </c>
      <c r="AG1169" t="str">
        <f t="shared" si="236"/>
        <v>Valid</v>
      </c>
      <c r="AH1169" t="str">
        <f t="shared" si="237"/>
        <v>Valid</v>
      </c>
      <c r="AI1169" t="str">
        <f t="shared" si="238"/>
        <v>Valid</v>
      </c>
      <c r="AJ1169" t="str">
        <f t="shared" si="239"/>
        <v>Valid</v>
      </c>
      <c r="AK1169" t="str">
        <f t="shared" si="246"/>
        <v xml:space="preserve">Valid </v>
      </c>
      <c r="AL1169" t="str">
        <f>IF(AND(Audit_Data[[#This Row],[Recency]]&gt;=0,Audit_Data[[#This Row],[Recency]]&lt;=100),"Valid","Invalid")</f>
        <v>Valid</v>
      </c>
      <c r="AM1169" t="str">
        <f t="shared" si="240"/>
        <v>Valid</v>
      </c>
      <c r="AN1169" t="str">
        <f t="shared" si="241"/>
        <v>Valid</v>
      </c>
      <c r="AO1169" t="str">
        <f t="shared" si="242"/>
        <v>Valid</v>
      </c>
      <c r="AP1169" t="str">
        <f t="shared" si="243"/>
        <v>Valid</v>
      </c>
      <c r="AQ1169" t="str">
        <f>IF(Audit_Data[[#This Row],[Z_CostContact]]=3,"Valid","Invalid")</f>
        <v>Valid</v>
      </c>
      <c r="AR1169" t="str">
        <f t="shared" si="244"/>
        <v>Valid</v>
      </c>
      <c r="AS1169" t="str">
        <f t="shared" si="245"/>
        <v>Valid</v>
      </c>
    </row>
    <row r="1170" spans="1:45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 t="str">
        <f t="shared" si="234"/>
        <v>Ok</v>
      </c>
      <c r="AE1170" t="str">
        <f>IF(AND(Audit_Data[[#This Row],[Year_Birth]]&gt;=1900,Audit_Data[[#This Row],[Year_Birth]]&lt;=2010),"OK","Invalid")</f>
        <v>OK</v>
      </c>
      <c r="AF1170" t="str">
        <f t="shared" si="235"/>
        <v>Valid</v>
      </c>
      <c r="AG1170" t="str">
        <f t="shared" si="236"/>
        <v>Valid</v>
      </c>
      <c r="AH1170" t="str">
        <f t="shared" si="237"/>
        <v>Valid</v>
      </c>
      <c r="AI1170" t="str">
        <f t="shared" si="238"/>
        <v>Valid</v>
      </c>
      <c r="AJ1170" t="str">
        <f t="shared" si="239"/>
        <v>Valid</v>
      </c>
      <c r="AK1170" t="str">
        <f t="shared" si="246"/>
        <v xml:space="preserve">Valid </v>
      </c>
      <c r="AL1170" t="str">
        <f>IF(AND(Audit_Data[[#This Row],[Recency]]&gt;=0,Audit_Data[[#This Row],[Recency]]&lt;=100),"Valid","Invalid")</f>
        <v>Valid</v>
      </c>
      <c r="AM1170" t="str">
        <f t="shared" si="240"/>
        <v>Valid</v>
      </c>
      <c r="AN1170" t="str">
        <f t="shared" si="241"/>
        <v>Valid</v>
      </c>
      <c r="AO1170" t="str">
        <f t="shared" si="242"/>
        <v>Valid</v>
      </c>
      <c r="AP1170" t="str">
        <f t="shared" si="243"/>
        <v>Valid</v>
      </c>
      <c r="AQ1170" t="str">
        <f>IF(Audit_Data[[#This Row],[Z_CostContact]]=3,"Valid","Invalid")</f>
        <v>Valid</v>
      </c>
      <c r="AR1170" t="str">
        <f t="shared" si="244"/>
        <v>Valid</v>
      </c>
      <c r="AS1170" t="str">
        <f t="shared" si="245"/>
        <v>Valid</v>
      </c>
    </row>
    <row r="1171" spans="1:45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 t="str">
        <f t="shared" si="234"/>
        <v>Ok</v>
      </c>
      <c r="AE1171" t="str">
        <f>IF(AND(Audit_Data[[#This Row],[Year_Birth]]&gt;=1900,Audit_Data[[#This Row],[Year_Birth]]&lt;=2010),"OK","Invalid")</f>
        <v>OK</v>
      </c>
      <c r="AF1171" t="str">
        <f t="shared" si="235"/>
        <v>Valid</v>
      </c>
      <c r="AG1171" t="str">
        <f t="shared" si="236"/>
        <v>Valid</v>
      </c>
      <c r="AH1171" t="str">
        <f t="shared" si="237"/>
        <v>Valid</v>
      </c>
      <c r="AI1171" t="str">
        <f t="shared" si="238"/>
        <v>Valid</v>
      </c>
      <c r="AJ1171" t="str">
        <f t="shared" si="239"/>
        <v>Valid</v>
      </c>
      <c r="AK1171" t="str">
        <f t="shared" si="246"/>
        <v xml:space="preserve">Valid </v>
      </c>
      <c r="AL1171" t="str">
        <f>IF(AND(Audit_Data[[#This Row],[Recency]]&gt;=0,Audit_Data[[#This Row],[Recency]]&lt;=100),"Valid","Invalid")</f>
        <v>Valid</v>
      </c>
      <c r="AM1171" t="str">
        <f t="shared" si="240"/>
        <v>Valid</v>
      </c>
      <c r="AN1171" t="str">
        <f t="shared" si="241"/>
        <v>Valid</v>
      </c>
      <c r="AO1171" t="str">
        <f t="shared" si="242"/>
        <v>Valid</v>
      </c>
      <c r="AP1171" t="str">
        <f t="shared" si="243"/>
        <v>Valid</v>
      </c>
      <c r="AQ1171" t="str">
        <f>IF(Audit_Data[[#This Row],[Z_CostContact]]=3,"Valid","Invalid")</f>
        <v>Valid</v>
      </c>
      <c r="AR1171" t="str">
        <f t="shared" si="244"/>
        <v>Valid</v>
      </c>
      <c r="AS1171" t="str">
        <f t="shared" si="245"/>
        <v>Valid</v>
      </c>
    </row>
    <row r="1172" spans="1:45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 t="str">
        <f t="shared" si="234"/>
        <v>Ok</v>
      </c>
      <c r="AE1172" t="str">
        <f>IF(AND(Audit_Data[[#This Row],[Year_Birth]]&gt;=1900,Audit_Data[[#This Row],[Year_Birth]]&lt;=2010),"OK","Invalid")</f>
        <v>OK</v>
      </c>
      <c r="AF1172" t="str">
        <f t="shared" si="235"/>
        <v>Valid</v>
      </c>
      <c r="AG1172" t="str">
        <f t="shared" si="236"/>
        <v>Valid</v>
      </c>
      <c r="AH1172" t="str">
        <f t="shared" si="237"/>
        <v>Valid</v>
      </c>
      <c r="AI1172" t="str">
        <f t="shared" si="238"/>
        <v>Valid</v>
      </c>
      <c r="AJ1172" t="str">
        <f t="shared" si="239"/>
        <v>Valid</v>
      </c>
      <c r="AK1172" t="str">
        <f t="shared" si="246"/>
        <v xml:space="preserve">Valid </v>
      </c>
      <c r="AL1172" t="str">
        <f>IF(AND(Audit_Data[[#This Row],[Recency]]&gt;=0,Audit_Data[[#This Row],[Recency]]&lt;=100),"Valid","Invalid")</f>
        <v>Valid</v>
      </c>
      <c r="AM1172" t="str">
        <f t="shared" si="240"/>
        <v>Valid</v>
      </c>
      <c r="AN1172" t="str">
        <f t="shared" si="241"/>
        <v>Valid</v>
      </c>
      <c r="AO1172" t="str">
        <f t="shared" si="242"/>
        <v>Valid</v>
      </c>
      <c r="AP1172" t="str">
        <f t="shared" si="243"/>
        <v>Valid</v>
      </c>
      <c r="AQ1172" t="str">
        <f>IF(Audit_Data[[#This Row],[Z_CostContact]]=3,"Valid","Invalid")</f>
        <v>Valid</v>
      </c>
      <c r="AR1172" t="str">
        <f t="shared" si="244"/>
        <v>Valid</v>
      </c>
      <c r="AS1172" t="str">
        <f t="shared" si="245"/>
        <v>Valid</v>
      </c>
    </row>
    <row r="1173" spans="1:45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 t="str">
        <f t="shared" si="234"/>
        <v>Ok</v>
      </c>
      <c r="AE1173" t="str">
        <f>IF(AND(Audit_Data[[#This Row],[Year_Birth]]&gt;=1900,Audit_Data[[#This Row],[Year_Birth]]&lt;=2010),"OK","Invalid")</f>
        <v>OK</v>
      </c>
      <c r="AF1173" t="str">
        <f t="shared" si="235"/>
        <v>Valid</v>
      </c>
      <c r="AG1173" t="str">
        <f t="shared" si="236"/>
        <v>Valid</v>
      </c>
      <c r="AH1173" t="str">
        <f t="shared" si="237"/>
        <v>Valid</v>
      </c>
      <c r="AI1173" t="str">
        <f t="shared" si="238"/>
        <v>Valid</v>
      </c>
      <c r="AJ1173" t="str">
        <f t="shared" si="239"/>
        <v>Valid</v>
      </c>
      <c r="AK1173" t="str">
        <f t="shared" si="246"/>
        <v xml:space="preserve">Valid </v>
      </c>
      <c r="AL1173" t="str">
        <f>IF(AND(Audit_Data[[#This Row],[Recency]]&gt;=0,Audit_Data[[#This Row],[Recency]]&lt;=100),"Valid","Invalid")</f>
        <v>Valid</v>
      </c>
      <c r="AM1173" t="str">
        <f t="shared" si="240"/>
        <v>Valid</v>
      </c>
      <c r="AN1173" t="str">
        <f t="shared" si="241"/>
        <v>Valid</v>
      </c>
      <c r="AO1173" t="str">
        <f t="shared" si="242"/>
        <v>Valid</v>
      </c>
      <c r="AP1173" t="str">
        <f t="shared" si="243"/>
        <v>Valid</v>
      </c>
      <c r="AQ1173" t="str">
        <f>IF(Audit_Data[[#This Row],[Z_CostContact]]=3,"Valid","Invalid")</f>
        <v>Valid</v>
      </c>
      <c r="AR1173" t="str">
        <f t="shared" si="244"/>
        <v>Valid</v>
      </c>
      <c r="AS1173" t="str">
        <f t="shared" si="245"/>
        <v>Valid</v>
      </c>
    </row>
    <row r="1174" spans="1:45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 t="str">
        <f t="shared" si="234"/>
        <v>Ok</v>
      </c>
      <c r="AE1174" t="str">
        <f>IF(AND(Audit_Data[[#This Row],[Year_Birth]]&gt;=1900,Audit_Data[[#This Row],[Year_Birth]]&lt;=2010),"OK","Invalid")</f>
        <v>OK</v>
      </c>
      <c r="AF1174" t="str">
        <f t="shared" si="235"/>
        <v>Valid</v>
      </c>
      <c r="AG1174" t="str">
        <f t="shared" si="236"/>
        <v>Valid</v>
      </c>
      <c r="AH1174" t="str">
        <f t="shared" si="237"/>
        <v>Valid</v>
      </c>
      <c r="AI1174" t="str">
        <f t="shared" si="238"/>
        <v>Valid</v>
      </c>
      <c r="AJ1174" t="str">
        <f t="shared" si="239"/>
        <v>Valid</v>
      </c>
      <c r="AK1174" t="str">
        <f t="shared" si="246"/>
        <v xml:space="preserve">Valid </v>
      </c>
      <c r="AL1174" t="str">
        <f>IF(AND(Audit_Data[[#This Row],[Recency]]&gt;=0,Audit_Data[[#This Row],[Recency]]&lt;=100),"Valid","Invalid")</f>
        <v>Valid</v>
      </c>
      <c r="AM1174" t="str">
        <f t="shared" si="240"/>
        <v>Valid</v>
      </c>
      <c r="AN1174" t="str">
        <f t="shared" si="241"/>
        <v>Valid</v>
      </c>
      <c r="AO1174" t="str">
        <f t="shared" si="242"/>
        <v>Valid</v>
      </c>
      <c r="AP1174" t="str">
        <f t="shared" si="243"/>
        <v>Valid</v>
      </c>
      <c r="AQ1174" t="str">
        <f>IF(Audit_Data[[#This Row],[Z_CostContact]]=3,"Valid","Invalid")</f>
        <v>Valid</v>
      </c>
      <c r="AR1174" t="str">
        <f t="shared" si="244"/>
        <v>Valid</v>
      </c>
      <c r="AS1174" t="str">
        <f t="shared" si="245"/>
        <v>Valid</v>
      </c>
    </row>
    <row r="1175" spans="1:45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 t="str">
        <f t="shared" si="234"/>
        <v>Ok</v>
      </c>
      <c r="AE1175" t="str">
        <f>IF(AND(Audit_Data[[#This Row],[Year_Birth]]&gt;=1900,Audit_Data[[#This Row],[Year_Birth]]&lt;=2010),"OK","Invalid")</f>
        <v>OK</v>
      </c>
      <c r="AF1175" t="str">
        <f t="shared" si="235"/>
        <v>Valid</v>
      </c>
      <c r="AG1175" t="str">
        <f t="shared" si="236"/>
        <v>Valid</v>
      </c>
      <c r="AH1175" t="str">
        <f t="shared" si="237"/>
        <v>Valid</v>
      </c>
      <c r="AI1175" t="str">
        <f t="shared" si="238"/>
        <v>Valid</v>
      </c>
      <c r="AJ1175" t="str">
        <f t="shared" si="239"/>
        <v>Valid</v>
      </c>
      <c r="AK1175" t="str">
        <f t="shared" si="246"/>
        <v xml:space="preserve">Valid </v>
      </c>
      <c r="AL1175" t="str">
        <f>IF(AND(Audit_Data[[#This Row],[Recency]]&gt;=0,Audit_Data[[#This Row],[Recency]]&lt;=100),"Valid","Invalid")</f>
        <v>Valid</v>
      </c>
      <c r="AM1175" t="str">
        <f t="shared" si="240"/>
        <v>Valid</v>
      </c>
      <c r="AN1175" t="str">
        <f t="shared" si="241"/>
        <v>Valid</v>
      </c>
      <c r="AO1175" t="str">
        <f t="shared" si="242"/>
        <v>Valid</v>
      </c>
      <c r="AP1175" t="str">
        <f t="shared" si="243"/>
        <v>Valid</v>
      </c>
      <c r="AQ1175" t="str">
        <f>IF(Audit_Data[[#This Row],[Z_CostContact]]=3,"Valid","Invalid")</f>
        <v>Valid</v>
      </c>
      <c r="AR1175" t="str">
        <f t="shared" si="244"/>
        <v>Valid</v>
      </c>
      <c r="AS1175" t="str">
        <f t="shared" si="245"/>
        <v>Valid</v>
      </c>
    </row>
    <row r="1176" spans="1:45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 t="str">
        <f t="shared" si="234"/>
        <v>Ok</v>
      </c>
      <c r="AE1176" t="str">
        <f>IF(AND(Audit_Data[[#This Row],[Year_Birth]]&gt;=1900,Audit_Data[[#This Row],[Year_Birth]]&lt;=2010),"OK","Invalid")</f>
        <v>OK</v>
      </c>
      <c r="AF1176" t="str">
        <f t="shared" si="235"/>
        <v>Valid</v>
      </c>
      <c r="AG1176" t="str">
        <f t="shared" si="236"/>
        <v>Valid</v>
      </c>
      <c r="AH1176" t="str">
        <f t="shared" si="237"/>
        <v>Valid</v>
      </c>
      <c r="AI1176" t="str">
        <f t="shared" si="238"/>
        <v>Valid</v>
      </c>
      <c r="AJ1176" t="str">
        <f t="shared" si="239"/>
        <v>Valid</v>
      </c>
      <c r="AK1176" t="str">
        <f t="shared" si="246"/>
        <v xml:space="preserve">Valid </v>
      </c>
      <c r="AL1176" t="str">
        <f>IF(AND(Audit_Data[[#This Row],[Recency]]&gt;=0,Audit_Data[[#This Row],[Recency]]&lt;=100),"Valid","Invalid")</f>
        <v>Valid</v>
      </c>
      <c r="AM1176" t="str">
        <f t="shared" si="240"/>
        <v>Valid</v>
      </c>
      <c r="AN1176" t="str">
        <f t="shared" si="241"/>
        <v>Valid</v>
      </c>
      <c r="AO1176" t="str">
        <f t="shared" si="242"/>
        <v>Valid</v>
      </c>
      <c r="AP1176" t="str">
        <f t="shared" si="243"/>
        <v>Valid</v>
      </c>
      <c r="AQ1176" t="str">
        <f>IF(Audit_Data[[#This Row],[Z_CostContact]]=3,"Valid","Invalid")</f>
        <v>Valid</v>
      </c>
      <c r="AR1176" t="str">
        <f t="shared" si="244"/>
        <v>Valid</v>
      </c>
      <c r="AS1176" t="str">
        <f t="shared" si="245"/>
        <v>Valid</v>
      </c>
    </row>
    <row r="1177" spans="1:45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 t="str">
        <f t="shared" si="234"/>
        <v>Ok</v>
      </c>
      <c r="AE1177" t="str">
        <f>IF(AND(Audit_Data[[#This Row],[Year_Birth]]&gt;=1900,Audit_Data[[#This Row],[Year_Birth]]&lt;=2010),"OK","Invalid")</f>
        <v>OK</v>
      </c>
      <c r="AF1177" t="str">
        <f t="shared" si="235"/>
        <v>Valid</v>
      </c>
      <c r="AG1177" t="str">
        <f t="shared" si="236"/>
        <v>Valid</v>
      </c>
      <c r="AH1177" t="str">
        <f t="shared" si="237"/>
        <v>Valid</v>
      </c>
      <c r="AI1177" t="str">
        <f t="shared" si="238"/>
        <v>Valid</v>
      </c>
      <c r="AJ1177" t="str">
        <f t="shared" si="239"/>
        <v>Valid</v>
      </c>
      <c r="AK1177" t="str">
        <f t="shared" si="246"/>
        <v xml:space="preserve">Valid </v>
      </c>
      <c r="AL1177" t="str">
        <f>IF(AND(Audit_Data[[#This Row],[Recency]]&gt;=0,Audit_Data[[#This Row],[Recency]]&lt;=100),"Valid","Invalid")</f>
        <v>Valid</v>
      </c>
      <c r="AM1177" t="str">
        <f t="shared" si="240"/>
        <v>Valid</v>
      </c>
      <c r="AN1177" t="str">
        <f t="shared" si="241"/>
        <v>Valid</v>
      </c>
      <c r="AO1177" t="str">
        <f t="shared" si="242"/>
        <v>Valid</v>
      </c>
      <c r="AP1177" t="str">
        <f t="shared" si="243"/>
        <v>Valid</v>
      </c>
      <c r="AQ1177" t="str">
        <f>IF(Audit_Data[[#This Row],[Z_CostContact]]=3,"Valid","Invalid")</f>
        <v>Valid</v>
      </c>
      <c r="AR1177" t="str">
        <f t="shared" si="244"/>
        <v>Valid</v>
      </c>
      <c r="AS1177" t="str">
        <f t="shared" si="245"/>
        <v>Valid</v>
      </c>
    </row>
    <row r="1178" spans="1:45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 t="str">
        <f t="shared" si="234"/>
        <v>Ok</v>
      </c>
      <c r="AE1178" t="str">
        <f>IF(AND(Audit_Data[[#This Row],[Year_Birth]]&gt;=1900,Audit_Data[[#This Row],[Year_Birth]]&lt;=2010),"OK","Invalid")</f>
        <v>OK</v>
      </c>
      <c r="AF1178" t="str">
        <f t="shared" si="235"/>
        <v>Valid</v>
      </c>
      <c r="AG1178" t="str">
        <f t="shared" si="236"/>
        <v>Valid</v>
      </c>
      <c r="AH1178" t="str">
        <f t="shared" si="237"/>
        <v>Valid</v>
      </c>
      <c r="AI1178" t="str">
        <f t="shared" si="238"/>
        <v>Valid</v>
      </c>
      <c r="AJ1178" t="str">
        <f t="shared" si="239"/>
        <v>Valid</v>
      </c>
      <c r="AK1178" t="str">
        <f t="shared" si="246"/>
        <v xml:space="preserve">Valid </v>
      </c>
      <c r="AL1178" t="str">
        <f>IF(AND(Audit_Data[[#This Row],[Recency]]&gt;=0,Audit_Data[[#This Row],[Recency]]&lt;=100),"Valid","Invalid")</f>
        <v>Valid</v>
      </c>
      <c r="AM1178" t="str">
        <f t="shared" si="240"/>
        <v>Valid</v>
      </c>
      <c r="AN1178" t="str">
        <f t="shared" si="241"/>
        <v>Valid</v>
      </c>
      <c r="AO1178" t="str">
        <f t="shared" si="242"/>
        <v>Valid</v>
      </c>
      <c r="AP1178" t="str">
        <f t="shared" si="243"/>
        <v>Valid</v>
      </c>
      <c r="AQ1178" t="str">
        <f>IF(Audit_Data[[#This Row],[Z_CostContact]]=3,"Valid","Invalid")</f>
        <v>Valid</v>
      </c>
      <c r="AR1178" t="str">
        <f t="shared" si="244"/>
        <v>Valid</v>
      </c>
      <c r="AS1178" t="str">
        <f t="shared" si="245"/>
        <v>Valid</v>
      </c>
    </row>
    <row r="1179" spans="1:45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 t="str">
        <f t="shared" si="234"/>
        <v>Ok</v>
      </c>
      <c r="AE1179" t="str">
        <f>IF(AND(Audit_Data[[#This Row],[Year_Birth]]&gt;=1900,Audit_Data[[#This Row],[Year_Birth]]&lt;=2010),"OK","Invalid")</f>
        <v>OK</v>
      </c>
      <c r="AF1179" t="str">
        <f t="shared" si="235"/>
        <v>Valid</v>
      </c>
      <c r="AG1179" t="str">
        <f t="shared" si="236"/>
        <v>Valid</v>
      </c>
      <c r="AH1179" t="str">
        <f t="shared" si="237"/>
        <v>Valid</v>
      </c>
      <c r="AI1179" t="str">
        <f t="shared" si="238"/>
        <v>Valid</v>
      </c>
      <c r="AJ1179" t="str">
        <f t="shared" si="239"/>
        <v>Valid</v>
      </c>
      <c r="AK1179" t="str">
        <f t="shared" si="246"/>
        <v xml:space="preserve">Valid </v>
      </c>
      <c r="AL1179" t="str">
        <f>IF(AND(Audit_Data[[#This Row],[Recency]]&gt;=0,Audit_Data[[#This Row],[Recency]]&lt;=100),"Valid","Invalid")</f>
        <v>Valid</v>
      </c>
      <c r="AM1179" t="str">
        <f t="shared" si="240"/>
        <v>Valid</v>
      </c>
      <c r="AN1179" t="str">
        <f t="shared" si="241"/>
        <v>Valid</v>
      </c>
      <c r="AO1179" t="str">
        <f t="shared" si="242"/>
        <v>Valid</v>
      </c>
      <c r="AP1179" t="str">
        <f t="shared" si="243"/>
        <v>Valid</v>
      </c>
      <c r="AQ1179" t="str">
        <f>IF(Audit_Data[[#This Row],[Z_CostContact]]=3,"Valid","Invalid")</f>
        <v>Valid</v>
      </c>
      <c r="AR1179" t="str">
        <f t="shared" si="244"/>
        <v>Valid</v>
      </c>
      <c r="AS1179" t="str">
        <f t="shared" si="245"/>
        <v>Valid</v>
      </c>
    </row>
    <row r="1180" spans="1:45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 t="str">
        <f t="shared" si="234"/>
        <v>Ok</v>
      </c>
      <c r="AE1180" t="str">
        <f>IF(AND(Audit_Data[[#This Row],[Year_Birth]]&gt;=1900,Audit_Data[[#This Row],[Year_Birth]]&lt;=2010),"OK","Invalid")</f>
        <v>OK</v>
      </c>
      <c r="AF1180" t="str">
        <f t="shared" si="235"/>
        <v>Valid</v>
      </c>
      <c r="AG1180" t="str">
        <f t="shared" si="236"/>
        <v>Valid</v>
      </c>
      <c r="AH1180" t="str">
        <f t="shared" si="237"/>
        <v>Valid</v>
      </c>
      <c r="AI1180" t="str">
        <f t="shared" si="238"/>
        <v>Valid</v>
      </c>
      <c r="AJ1180" t="str">
        <f t="shared" si="239"/>
        <v>Valid</v>
      </c>
      <c r="AK1180" t="str">
        <f t="shared" si="246"/>
        <v xml:space="preserve">Valid </v>
      </c>
      <c r="AL1180" t="str">
        <f>IF(AND(Audit_Data[[#This Row],[Recency]]&gt;=0,Audit_Data[[#This Row],[Recency]]&lt;=100),"Valid","Invalid")</f>
        <v>Valid</v>
      </c>
      <c r="AM1180" t="str">
        <f t="shared" si="240"/>
        <v>Valid</v>
      </c>
      <c r="AN1180" t="str">
        <f t="shared" si="241"/>
        <v>Valid</v>
      </c>
      <c r="AO1180" t="str">
        <f t="shared" si="242"/>
        <v>Valid</v>
      </c>
      <c r="AP1180" t="str">
        <f t="shared" si="243"/>
        <v>Valid</v>
      </c>
      <c r="AQ1180" t="str">
        <f>IF(Audit_Data[[#This Row],[Z_CostContact]]=3,"Valid","Invalid")</f>
        <v>Valid</v>
      </c>
      <c r="AR1180" t="str">
        <f t="shared" si="244"/>
        <v>Valid</v>
      </c>
      <c r="AS1180" t="str">
        <f t="shared" si="245"/>
        <v>Valid</v>
      </c>
    </row>
    <row r="1181" spans="1:45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 t="str">
        <f t="shared" si="234"/>
        <v>Ok</v>
      </c>
      <c r="AE1181" t="str">
        <f>IF(AND(Audit_Data[[#This Row],[Year_Birth]]&gt;=1900,Audit_Data[[#This Row],[Year_Birth]]&lt;=2010),"OK","Invalid")</f>
        <v>OK</v>
      </c>
      <c r="AF1181" t="str">
        <f t="shared" si="235"/>
        <v>Valid</v>
      </c>
      <c r="AG1181" t="str">
        <f t="shared" si="236"/>
        <v>Valid</v>
      </c>
      <c r="AH1181" t="str">
        <f t="shared" si="237"/>
        <v>Valid</v>
      </c>
      <c r="AI1181" t="str">
        <f t="shared" si="238"/>
        <v>Valid</v>
      </c>
      <c r="AJ1181" t="str">
        <f t="shared" si="239"/>
        <v>Valid</v>
      </c>
      <c r="AK1181" t="str">
        <f t="shared" si="246"/>
        <v xml:space="preserve">Valid </v>
      </c>
      <c r="AL1181" t="str">
        <f>IF(AND(Audit_Data[[#This Row],[Recency]]&gt;=0,Audit_Data[[#This Row],[Recency]]&lt;=100),"Valid","Invalid")</f>
        <v>Valid</v>
      </c>
      <c r="AM1181" t="str">
        <f t="shared" si="240"/>
        <v>Valid</v>
      </c>
      <c r="AN1181" t="str">
        <f t="shared" si="241"/>
        <v>Valid</v>
      </c>
      <c r="AO1181" t="str">
        <f t="shared" si="242"/>
        <v>Valid</v>
      </c>
      <c r="AP1181" t="str">
        <f t="shared" si="243"/>
        <v>Valid</v>
      </c>
      <c r="AQ1181" t="str">
        <f>IF(Audit_Data[[#This Row],[Z_CostContact]]=3,"Valid","Invalid")</f>
        <v>Valid</v>
      </c>
      <c r="AR1181" t="str">
        <f t="shared" si="244"/>
        <v>Valid</v>
      </c>
      <c r="AS1181" t="str">
        <f t="shared" si="245"/>
        <v>Valid</v>
      </c>
    </row>
    <row r="1182" spans="1:45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 t="str">
        <f t="shared" si="234"/>
        <v>Ok</v>
      </c>
      <c r="AE1182" t="str">
        <f>IF(AND(Audit_Data[[#This Row],[Year_Birth]]&gt;=1900,Audit_Data[[#This Row],[Year_Birth]]&lt;=2010),"OK","Invalid")</f>
        <v>OK</v>
      </c>
      <c r="AF1182" t="str">
        <f t="shared" si="235"/>
        <v>Valid</v>
      </c>
      <c r="AG1182" t="str">
        <f t="shared" si="236"/>
        <v>Valid</v>
      </c>
      <c r="AH1182" t="str">
        <f t="shared" si="237"/>
        <v>Valid</v>
      </c>
      <c r="AI1182" t="str">
        <f t="shared" si="238"/>
        <v>Valid</v>
      </c>
      <c r="AJ1182" t="str">
        <f t="shared" si="239"/>
        <v>Valid</v>
      </c>
      <c r="AK1182" t="str">
        <f t="shared" si="246"/>
        <v xml:space="preserve">Valid </v>
      </c>
      <c r="AL1182" t="str">
        <f>IF(AND(Audit_Data[[#This Row],[Recency]]&gt;=0,Audit_Data[[#This Row],[Recency]]&lt;=100),"Valid","Invalid")</f>
        <v>Valid</v>
      </c>
      <c r="AM1182" t="str">
        <f t="shared" si="240"/>
        <v>Valid</v>
      </c>
      <c r="AN1182" t="str">
        <f t="shared" si="241"/>
        <v>Valid</v>
      </c>
      <c r="AO1182" t="str">
        <f t="shared" si="242"/>
        <v>Valid</v>
      </c>
      <c r="AP1182" t="str">
        <f t="shared" si="243"/>
        <v>Valid</v>
      </c>
      <c r="AQ1182" t="str">
        <f>IF(Audit_Data[[#This Row],[Z_CostContact]]=3,"Valid","Invalid")</f>
        <v>Valid</v>
      </c>
      <c r="AR1182" t="str">
        <f t="shared" si="244"/>
        <v>Valid</v>
      </c>
      <c r="AS1182" t="str">
        <f t="shared" si="245"/>
        <v>Valid</v>
      </c>
    </row>
    <row r="1183" spans="1:45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 t="str">
        <f t="shared" si="234"/>
        <v>Ok</v>
      </c>
      <c r="AE1183" t="str">
        <f>IF(AND(Audit_Data[[#This Row],[Year_Birth]]&gt;=1900,Audit_Data[[#This Row],[Year_Birth]]&lt;=2010),"OK","Invalid")</f>
        <v>OK</v>
      </c>
      <c r="AF1183" t="str">
        <f t="shared" si="235"/>
        <v>Valid</v>
      </c>
      <c r="AG1183" t="str">
        <f t="shared" si="236"/>
        <v>Valid</v>
      </c>
      <c r="AH1183" t="str">
        <f t="shared" si="237"/>
        <v>Valid</v>
      </c>
      <c r="AI1183" t="str">
        <f t="shared" si="238"/>
        <v>Valid</v>
      </c>
      <c r="AJ1183" t="str">
        <f t="shared" si="239"/>
        <v>Valid</v>
      </c>
      <c r="AK1183" t="str">
        <f t="shared" si="246"/>
        <v xml:space="preserve">Valid </v>
      </c>
      <c r="AL1183" t="str">
        <f>IF(AND(Audit_Data[[#This Row],[Recency]]&gt;=0,Audit_Data[[#This Row],[Recency]]&lt;=100),"Valid","Invalid")</f>
        <v>Valid</v>
      </c>
      <c r="AM1183" t="str">
        <f t="shared" si="240"/>
        <v>Valid</v>
      </c>
      <c r="AN1183" t="str">
        <f t="shared" si="241"/>
        <v>Valid</v>
      </c>
      <c r="AO1183" t="str">
        <f t="shared" si="242"/>
        <v>Valid</v>
      </c>
      <c r="AP1183" t="str">
        <f t="shared" si="243"/>
        <v>Valid</v>
      </c>
      <c r="AQ1183" t="str">
        <f>IF(Audit_Data[[#This Row],[Z_CostContact]]=3,"Valid","Invalid")</f>
        <v>Valid</v>
      </c>
      <c r="AR1183" t="str">
        <f t="shared" si="244"/>
        <v>Valid</v>
      </c>
      <c r="AS1183" t="str">
        <f t="shared" si="245"/>
        <v>Valid</v>
      </c>
    </row>
    <row r="1184" spans="1:45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 t="str">
        <f t="shared" si="234"/>
        <v>Ok</v>
      </c>
      <c r="AE1184" t="str">
        <f>IF(AND(Audit_Data[[#This Row],[Year_Birth]]&gt;=1900,Audit_Data[[#This Row],[Year_Birth]]&lt;=2010),"OK","Invalid")</f>
        <v>OK</v>
      </c>
      <c r="AF1184" t="str">
        <f t="shared" si="235"/>
        <v>Valid</v>
      </c>
      <c r="AG1184" t="str">
        <f t="shared" si="236"/>
        <v>Valid</v>
      </c>
      <c r="AH1184" t="str">
        <f t="shared" si="237"/>
        <v>Valid</v>
      </c>
      <c r="AI1184" t="str">
        <f t="shared" si="238"/>
        <v>Valid</v>
      </c>
      <c r="AJ1184" t="str">
        <f t="shared" si="239"/>
        <v>Valid</v>
      </c>
      <c r="AK1184" t="str">
        <f t="shared" si="246"/>
        <v xml:space="preserve">Valid </v>
      </c>
      <c r="AL1184" t="str">
        <f>IF(AND(Audit_Data[[#This Row],[Recency]]&gt;=0,Audit_Data[[#This Row],[Recency]]&lt;=100),"Valid","Invalid")</f>
        <v>Valid</v>
      </c>
      <c r="AM1184" t="str">
        <f t="shared" si="240"/>
        <v>Valid</v>
      </c>
      <c r="AN1184" t="str">
        <f t="shared" si="241"/>
        <v>Valid</v>
      </c>
      <c r="AO1184" t="str">
        <f t="shared" si="242"/>
        <v>Valid</v>
      </c>
      <c r="AP1184" t="str">
        <f t="shared" si="243"/>
        <v>Valid</v>
      </c>
      <c r="AQ1184" t="str">
        <f>IF(Audit_Data[[#This Row],[Z_CostContact]]=3,"Valid","Invalid")</f>
        <v>Valid</v>
      </c>
      <c r="AR1184" t="str">
        <f t="shared" si="244"/>
        <v>Valid</v>
      </c>
      <c r="AS1184" t="str">
        <f t="shared" si="245"/>
        <v>Valid</v>
      </c>
    </row>
    <row r="1185" spans="1:45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 t="str">
        <f t="shared" si="234"/>
        <v>Ok</v>
      </c>
      <c r="AE1185" t="str">
        <f>IF(AND(Audit_Data[[#This Row],[Year_Birth]]&gt;=1900,Audit_Data[[#This Row],[Year_Birth]]&lt;=2010),"OK","Invalid")</f>
        <v>OK</v>
      </c>
      <c r="AF1185" t="str">
        <f t="shared" si="235"/>
        <v>Valid</v>
      </c>
      <c r="AG1185" t="str">
        <f t="shared" si="236"/>
        <v>Valid</v>
      </c>
      <c r="AH1185" t="str">
        <f t="shared" si="237"/>
        <v>Valid</v>
      </c>
      <c r="AI1185" t="str">
        <f t="shared" si="238"/>
        <v>Valid</v>
      </c>
      <c r="AJ1185" t="str">
        <f t="shared" si="239"/>
        <v>Valid</v>
      </c>
      <c r="AK1185" t="str">
        <f t="shared" si="246"/>
        <v xml:space="preserve">Valid </v>
      </c>
      <c r="AL1185" t="str">
        <f>IF(AND(Audit_Data[[#This Row],[Recency]]&gt;=0,Audit_Data[[#This Row],[Recency]]&lt;=100),"Valid","Invalid")</f>
        <v>Valid</v>
      </c>
      <c r="AM1185" t="str">
        <f t="shared" si="240"/>
        <v>Valid</v>
      </c>
      <c r="AN1185" t="str">
        <f t="shared" si="241"/>
        <v>Valid</v>
      </c>
      <c r="AO1185" t="str">
        <f t="shared" si="242"/>
        <v>Valid</v>
      </c>
      <c r="AP1185" t="str">
        <f t="shared" si="243"/>
        <v>Valid</v>
      </c>
      <c r="AQ1185" t="str">
        <f>IF(Audit_Data[[#This Row],[Z_CostContact]]=3,"Valid","Invalid")</f>
        <v>Valid</v>
      </c>
      <c r="AR1185" t="str">
        <f t="shared" si="244"/>
        <v>Valid</v>
      </c>
      <c r="AS1185" t="str">
        <f t="shared" si="245"/>
        <v>Valid</v>
      </c>
    </row>
    <row r="1186" spans="1:45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 t="str">
        <f t="shared" si="234"/>
        <v>Ok</v>
      </c>
      <c r="AE1186" t="str">
        <f>IF(AND(Audit_Data[[#This Row],[Year_Birth]]&gt;=1900,Audit_Data[[#This Row],[Year_Birth]]&lt;=2010),"OK","Invalid")</f>
        <v>OK</v>
      </c>
      <c r="AF1186" t="str">
        <f t="shared" si="235"/>
        <v>Valid</v>
      </c>
      <c r="AG1186" t="str">
        <f t="shared" si="236"/>
        <v>Valid</v>
      </c>
      <c r="AH1186" t="str">
        <f t="shared" si="237"/>
        <v>Valid</v>
      </c>
      <c r="AI1186" t="str">
        <f t="shared" si="238"/>
        <v>Valid</v>
      </c>
      <c r="AJ1186" t="str">
        <f t="shared" si="239"/>
        <v>Valid</v>
      </c>
      <c r="AK1186" t="str">
        <f t="shared" si="246"/>
        <v xml:space="preserve">Valid </v>
      </c>
      <c r="AL1186" t="str">
        <f>IF(AND(Audit_Data[[#This Row],[Recency]]&gt;=0,Audit_Data[[#This Row],[Recency]]&lt;=100),"Valid","Invalid")</f>
        <v>Valid</v>
      </c>
      <c r="AM1186" t="str">
        <f t="shared" si="240"/>
        <v>Valid</v>
      </c>
      <c r="AN1186" t="str">
        <f t="shared" si="241"/>
        <v>Valid</v>
      </c>
      <c r="AO1186" t="str">
        <f t="shared" si="242"/>
        <v>Valid</v>
      </c>
      <c r="AP1186" t="str">
        <f t="shared" si="243"/>
        <v>Valid</v>
      </c>
      <c r="AQ1186" t="str">
        <f>IF(Audit_Data[[#This Row],[Z_CostContact]]=3,"Valid","Invalid")</f>
        <v>Valid</v>
      </c>
      <c r="AR1186" t="str">
        <f t="shared" si="244"/>
        <v>Valid</v>
      </c>
      <c r="AS1186" t="str">
        <f t="shared" si="245"/>
        <v>Valid</v>
      </c>
    </row>
    <row r="1187" spans="1:45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 t="str">
        <f t="shared" si="234"/>
        <v>Ok</v>
      </c>
      <c r="AE1187" t="str">
        <f>IF(AND(Audit_Data[[#This Row],[Year_Birth]]&gt;=1900,Audit_Data[[#This Row],[Year_Birth]]&lt;=2010),"OK","Invalid")</f>
        <v>OK</v>
      </c>
      <c r="AF1187" t="str">
        <f t="shared" si="235"/>
        <v>Valid</v>
      </c>
      <c r="AG1187" t="str">
        <f t="shared" si="236"/>
        <v>Valid</v>
      </c>
      <c r="AH1187" t="str">
        <f t="shared" si="237"/>
        <v>Valid</v>
      </c>
      <c r="AI1187" t="str">
        <f t="shared" si="238"/>
        <v>Valid</v>
      </c>
      <c r="AJ1187" t="str">
        <f t="shared" si="239"/>
        <v>Valid</v>
      </c>
      <c r="AK1187" t="str">
        <f t="shared" si="246"/>
        <v xml:space="preserve">Valid </v>
      </c>
      <c r="AL1187" t="str">
        <f>IF(AND(Audit_Data[[#This Row],[Recency]]&gt;=0,Audit_Data[[#This Row],[Recency]]&lt;=100),"Valid","Invalid")</f>
        <v>Valid</v>
      </c>
      <c r="AM1187" t="str">
        <f t="shared" si="240"/>
        <v>Valid</v>
      </c>
      <c r="AN1187" t="str">
        <f t="shared" si="241"/>
        <v>Valid</v>
      </c>
      <c r="AO1187" t="str">
        <f t="shared" si="242"/>
        <v>Valid</v>
      </c>
      <c r="AP1187" t="str">
        <f t="shared" si="243"/>
        <v>Valid</v>
      </c>
      <c r="AQ1187" t="str">
        <f>IF(Audit_Data[[#This Row],[Z_CostContact]]=3,"Valid","Invalid")</f>
        <v>Valid</v>
      </c>
      <c r="AR1187" t="str">
        <f t="shared" si="244"/>
        <v>Valid</v>
      </c>
      <c r="AS1187" t="str">
        <f t="shared" si="245"/>
        <v>Valid</v>
      </c>
    </row>
    <row r="1188" spans="1:45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 t="str">
        <f t="shared" si="234"/>
        <v>Ok</v>
      </c>
      <c r="AE1188" t="str">
        <f>IF(AND(Audit_Data[[#This Row],[Year_Birth]]&gt;=1900,Audit_Data[[#This Row],[Year_Birth]]&lt;=2010),"OK","Invalid")</f>
        <v>OK</v>
      </c>
      <c r="AF1188" t="str">
        <f t="shared" si="235"/>
        <v>Valid</v>
      </c>
      <c r="AG1188" t="str">
        <f t="shared" si="236"/>
        <v>Valid</v>
      </c>
      <c r="AH1188" t="str">
        <f t="shared" si="237"/>
        <v>Valid</v>
      </c>
      <c r="AI1188" t="str">
        <f t="shared" si="238"/>
        <v>Valid</v>
      </c>
      <c r="AJ1188" t="str">
        <f t="shared" si="239"/>
        <v>Valid</v>
      </c>
      <c r="AK1188" t="str">
        <f t="shared" si="246"/>
        <v xml:space="preserve">Valid </v>
      </c>
      <c r="AL1188" t="str">
        <f>IF(AND(Audit_Data[[#This Row],[Recency]]&gt;=0,Audit_Data[[#This Row],[Recency]]&lt;=100),"Valid","Invalid")</f>
        <v>Valid</v>
      </c>
      <c r="AM1188" t="str">
        <f t="shared" si="240"/>
        <v>Valid</v>
      </c>
      <c r="AN1188" t="str">
        <f t="shared" si="241"/>
        <v>Valid</v>
      </c>
      <c r="AO1188" t="str">
        <f t="shared" si="242"/>
        <v>Valid</v>
      </c>
      <c r="AP1188" t="str">
        <f t="shared" si="243"/>
        <v>Valid</v>
      </c>
      <c r="AQ1188" t="str">
        <f>IF(Audit_Data[[#This Row],[Z_CostContact]]=3,"Valid","Invalid")</f>
        <v>Valid</v>
      </c>
      <c r="AR1188" t="str">
        <f t="shared" si="244"/>
        <v>Valid</v>
      </c>
      <c r="AS1188" t="str">
        <f t="shared" si="245"/>
        <v>Valid</v>
      </c>
    </row>
    <row r="1189" spans="1:45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 t="str">
        <f t="shared" si="234"/>
        <v>Ok</v>
      </c>
      <c r="AE1189" t="str">
        <f>IF(AND(Audit_Data[[#This Row],[Year_Birth]]&gt;=1900,Audit_Data[[#This Row],[Year_Birth]]&lt;=2010),"OK","Invalid")</f>
        <v>OK</v>
      </c>
      <c r="AF1189" t="str">
        <f t="shared" si="235"/>
        <v>Valid</v>
      </c>
      <c r="AG1189" t="str">
        <f t="shared" si="236"/>
        <v>Valid</v>
      </c>
      <c r="AH1189" t="str">
        <f t="shared" si="237"/>
        <v>Valid</v>
      </c>
      <c r="AI1189" t="str">
        <f t="shared" si="238"/>
        <v>Valid</v>
      </c>
      <c r="AJ1189" t="str">
        <f t="shared" si="239"/>
        <v>Valid</v>
      </c>
      <c r="AK1189" t="str">
        <f t="shared" si="246"/>
        <v xml:space="preserve">Valid </v>
      </c>
      <c r="AL1189" t="str">
        <f>IF(AND(Audit_Data[[#This Row],[Recency]]&gt;=0,Audit_Data[[#This Row],[Recency]]&lt;=100),"Valid","Invalid")</f>
        <v>Valid</v>
      </c>
      <c r="AM1189" t="str">
        <f t="shared" si="240"/>
        <v>Valid</v>
      </c>
      <c r="AN1189" t="str">
        <f t="shared" si="241"/>
        <v>Valid</v>
      </c>
      <c r="AO1189" t="str">
        <f t="shared" si="242"/>
        <v>Valid</v>
      </c>
      <c r="AP1189" t="str">
        <f t="shared" si="243"/>
        <v>Valid</v>
      </c>
      <c r="AQ1189" t="str">
        <f>IF(Audit_Data[[#This Row],[Z_CostContact]]=3,"Valid","Invalid")</f>
        <v>Valid</v>
      </c>
      <c r="AR1189" t="str">
        <f t="shared" si="244"/>
        <v>Valid</v>
      </c>
      <c r="AS1189" t="str">
        <f t="shared" si="245"/>
        <v>Valid</v>
      </c>
    </row>
    <row r="1190" spans="1:45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 t="str">
        <f t="shared" si="234"/>
        <v>Ok</v>
      </c>
      <c r="AE1190" t="str">
        <f>IF(AND(Audit_Data[[#This Row],[Year_Birth]]&gt;=1900,Audit_Data[[#This Row],[Year_Birth]]&lt;=2010),"OK","Invalid")</f>
        <v>OK</v>
      </c>
      <c r="AF1190" t="str">
        <f t="shared" si="235"/>
        <v>Valid</v>
      </c>
      <c r="AG1190" t="str">
        <f t="shared" si="236"/>
        <v>Valid</v>
      </c>
      <c r="AH1190" t="str">
        <f t="shared" si="237"/>
        <v>Valid</v>
      </c>
      <c r="AI1190" t="str">
        <f t="shared" si="238"/>
        <v>Valid</v>
      </c>
      <c r="AJ1190" t="str">
        <f t="shared" si="239"/>
        <v>Valid</v>
      </c>
      <c r="AK1190" t="str">
        <f t="shared" si="246"/>
        <v xml:space="preserve">Valid </v>
      </c>
      <c r="AL1190" t="str">
        <f>IF(AND(Audit_Data[[#This Row],[Recency]]&gt;=0,Audit_Data[[#This Row],[Recency]]&lt;=100),"Valid","Invalid")</f>
        <v>Valid</v>
      </c>
      <c r="AM1190" t="str">
        <f t="shared" si="240"/>
        <v>Valid</v>
      </c>
      <c r="AN1190" t="str">
        <f t="shared" si="241"/>
        <v>Valid</v>
      </c>
      <c r="AO1190" t="str">
        <f t="shared" si="242"/>
        <v>Valid</v>
      </c>
      <c r="AP1190" t="str">
        <f t="shared" si="243"/>
        <v>Valid</v>
      </c>
      <c r="AQ1190" t="str">
        <f>IF(Audit_Data[[#This Row],[Z_CostContact]]=3,"Valid","Invalid")</f>
        <v>Valid</v>
      </c>
      <c r="AR1190" t="str">
        <f t="shared" si="244"/>
        <v>Valid</v>
      </c>
      <c r="AS1190" t="str">
        <f t="shared" si="245"/>
        <v>Valid</v>
      </c>
    </row>
    <row r="1191" spans="1:45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 t="str">
        <f t="shared" si="234"/>
        <v>Ok</v>
      </c>
      <c r="AE1191" t="str">
        <f>IF(AND(Audit_Data[[#This Row],[Year_Birth]]&gt;=1900,Audit_Data[[#This Row],[Year_Birth]]&lt;=2010),"OK","Invalid")</f>
        <v>OK</v>
      </c>
      <c r="AF1191" t="str">
        <f t="shared" si="235"/>
        <v>Valid</v>
      </c>
      <c r="AG1191" t="str">
        <f t="shared" si="236"/>
        <v>Valid</v>
      </c>
      <c r="AH1191" t="str">
        <f t="shared" si="237"/>
        <v>Valid</v>
      </c>
      <c r="AI1191" t="str">
        <f t="shared" si="238"/>
        <v>Valid</v>
      </c>
      <c r="AJ1191" t="str">
        <f t="shared" si="239"/>
        <v>Valid</v>
      </c>
      <c r="AK1191" t="str">
        <f t="shared" si="246"/>
        <v xml:space="preserve">Valid </v>
      </c>
      <c r="AL1191" t="str">
        <f>IF(AND(Audit_Data[[#This Row],[Recency]]&gt;=0,Audit_Data[[#This Row],[Recency]]&lt;=100),"Valid","Invalid")</f>
        <v>Valid</v>
      </c>
      <c r="AM1191" t="str">
        <f t="shared" si="240"/>
        <v>Valid</v>
      </c>
      <c r="AN1191" t="str">
        <f t="shared" si="241"/>
        <v>Valid</v>
      </c>
      <c r="AO1191" t="str">
        <f t="shared" si="242"/>
        <v>Valid</v>
      </c>
      <c r="AP1191" t="str">
        <f t="shared" si="243"/>
        <v>Valid</v>
      </c>
      <c r="AQ1191" t="str">
        <f>IF(Audit_Data[[#This Row],[Z_CostContact]]=3,"Valid","Invalid")</f>
        <v>Valid</v>
      </c>
      <c r="AR1191" t="str">
        <f t="shared" si="244"/>
        <v>Valid</v>
      </c>
      <c r="AS1191" t="str">
        <f t="shared" si="245"/>
        <v>Valid</v>
      </c>
    </row>
    <row r="1192" spans="1:45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 t="str">
        <f t="shared" si="234"/>
        <v>Ok</v>
      </c>
      <c r="AE1192" t="str">
        <f>IF(AND(Audit_Data[[#This Row],[Year_Birth]]&gt;=1900,Audit_Data[[#This Row],[Year_Birth]]&lt;=2010),"OK","Invalid")</f>
        <v>OK</v>
      </c>
      <c r="AF1192" t="str">
        <f t="shared" si="235"/>
        <v>Valid</v>
      </c>
      <c r="AG1192" t="str">
        <f t="shared" si="236"/>
        <v>Valid</v>
      </c>
      <c r="AH1192" t="str">
        <f t="shared" si="237"/>
        <v>Valid</v>
      </c>
      <c r="AI1192" t="str">
        <f t="shared" si="238"/>
        <v>Valid</v>
      </c>
      <c r="AJ1192" t="str">
        <f t="shared" si="239"/>
        <v>Valid</v>
      </c>
      <c r="AK1192" t="str">
        <f t="shared" si="246"/>
        <v xml:space="preserve">Valid </v>
      </c>
      <c r="AL1192" t="str">
        <f>IF(AND(Audit_Data[[#This Row],[Recency]]&gt;=0,Audit_Data[[#This Row],[Recency]]&lt;=100),"Valid","Invalid")</f>
        <v>Valid</v>
      </c>
      <c r="AM1192" t="str">
        <f t="shared" si="240"/>
        <v>Valid</v>
      </c>
      <c r="AN1192" t="str">
        <f t="shared" si="241"/>
        <v>Valid</v>
      </c>
      <c r="AO1192" t="str">
        <f t="shared" si="242"/>
        <v>Valid</v>
      </c>
      <c r="AP1192" t="str">
        <f t="shared" si="243"/>
        <v>Valid</v>
      </c>
      <c r="AQ1192" t="str">
        <f>IF(Audit_Data[[#This Row],[Z_CostContact]]=3,"Valid","Invalid")</f>
        <v>Valid</v>
      </c>
      <c r="AR1192" t="str">
        <f t="shared" si="244"/>
        <v>Valid</v>
      </c>
      <c r="AS1192" t="str">
        <f t="shared" si="245"/>
        <v>Valid</v>
      </c>
    </row>
    <row r="1193" spans="1:45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 t="str">
        <f t="shared" si="234"/>
        <v>Ok</v>
      </c>
      <c r="AE1193" t="str">
        <f>IF(AND(Audit_Data[[#This Row],[Year_Birth]]&gt;=1900,Audit_Data[[#This Row],[Year_Birth]]&lt;=2010),"OK","Invalid")</f>
        <v>OK</v>
      </c>
      <c r="AF1193" t="str">
        <f t="shared" si="235"/>
        <v>Valid</v>
      </c>
      <c r="AG1193" t="str">
        <f t="shared" si="236"/>
        <v>Valid</v>
      </c>
      <c r="AH1193" t="str">
        <f t="shared" si="237"/>
        <v>Valid</v>
      </c>
      <c r="AI1193" t="str">
        <f t="shared" si="238"/>
        <v>Valid</v>
      </c>
      <c r="AJ1193" t="str">
        <f t="shared" si="239"/>
        <v>Valid</v>
      </c>
      <c r="AK1193" t="str">
        <f t="shared" si="246"/>
        <v xml:space="preserve">Valid </v>
      </c>
      <c r="AL1193" t="str">
        <f>IF(AND(Audit_Data[[#This Row],[Recency]]&gt;=0,Audit_Data[[#This Row],[Recency]]&lt;=100),"Valid","Invalid")</f>
        <v>Valid</v>
      </c>
      <c r="AM1193" t="str">
        <f t="shared" si="240"/>
        <v>Valid</v>
      </c>
      <c r="AN1193" t="str">
        <f t="shared" si="241"/>
        <v>Valid</v>
      </c>
      <c r="AO1193" t="str">
        <f t="shared" si="242"/>
        <v>Valid</v>
      </c>
      <c r="AP1193" t="str">
        <f t="shared" si="243"/>
        <v>Valid</v>
      </c>
      <c r="AQ1193" t="str">
        <f>IF(Audit_Data[[#This Row],[Z_CostContact]]=3,"Valid","Invalid")</f>
        <v>Valid</v>
      </c>
      <c r="AR1193" t="str">
        <f t="shared" si="244"/>
        <v>Valid</v>
      </c>
      <c r="AS1193" t="str">
        <f t="shared" si="245"/>
        <v>Valid</v>
      </c>
    </row>
    <row r="1194" spans="1:45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 t="str">
        <f t="shared" si="234"/>
        <v>Ok</v>
      </c>
      <c r="AE1194" t="str">
        <f>IF(AND(Audit_Data[[#This Row],[Year_Birth]]&gt;=1900,Audit_Data[[#This Row],[Year_Birth]]&lt;=2010),"OK","Invalid")</f>
        <v>OK</v>
      </c>
      <c r="AF1194" t="str">
        <f t="shared" si="235"/>
        <v>Valid</v>
      </c>
      <c r="AG1194" t="str">
        <f t="shared" si="236"/>
        <v>Valid</v>
      </c>
      <c r="AH1194" t="str">
        <f t="shared" si="237"/>
        <v>Valid</v>
      </c>
      <c r="AI1194" t="str">
        <f t="shared" si="238"/>
        <v>Valid</v>
      </c>
      <c r="AJ1194" t="str">
        <f t="shared" si="239"/>
        <v>Valid</v>
      </c>
      <c r="AK1194" t="str">
        <f t="shared" si="246"/>
        <v xml:space="preserve">Valid </v>
      </c>
      <c r="AL1194" t="str">
        <f>IF(AND(Audit_Data[[#This Row],[Recency]]&gt;=0,Audit_Data[[#This Row],[Recency]]&lt;=100),"Valid","Invalid")</f>
        <v>Valid</v>
      </c>
      <c r="AM1194" t="str">
        <f t="shared" si="240"/>
        <v>Valid</v>
      </c>
      <c r="AN1194" t="str">
        <f t="shared" si="241"/>
        <v>Valid</v>
      </c>
      <c r="AO1194" t="str">
        <f t="shared" si="242"/>
        <v>Valid</v>
      </c>
      <c r="AP1194" t="str">
        <f t="shared" si="243"/>
        <v>Valid</v>
      </c>
      <c r="AQ1194" t="str">
        <f>IF(Audit_Data[[#This Row],[Z_CostContact]]=3,"Valid","Invalid")</f>
        <v>Valid</v>
      </c>
      <c r="AR1194" t="str">
        <f t="shared" si="244"/>
        <v>Valid</v>
      </c>
      <c r="AS1194" t="str">
        <f t="shared" si="245"/>
        <v>Valid</v>
      </c>
    </row>
    <row r="1195" spans="1:45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 t="str">
        <f t="shared" si="234"/>
        <v>Ok</v>
      </c>
      <c r="AE1195" t="str">
        <f>IF(AND(Audit_Data[[#This Row],[Year_Birth]]&gt;=1900,Audit_Data[[#This Row],[Year_Birth]]&lt;=2010),"OK","Invalid")</f>
        <v>OK</v>
      </c>
      <c r="AF1195" t="str">
        <f t="shared" si="235"/>
        <v>Valid</v>
      </c>
      <c r="AG1195" t="str">
        <f t="shared" si="236"/>
        <v>Valid</v>
      </c>
      <c r="AH1195" t="str">
        <f t="shared" si="237"/>
        <v>Valid</v>
      </c>
      <c r="AI1195" t="str">
        <f t="shared" si="238"/>
        <v>Valid</v>
      </c>
      <c r="AJ1195" t="str">
        <f t="shared" si="239"/>
        <v>Valid</v>
      </c>
      <c r="AK1195" t="str">
        <f t="shared" si="246"/>
        <v xml:space="preserve">Valid </v>
      </c>
      <c r="AL1195" t="str">
        <f>IF(AND(Audit_Data[[#This Row],[Recency]]&gt;=0,Audit_Data[[#This Row],[Recency]]&lt;=100),"Valid","Invalid")</f>
        <v>Valid</v>
      </c>
      <c r="AM1195" t="str">
        <f t="shared" si="240"/>
        <v>Valid</v>
      </c>
      <c r="AN1195" t="str">
        <f t="shared" si="241"/>
        <v>Valid</v>
      </c>
      <c r="AO1195" t="str">
        <f t="shared" si="242"/>
        <v>Valid</v>
      </c>
      <c r="AP1195" t="str">
        <f t="shared" si="243"/>
        <v>Valid</v>
      </c>
      <c r="AQ1195" t="str">
        <f>IF(Audit_Data[[#This Row],[Z_CostContact]]=3,"Valid","Invalid")</f>
        <v>Valid</v>
      </c>
      <c r="AR1195" t="str">
        <f t="shared" si="244"/>
        <v>Valid</v>
      </c>
      <c r="AS1195" t="str">
        <f t="shared" si="245"/>
        <v>Valid</v>
      </c>
    </row>
    <row r="1196" spans="1:45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 t="str">
        <f t="shared" si="234"/>
        <v>Ok</v>
      </c>
      <c r="AE1196" t="str">
        <f>IF(AND(Audit_Data[[#This Row],[Year_Birth]]&gt;=1900,Audit_Data[[#This Row],[Year_Birth]]&lt;=2010),"OK","Invalid")</f>
        <v>OK</v>
      </c>
      <c r="AF1196" t="str">
        <f t="shared" si="235"/>
        <v>Valid</v>
      </c>
      <c r="AG1196" t="str">
        <f t="shared" si="236"/>
        <v>Valid</v>
      </c>
      <c r="AH1196" t="str">
        <f t="shared" si="237"/>
        <v>Valid</v>
      </c>
      <c r="AI1196" t="str">
        <f t="shared" si="238"/>
        <v>Valid</v>
      </c>
      <c r="AJ1196" t="str">
        <f t="shared" si="239"/>
        <v>Valid</v>
      </c>
      <c r="AK1196" t="str">
        <f t="shared" si="246"/>
        <v xml:space="preserve">Valid </v>
      </c>
      <c r="AL1196" t="str">
        <f>IF(AND(Audit_Data[[#This Row],[Recency]]&gt;=0,Audit_Data[[#This Row],[Recency]]&lt;=100),"Valid","Invalid")</f>
        <v>Valid</v>
      </c>
      <c r="AM1196" t="str">
        <f t="shared" si="240"/>
        <v>Valid</v>
      </c>
      <c r="AN1196" t="str">
        <f t="shared" si="241"/>
        <v>Valid</v>
      </c>
      <c r="AO1196" t="str">
        <f t="shared" si="242"/>
        <v>Valid</v>
      </c>
      <c r="AP1196" t="str">
        <f t="shared" si="243"/>
        <v>Valid</v>
      </c>
      <c r="AQ1196" t="str">
        <f>IF(Audit_Data[[#This Row],[Z_CostContact]]=3,"Valid","Invalid")</f>
        <v>Valid</v>
      </c>
      <c r="AR1196" t="str">
        <f t="shared" si="244"/>
        <v>Valid</v>
      </c>
      <c r="AS1196" t="str">
        <f t="shared" si="245"/>
        <v>Valid</v>
      </c>
    </row>
    <row r="1197" spans="1:45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 t="str">
        <f t="shared" si="234"/>
        <v>Ok</v>
      </c>
      <c r="AE1197" t="str">
        <f>IF(AND(Audit_Data[[#This Row],[Year_Birth]]&gt;=1900,Audit_Data[[#This Row],[Year_Birth]]&lt;=2010),"OK","Invalid")</f>
        <v>OK</v>
      </c>
      <c r="AF1197" t="str">
        <f t="shared" si="235"/>
        <v>Valid</v>
      </c>
      <c r="AG1197" t="str">
        <f t="shared" si="236"/>
        <v>Valid</v>
      </c>
      <c r="AH1197" t="str">
        <f t="shared" si="237"/>
        <v>Valid</v>
      </c>
      <c r="AI1197" t="str">
        <f t="shared" si="238"/>
        <v>Valid</v>
      </c>
      <c r="AJ1197" t="str">
        <f t="shared" si="239"/>
        <v>Valid</v>
      </c>
      <c r="AK1197" t="str">
        <f t="shared" si="246"/>
        <v xml:space="preserve">Valid </v>
      </c>
      <c r="AL1197" t="str">
        <f>IF(AND(Audit_Data[[#This Row],[Recency]]&gt;=0,Audit_Data[[#This Row],[Recency]]&lt;=100),"Valid","Invalid")</f>
        <v>Valid</v>
      </c>
      <c r="AM1197" t="str">
        <f t="shared" si="240"/>
        <v>Valid</v>
      </c>
      <c r="AN1197" t="str">
        <f t="shared" si="241"/>
        <v>Valid</v>
      </c>
      <c r="AO1197" t="str">
        <f t="shared" si="242"/>
        <v>Valid</v>
      </c>
      <c r="AP1197" t="str">
        <f t="shared" si="243"/>
        <v>Valid</v>
      </c>
      <c r="AQ1197" t="str">
        <f>IF(Audit_Data[[#This Row],[Z_CostContact]]=3,"Valid","Invalid")</f>
        <v>Valid</v>
      </c>
      <c r="AR1197" t="str">
        <f t="shared" si="244"/>
        <v>Valid</v>
      </c>
      <c r="AS1197" t="str">
        <f t="shared" si="245"/>
        <v>Valid</v>
      </c>
    </row>
    <row r="1198" spans="1:45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 t="str">
        <f t="shared" si="234"/>
        <v>Ok</v>
      </c>
      <c r="AE1198" t="str">
        <f>IF(AND(Audit_Data[[#This Row],[Year_Birth]]&gt;=1900,Audit_Data[[#This Row],[Year_Birth]]&lt;=2010),"OK","Invalid")</f>
        <v>OK</v>
      </c>
      <c r="AF1198" t="str">
        <f t="shared" si="235"/>
        <v>Valid</v>
      </c>
      <c r="AG1198" t="str">
        <f t="shared" si="236"/>
        <v>Valid</v>
      </c>
      <c r="AH1198" t="str">
        <f t="shared" si="237"/>
        <v>Valid</v>
      </c>
      <c r="AI1198" t="str">
        <f t="shared" si="238"/>
        <v>Valid</v>
      </c>
      <c r="AJ1198" t="str">
        <f t="shared" si="239"/>
        <v>Valid</v>
      </c>
      <c r="AK1198" t="str">
        <f t="shared" si="246"/>
        <v xml:space="preserve">Valid </v>
      </c>
      <c r="AL1198" t="str">
        <f>IF(AND(Audit_Data[[#This Row],[Recency]]&gt;=0,Audit_Data[[#This Row],[Recency]]&lt;=100),"Valid","Invalid")</f>
        <v>Valid</v>
      </c>
      <c r="AM1198" t="str">
        <f t="shared" si="240"/>
        <v>Valid</v>
      </c>
      <c r="AN1198" t="str">
        <f t="shared" si="241"/>
        <v>Valid</v>
      </c>
      <c r="AO1198" t="str">
        <f t="shared" si="242"/>
        <v>Valid</v>
      </c>
      <c r="AP1198" t="str">
        <f t="shared" si="243"/>
        <v>Valid</v>
      </c>
      <c r="AQ1198" t="str">
        <f>IF(Audit_Data[[#This Row],[Z_CostContact]]=3,"Valid","Invalid")</f>
        <v>Valid</v>
      </c>
      <c r="AR1198" t="str">
        <f t="shared" si="244"/>
        <v>Valid</v>
      </c>
      <c r="AS1198" t="str">
        <f t="shared" si="245"/>
        <v>Valid</v>
      </c>
    </row>
    <row r="1199" spans="1:45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 t="str">
        <f t="shared" si="234"/>
        <v>Ok</v>
      </c>
      <c r="AE1199" t="str">
        <f>IF(AND(Audit_Data[[#This Row],[Year_Birth]]&gt;=1900,Audit_Data[[#This Row],[Year_Birth]]&lt;=2010),"OK","Invalid")</f>
        <v>OK</v>
      </c>
      <c r="AF1199" t="str">
        <f t="shared" si="235"/>
        <v>Valid</v>
      </c>
      <c r="AG1199" t="str">
        <f t="shared" si="236"/>
        <v>Valid</v>
      </c>
      <c r="AH1199" t="str">
        <f t="shared" si="237"/>
        <v>Valid</v>
      </c>
      <c r="AI1199" t="str">
        <f t="shared" si="238"/>
        <v>Valid</v>
      </c>
      <c r="AJ1199" t="str">
        <f t="shared" si="239"/>
        <v>Valid</v>
      </c>
      <c r="AK1199" t="str">
        <f t="shared" si="246"/>
        <v xml:space="preserve">Valid </v>
      </c>
      <c r="AL1199" t="str">
        <f>IF(AND(Audit_Data[[#This Row],[Recency]]&gt;=0,Audit_Data[[#This Row],[Recency]]&lt;=100),"Valid","Invalid")</f>
        <v>Valid</v>
      </c>
      <c r="AM1199" t="str">
        <f t="shared" si="240"/>
        <v>Valid</v>
      </c>
      <c r="AN1199" t="str">
        <f t="shared" si="241"/>
        <v>Valid</v>
      </c>
      <c r="AO1199" t="str">
        <f t="shared" si="242"/>
        <v>Valid</v>
      </c>
      <c r="AP1199" t="str">
        <f t="shared" si="243"/>
        <v>Valid</v>
      </c>
      <c r="AQ1199" t="str">
        <f>IF(Audit_Data[[#This Row],[Z_CostContact]]=3,"Valid","Invalid")</f>
        <v>Valid</v>
      </c>
      <c r="AR1199" t="str">
        <f t="shared" si="244"/>
        <v>Valid</v>
      </c>
      <c r="AS1199" t="str">
        <f t="shared" si="245"/>
        <v>Valid</v>
      </c>
    </row>
    <row r="1200" spans="1:45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 t="str">
        <f t="shared" si="234"/>
        <v>Ok</v>
      </c>
      <c r="AE1200" t="str">
        <f>IF(AND(Audit_Data[[#This Row],[Year_Birth]]&gt;=1900,Audit_Data[[#This Row],[Year_Birth]]&lt;=2010),"OK","Invalid")</f>
        <v>OK</v>
      </c>
      <c r="AF1200" t="str">
        <f t="shared" si="235"/>
        <v>Valid</v>
      </c>
      <c r="AG1200" t="str">
        <f t="shared" si="236"/>
        <v>Valid</v>
      </c>
      <c r="AH1200" t="str">
        <f t="shared" si="237"/>
        <v>Valid</v>
      </c>
      <c r="AI1200" t="str">
        <f t="shared" si="238"/>
        <v>Valid</v>
      </c>
      <c r="AJ1200" t="str">
        <f t="shared" si="239"/>
        <v>Valid</v>
      </c>
      <c r="AK1200" t="str">
        <f t="shared" si="246"/>
        <v xml:space="preserve">Valid </v>
      </c>
      <c r="AL1200" t="str">
        <f>IF(AND(Audit_Data[[#This Row],[Recency]]&gt;=0,Audit_Data[[#This Row],[Recency]]&lt;=100),"Valid","Invalid")</f>
        <v>Valid</v>
      </c>
      <c r="AM1200" t="str">
        <f t="shared" si="240"/>
        <v>Valid</v>
      </c>
      <c r="AN1200" t="str">
        <f t="shared" si="241"/>
        <v>Valid</v>
      </c>
      <c r="AO1200" t="str">
        <f t="shared" si="242"/>
        <v>Valid</v>
      </c>
      <c r="AP1200" t="str">
        <f t="shared" si="243"/>
        <v>Valid</v>
      </c>
      <c r="AQ1200" t="str">
        <f>IF(Audit_Data[[#This Row],[Z_CostContact]]=3,"Valid","Invalid")</f>
        <v>Valid</v>
      </c>
      <c r="AR1200" t="str">
        <f t="shared" si="244"/>
        <v>Valid</v>
      </c>
      <c r="AS1200" t="str">
        <f t="shared" si="245"/>
        <v>Valid</v>
      </c>
    </row>
    <row r="1201" spans="1:45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 t="str">
        <f t="shared" si="234"/>
        <v>Ok</v>
      </c>
      <c r="AE1201" t="str">
        <f>IF(AND(Audit_Data[[#This Row],[Year_Birth]]&gt;=1900,Audit_Data[[#This Row],[Year_Birth]]&lt;=2010),"OK","Invalid")</f>
        <v>OK</v>
      </c>
      <c r="AF1201" t="str">
        <f t="shared" si="235"/>
        <v>Valid</v>
      </c>
      <c r="AG1201" t="str">
        <f t="shared" si="236"/>
        <v>Valid</v>
      </c>
      <c r="AH1201" t="str">
        <f t="shared" si="237"/>
        <v>Valid</v>
      </c>
      <c r="AI1201" t="str">
        <f t="shared" si="238"/>
        <v>Valid</v>
      </c>
      <c r="AJ1201" t="str">
        <f t="shared" si="239"/>
        <v>Valid</v>
      </c>
      <c r="AK1201" t="str">
        <f t="shared" si="246"/>
        <v xml:space="preserve">Valid </v>
      </c>
      <c r="AL1201" t="str">
        <f>IF(AND(Audit_Data[[#This Row],[Recency]]&gt;=0,Audit_Data[[#This Row],[Recency]]&lt;=100),"Valid","Invalid")</f>
        <v>Valid</v>
      </c>
      <c r="AM1201" t="str">
        <f t="shared" si="240"/>
        <v>Valid</v>
      </c>
      <c r="AN1201" t="str">
        <f t="shared" si="241"/>
        <v>Valid</v>
      </c>
      <c r="AO1201" t="str">
        <f t="shared" si="242"/>
        <v>Valid</v>
      </c>
      <c r="AP1201" t="str">
        <f t="shared" si="243"/>
        <v>Valid</v>
      </c>
      <c r="AQ1201" t="str">
        <f>IF(Audit_Data[[#This Row],[Z_CostContact]]=3,"Valid","Invalid")</f>
        <v>Valid</v>
      </c>
      <c r="AR1201" t="str">
        <f t="shared" si="244"/>
        <v>Valid</v>
      </c>
      <c r="AS1201" t="str">
        <f t="shared" si="245"/>
        <v>Valid</v>
      </c>
    </row>
    <row r="1202" spans="1:45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 t="str">
        <f t="shared" si="234"/>
        <v>Ok</v>
      </c>
      <c r="AE1202" t="str">
        <f>IF(AND(Audit_Data[[#This Row],[Year_Birth]]&gt;=1900,Audit_Data[[#This Row],[Year_Birth]]&lt;=2010),"OK","Invalid")</f>
        <v>OK</v>
      </c>
      <c r="AF1202" t="str">
        <f t="shared" si="235"/>
        <v>Valid</v>
      </c>
      <c r="AG1202" t="str">
        <f t="shared" si="236"/>
        <v>Valid</v>
      </c>
      <c r="AH1202" t="str">
        <f t="shared" si="237"/>
        <v>Valid</v>
      </c>
      <c r="AI1202" t="str">
        <f t="shared" si="238"/>
        <v>Valid</v>
      </c>
      <c r="AJ1202" t="str">
        <f t="shared" si="239"/>
        <v>Valid</v>
      </c>
      <c r="AK1202" t="str">
        <f t="shared" si="246"/>
        <v xml:space="preserve">Valid </v>
      </c>
      <c r="AL1202" t="str">
        <f>IF(AND(Audit_Data[[#This Row],[Recency]]&gt;=0,Audit_Data[[#This Row],[Recency]]&lt;=100),"Valid","Invalid")</f>
        <v>Valid</v>
      </c>
      <c r="AM1202" t="str">
        <f t="shared" si="240"/>
        <v>Valid</v>
      </c>
      <c r="AN1202" t="str">
        <f t="shared" si="241"/>
        <v>Valid</v>
      </c>
      <c r="AO1202" t="str">
        <f t="shared" si="242"/>
        <v>Valid</v>
      </c>
      <c r="AP1202" t="str">
        <f t="shared" si="243"/>
        <v>Valid</v>
      </c>
      <c r="AQ1202" t="str">
        <f>IF(Audit_Data[[#This Row],[Z_CostContact]]=3,"Valid","Invalid")</f>
        <v>Valid</v>
      </c>
      <c r="AR1202" t="str">
        <f t="shared" si="244"/>
        <v>Valid</v>
      </c>
      <c r="AS1202" t="str">
        <f t="shared" si="245"/>
        <v>Valid</v>
      </c>
    </row>
    <row r="1203" spans="1:45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 t="str">
        <f t="shared" si="234"/>
        <v>Ok</v>
      </c>
      <c r="AE1203" t="str">
        <f>IF(AND(Audit_Data[[#This Row],[Year_Birth]]&gt;=1900,Audit_Data[[#This Row],[Year_Birth]]&lt;=2010),"OK","Invalid")</f>
        <v>OK</v>
      </c>
      <c r="AF1203" t="str">
        <f t="shared" si="235"/>
        <v>Valid</v>
      </c>
      <c r="AG1203" t="str">
        <f t="shared" si="236"/>
        <v>Valid</v>
      </c>
      <c r="AH1203" t="str">
        <f t="shared" si="237"/>
        <v>Valid</v>
      </c>
      <c r="AI1203" t="str">
        <f t="shared" si="238"/>
        <v>Valid</v>
      </c>
      <c r="AJ1203" t="str">
        <f t="shared" si="239"/>
        <v>Valid</v>
      </c>
      <c r="AK1203" t="str">
        <f t="shared" si="246"/>
        <v xml:space="preserve">Valid </v>
      </c>
      <c r="AL1203" t="str">
        <f>IF(AND(Audit_Data[[#This Row],[Recency]]&gt;=0,Audit_Data[[#This Row],[Recency]]&lt;=100),"Valid","Invalid")</f>
        <v>Valid</v>
      </c>
      <c r="AM1203" t="str">
        <f t="shared" si="240"/>
        <v>Valid</v>
      </c>
      <c r="AN1203" t="str">
        <f t="shared" si="241"/>
        <v>Valid</v>
      </c>
      <c r="AO1203" t="str">
        <f t="shared" si="242"/>
        <v>Valid</v>
      </c>
      <c r="AP1203" t="str">
        <f t="shared" si="243"/>
        <v>Valid</v>
      </c>
      <c r="AQ1203" t="str">
        <f>IF(Audit_Data[[#This Row],[Z_CostContact]]=3,"Valid","Invalid")</f>
        <v>Valid</v>
      </c>
      <c r="AR1203" t="str">
        <f t="shared" si="244"/>
        <v>Valid</v>
      </c>
      <c r="AS1203" t="str">
        <f t="shared" si="245"/>
        <v>Valid</v>
      </c>
    </row>
    <row r="1204" spans="1:45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 t="str">
        <f t="shared" si="234"/>
        <v>Ok</v>
      </c>
      <c r="AE1204" t="str">
        <f>IF(AND(Audit_Data[[#This Row],[Year_Birth]]&gt;=1900,Audit_Data[[#This Row],[Year_Birth]]&lt;=2010),"OK","Invalid")</f>
        <v>OK</v>
      </c>
      <c r="AF1204" t="str">
        <f t="shared" si="235"/>
        <v>Valid</v>
      </c>
      <c r="AG1204" t="str">
        <f t="shared" si="236"/>
        <v>Valid</v>
      </c>
      <c r="AH1204" t="str">
        <f t="shared" si="237"/>
        <v>Valid</v>
      </c>
      <c r="AI1204" t="str">
        <f t="shared" si="238"/>
        <v>Valid</v>
      </c>
      <c r="AJ1204" t="str">
        <f t="shared" si="239"/>
        <v>Valid</v>
      </c>
      <c r="AK1204" t="str">
        <f t="shared" si="246"/>
        <v xml:space="preserve">Valid </v>
      </c>
      <c r="AL1204" t="str">
        <f>IF(AND(Audit_Data[[#This Row],[Recency]]&gt;=0,Audit_Data[[#This Row],[Recency]]&lt;=100),"Valid","Invalid")</f>
        <v>Valid</v>
      </c>
      <c r="AM1204" t="str">
        <f t="shared" si="240"/>
        <v>Valid</v>
      </c>
      <c r="AN1204" t="str">
        <f t="shared" si="241"/>
        <v>Valid</v>
      </c>
      <c r="AO1204" t="str">
        <f t="shared" si="242"/>
        <v>Valid</v>
      </c>
      <c r="AP1204" t="str">
        <f t="shared" si="243"/>
        <v>Valid</v>
      </c>
      <c r="AQ1204" t="str">
        <f>IF(Audit_Data[[#This Row],[Z_CostContact]]=3,"Valid","Invalid")</f>
        <v>Valid</v>
      </c>
      <c r="AR1204" t="str">
        <f t="shared" si="244"/>
        <v>Valid</v>
      </c>
      <c r="AS1204" t="str">
        <f t="shared" si="245"/>
        <v>Valid</v>
      </c>
    </row>
    <row r="1205" spans="1:45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 t="str">
        <f t="shared" si="234"/>
        <v>Ok</v>
      </c>
      <c r="AE1205" t="str">
        <f>IF(AND(Audit_Data[[#This Row],[Year_Birth]]&gt;=1900,Audit_Data[[#This Row],[Year_Birth]]&lt;=2010),"OK","Invalid")</f>
        <v>OK</v>
      </c>
      <c r="AF1205" t="str">
        <f t="shared" si="235"/>
        <v>Valid</v>
      </c>
      <c r="AG1205" t="str">
        <f t="shared" si="236"/>
        <v>Valid</v>
      </c>
      <c r="AH1205" t="str">
        <f t="shared" si="237"/>
        <v>Valid</v>
      </c>
      <c r="AI1205" t="str">
        <f t="shared" si="238"/>
        <v>Valid</v>
      </c>
      <c r="AJ1205" t="str">
        <f t="shared" si="239"/>
        <v>Valid</v>
      </c>
      <c r="AK1205" t="str">
        <f t="shared" si="246"/>
        <v xml:space="preserve">Valid </v>
      </c>
      <c r="AL1205" t="str">
        <f>IF(AND(Audit_Data[[#This Row],[Recency]]&gt;=0,Audit_Data[[#This Row],[Recency]]&lt;=100),"Valid","Invalid")</f>
        <v>Valid</v>
      </c>
      <c r="AM1205" t="str">
        <f t="shared" si="240"/>
        <v>Valid</v>
      </c>
      <c r="AN1205" t="str">
        <f t="shared" si="241"/>
        <v>Valid</v>
      </c>
      <c r="AO1205" t="str">
        <f t="shared" si="242"/>
        <v>Valid</v>
      </c>
      <c r="AP1205" t="str">
        <f t="shared" si="243"/>
        <v>Valid</v>
      </c>
      <c r="AQ1205" t="str">
        <f>IF(Audit_Data[[#This Row],[Z_CostContact]]=3,"Valid","Invalid")</f>
        <v>Valid</v>
      </c>
      <c r="AR1205" t="str">
        <f t="shared" si="244"/>
        <v>Valid</v>
      </c>
      <c r="AS1205" t="str">
        <f t="shared" si="245"/>
        <v>Valid</v>
      </c>
    </row>
    <row r="1206" spans="1:45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 t="str">
        <f t="shared" si="234"/>
        <v>Ok</v>
      </c>
      <c r="AE1206" t="str">
        <f>IF(AND(Audit_Data[[#This Row],[Year_Birth]]&gt;=1900,Audit_Data[[#This Row],[Year_Birth]]&lt;=2010),"OK","Invalid")</f>
        <v>OK</v>
      </c>
      <c r="AF1206" t="str">
        <f t="shared" si="235"/>
        <v>Valid</v>
      </c>
      <c r="AG1206" t="str">
        <f t="shared" si="236"/>
        <v>Valid</v>
      </c>
      <c r="AH1206" t="str">
        <f t="shared" si="237"/>
        <v>Valid</v>
      </c>
      <c r="AI1206" t="str">
        <f t="shared" si="238"/>
        <v>Valid</v>
      </c>
      <c r="AJ1206" t="str">
        <f t="shared" si="239"/>
        <v>Valid</v>
      </c>
      <c r="AK1206" t="str">
        <f t="shared" si="246"/>
        <v xml:space="preserve">Valid </v>
      </c>
      <c r="AL1206" t="str">
        <f>IF(AND(Audit_Data[[#This Row],[Recency]]&gt;=0,Audit_Data[[#This Row],[Recency]]&lt;=100),"Valid","Invalid")</f>
        <v>Valid</v>
      </c>
      <c r="AM1206" t="str">
        <f t="shared" si="240"/>
        <v>Valid</v>
      </c>
      <c r="AN1206" t="str">
        <f t="shared" si="241"/>
        <v>Valid</v>
      </c>
      <c r="AO1206" t="str">
        <f t="shared" si="242"/>
        <v>Valid</v>
      </c>
      <c r="AP1206" t="str">
        <f t="shared" si="243"/>
        <v>Valid</v>
      </c>
      <c r="AQ1206" t="str">
        <f>IF(Audit_Data[[#This Row],[Z_CostContact]]=3,"Valid","Invalid")</f>
        <v>Valid</v>
      </c>
      <c r="AR1206" t="str">
        <f t="shared" si="244"/>
        <v>Valid</v>
      </c>
      <c r="AS1206" t="str">
        <f t="shared" si="245"/>
        <v>Valid</v>
      </c>
    </row>
    <row r="1207" spans="1:45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 t="str">
        <f t="shared" si="234"/>
        <v>Ok</v>
      </c>
      <c r="AE1207" t="str">
        <f>IF(AND(Audit_Data[[#This Row],[Year_Birth]]&gt;=1900,Audit_Data[[#This Row],[Year_Birth]]&lt;=2010),"OK","Invalid")</f>
        <v>OK</v>
      </c>
      <c r="AF1207" t="str">
        <f t="shared" si="235"/>
        <v>Valid</v>
      </c>
      <c r="AG1207" t="str">
        <f t="shared" si="236"/>
        <v>Valid</v>
      </c>
      <c r="AH1207" t="str">
        <f t="shared" si="237"/>
        <v>Valid</v>
      </c>
      <c r="AI1207" t="str">
        <f t="shared" si="238"/>
        <v>Valid</v>
      </c>
      <c r="AJ1207" t="str">
        <f t="shared" si="239"/>
        <v>Valid</v>
      </c>
      <c r="AK1207" t="str">
        <f t="shared" si="246"/>
        <v xml:space="preserve">Valid </v>
      </c>
      <c r="AL1207" t="str">
        <f>IF(AND(Audit_Data[[#This Row],[Recency]]&gt;=0,Audit_Data[[#This Row],[Recency]]&lt;=100),"Valid","Invalid")</f>
        <v>Valid</v>
      </c>
      <c r="AM1207" t="str">
        <f t="shared" si="240"/>
        <v>Valid</v>
      </c>
      <c r="AN1207" t="str">
        <f t="shared" si="241"/>
        <v>Valid</v>
      </c>
      <c r="AO1207" t="str">
        <f t="shared" si="242"/>
        <v>Valid</v>
      </c>
      <c r="AP1207" t="str">
        <f t="shared" si="243"/>
        <v>Valid</v>
      </c>
      <c r="AQ1207" t="str">
        <f>IF(Audit_Data[[#This Row],[Z_CostContact]]=3,"Valid","Invalid")</f>
        <v>Valid</v>
      </c>
      <c r="AR1207" t="str">
        <f t="shared" si="244"/>
        <v>Valid</v>
      </c>
      <c r="AS1207" t="str">
        <f t="shared" si="245"/>
        <v>Valid</v>
      </c>
    </row>
    <row r="1208" spans="1:45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 t="str">
        <f t="shared" si="234"/>
        <v>Ok</v>
      </c>
      <c r="AE1208" t="str">
        <f>IF(AND(Audit_Data[[#This Row],[Year_Birth]]&gt;=1900,Audit_Data[[#This Row],[Year_Birth]]&lt;=2010),"OK","Invalid")</f>
        <v>OK</v>
      </c>
      <c r="AF1208" t="str">
        <f t="shared" si="235"/>
        <v>Valid</v>
      </c>
      <c r="AG1208" t="str">
        <f t="shared" si="236"/>
        <v>Valid</v>
      </c>
      <c r="AH1208" t="str">
        <f t="shared" si="237"/>
        <v>Valid</v>
      </c>
      <c r="AI1208" t="str">
        <f t="shared" si="238"/>
        <v>Valid</v>
      </c>
      <c r="AJ1208" t="str">
        <f t="shared" si="239"/>
        <v>Valid</v>
      </c>
      <c r="AK1208" t="str">
        <f t="shared" si="246"/>
        <v xml:space="preserve">Valid </v>
      </c>
      <c r="AL1208" t="str">
        <f>IF(AND(Audit_Data[[#This Row],[Recency]]&gt;=0,Audit_Data[[#This Row],[Recency]]&lt;=100),"Valid","Invalid")</f>
        <v>Valid</v>
      </c>
      <c r="AM1208" t="str">
        <f t="shared" si="240"/>
        <v>Valid</v>
      </c>
      <c r="AN1208" t="str">
        <f t="shared" si="241"/>
        <v>Valid</v>
      </c>
      <c r="AO1208" t="str">
        <f t="shared" si="242"/>
        <v>Valid</v>
      </c>
      <c r="AP1208" t="str">
        <f t="shared" si="243"/>
        <v>Valid</v>
      </c>
      <c r="AQ1208" t="str">
        <f>IF(Audit_Data[[#This Row],[Z_CostContact]]=3,"Valid","Invalid")</f>
        <v>Valid</v>
      </c>
      <c r="AR1208" t="str">
        <f t="shared" si="244"/>
        <v>Valid</v>
      </c>
      <c r="AS1208" t="str">
        <f t="shared" si="245"/>
        <v>Valid</v>
      </c>
    </row>
    <row r="1209" spans="1:45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 t="str">
        <f t="shared" si="234"/>
        <v>Ok</v>
      </c>
      <c r="AE1209" t="str">
        <f>IF(AND(Audit_Data[[#This Row],[Year_Birth]]&gt;=1900,Audit_Data[[#This Row],[Year_Birth]]&lt;=2010),"OK","Invalid")</f>
        <v>OK</v>
      </c>
      <c r="AF1209" t="str">
        <f t="shared" si="235"/>
        <v>Valid</v>
      </c>
      <c r="AG1209" t="str">
        <f t="shared" si="236"/>
        <v>Valid</v>
      </c>
      <c r="AH1209" t="str">
        <f t="shared" si="237"/>
        <v>Valid</v>
      </c>
      <c r="AI1209" t="str">
        <f t="shared" si="238"/>
        <v>Valid</v>
      </c>
      <c r="AJ1209" t="str">
        <f t="shared" si="239"/>
        <v>Valid</v>
      </c>
      <c r="AK1209" t="str">
        <f t="shared" si="246"/>
        <v xml:space="preserve">Valid </v>
      </c>
      <c r="AL1209" t="str">
        <f>IF(AND(Audit_Data[[#This Row],[Recency]]&gt;=0,Audit_Data[[#This Row],[Recency]]&lt;=100),"Valid","Invalid")</f>
        <v>Valid</v>
      </c>
      <c r="AM1209" t="str">
        <f t="shared" si="240"/>
        <v>Valid</v>
      </c>
      <c r="AN1209" t="str">
        <f t="shared" si="241"/>
        <v>Valid</v>
      </c>
      <c r="AO1209" t="str">
        <f t="shared" si="242"/>
        <v>Valid</v>
      </c>
      <c r="AP1209" t="str">
        <f t="shared" si="243"/>
        <v>Valid</v>
      </c>
      <c r="AQ1209" t="str">
        <f>IF(Audit_Data[[#This Row],[Z_CostContact]]=3,"Valid","Invalid")</f>
        <v>Valid</v>
      </c>
      <c r="AR1209" t="str">
        <f t="shared" si="244"/>
        <v>Valid</v>
      </c>
      <c r="AS1209" t="str">
        <f t="shared" si="245"/>
        <v>Valid</v>
      </c>
    </row>
    <row r="1210" spans="1:45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 t="str">
        <f t="shared" si="234"/>
        <v>Ok</v>
      </c>
      <c r="AE1210" t="str">
        <f>IF(AND(Audit_Data[[#This Row],[Year_Birth]]&gt;=1900,Audit_Data[[#This Row],[Year_Birth]]&lt;=2010),"OK","Invalid")</f>
        <v>OK</v>
      </c>
      <c r="AF1210" t="str">
        <f t="shared" si="235"/>
        <v>Valid</v>
      </c>
      <c r="AG1210" t="str">
        <f t="shared" si="236"/>
        <v>Valid</v>
      </c>
      <c r="AH1210" t="str">
        <f t="shared" si="237"/>
        <v>Valid</v>
      </c>
      <c r="AI1210" t="str">
        <f t="shared" si="238"/>
        <v>Valid</v>
      </c>
      <c r="AJ1210" t="str">
        <f t="shared" si="239"/>
        <v>Valid</v>
      </c>
      <c r="AK1210" t="str">
        <f t="shared" si="246"/>
        <v xml:space="preserve">Valid </v>
      </c>
      <c r="AL1210" t="str">
        <f>IF(AND(Audit_Data[[#This Row],[Recency]]&gt;=0,Audit_Data[[#This Row],[Recency]]&lt;=100),"Valid","Invalid")</f>
        <v>Valid</v>
      </c>
      <c r="AM1210" t="str">
        <f t="shared" si="240"/>
        <v>Valid</v>
      </c>
      <c r="AN1210" t="str">
        <f t="shared" si="241"/>
        <v>Valid</v>
      </c>
      <c r="AO1210" t="str">
        <f t="shared" si="242"/>
        <v>Valid</v>
      </c>
      <c r="AP1210" t="str">
        <f t="shared" si="243"/>
        <v>Valid</v>
      </c>
      <c r="AQ1210" t="str">
        <f>IF(Audit_Data[[#This Row],[Z_CostContact]]=3,"Valid","Invalid")</f>
        <v>Valid</v>
      </c>
      <c r="AR1210" t="str">
        <f t="shared" si="244"/>
        <v>Valid</v>
      </c>
      <c r="AS1210" t="str">
        <f t="shared" si="245"/>
        <v>Valid</v>
      </c>
    </row>
    <row r="1211" spans="1:45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 t="str">
        <f t="shared" si="234"/>
        <v>Ok</v>
      </c>
      <c r="AE1211" t="str">
        <f>IF(AND(Audit_Data[[#This Row],[Year_Birth]]&gt;=1900,Audit_Data[[#This Row],[Year_Birth]]&lt;=2010),"OK","Invalid")</f>
        <v>OK</v>
      </c>
      <c r="AF1211" t="str">
        <f t="shared" si="235"/>
        <v>Valid</v>
      </c>
      <c r="AG1211" t="str">
        <f t="shared" si="236"/>
        <v>Valid</v>
      </c>
      <c r="AH1211" t="str">
        <f t="shared" si="237"/>
        <v>Valid</v>
      </c>
      <c r="AI1211" t="str">
        <f t="shared" si="238"/>
        <v>Valid</v>
      </c>
      <c r="AJ1211" t="str">
        <f t="shared" si="239"/>
        <v>Valid</v>
      </c>
      <c r="AK1211" t="str">
        <f t="shared" si="246"/>
        <v xml:space="preserve">Valid </v>
      </c>
      <c r="AL1211" t="str">
        <f>IF(AND(Audit_Data[[#This Row],[Recency]]&gt;=0,Audit_Data[[#This Row],[Recency]]&lt;=100),"Valid","Invalid")</f>
        <v>Valid</v>
      </c>
      <c r="AM1211" t="str">
        <f t="shared" si="240"/>
        <v>Valid</v>
      </c>
      <c r="AN1211" t="str">
        <f t="shared" si="241"/>
        <v>Valid</v>
      </c>
      <c r="AO1211" t="str">
        <f t="shared" si="242"/>
        <v>Valid</v>
      </c>
      <c r="AP1211" t="str">
        <f t="shared" si="243"/>
        <v>Valid</v>
      </c>
      <c r="AQ1211" t="str">
        <f>IF(Audit_Data[[#This Row],[Z_CostContact]]=3,"Valid","Invalid")</f>
        <v>Valid</v>
      </c>
      <c r="AR1211" t="str">
        <f t="shared" si="244"/>
        <v>Valid</v>
      </c>
      <c r="AS1211" t="str">
        <f t="shared" si="245"/>
        <v>Valid</v>
      </c>
    </row>
    <row r="1212" spans="1:45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 t="str">
        <f t="shared" si="234"/>
        <v>Ok</v>
      </c>
      <c r="AE1212" t="str">
        <f>IF(AND(Audit_Data[[#This Row],[Year_Birth]]&gt;=1900,Audit_Data[[#This Row],[Year_Birth]]&lt;=2010),"OK","Invalid")</f>
        <v>OK</v>
      </c>
      <c r="AF1212" t="str">
        <f t="shared" si="235"/>
        <v>Valid</v>
      </c>
      <c r="AG1212" t="str">
        <f t="shared" si="236"/>
        <v>Valid</v>
      </c>
      <c r="AH1212" t="str">
        <f t="shared" si="237"/>
        <v>Valid</v>
      </c>
      <c r="AI1212" t="str">
        <f t="shared" si="238"/>
        <v>Valid</v>
      </c>
      <c r="AJ1212" t="str">
        <f t="shared" si="239"/>
        <v>Valid</v>
      </c>
      <c r="AK1212" t="str">
        <f t="shared" si="246"/>
        <v xml:space="preserve">Valid </v>
      </c>
      <c r="AL1212" t="str">
        <f>IF(AND(Audit_Data[[#This Row],[Recency]]&gt;=0,Audit_Data[[#This Row],[Recency]]&lt;=100),"Valid","Invalid")</f>
        <v>Valid</v>
      </c>
      <c r="AM1212" t="str">
        <f t="shared" si="240"/>
        <v>Valid</v>
      </c>
      <c r="AN1212" t="str">
        <f t="shared" si="241"/>
        <v>Valid</v>
      </c>
      <c r="AO1212" t="str">
        <f t="shared" si="242"/>
        <v>Valid</v>
      </c>
      <c r="AP1212" t="str">
        <f t="shared" si="243"/>
        <v>Valid</v>
      </c>
      <c r="AQ1212" t="str">
        <f>IF(Audit_Data[[#This Row],[Z_CostContact]]=3,"Valid","Invalid")</f>
        <v>Valid</v>
      </c>
      <c r="AR1212" t="str">
        <f t="shared" si="244"/>
        <v>Valid</v>
      </c>
      <c r="AS1212" t="str">
        <f t="shared" si="245"/>
        <v>Valid</v>
      </c>
    </row>
    <row r="1213" spans="1:45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 t="str">
        <f t="shared" si="234"/>
        <v>Ok</v>
      </c>
      <c r="AE1213" t="str">
        <f>IF(AND(Audit_Data[[#This Row],[Year_Birth]]&gt;=1900,Audit_Data[[#This Row],[Year_Birth]]&lt;=2010),"OK","Invalid")</f>
        <v>OK</v>
      </c>
      <c r="AF1213" t="str">
        <f t="shared" si="235"/>
        <v>Valid</v>
      </c>
      <c r="AG1213" t="str">
        <f t="shared" si="236"/>
        <v>Valid</v>
      </c>
      <c r="AH1213" t="str">
        <f t="shared" si="237"/>
        <v>Valid</v>
      </c>
      <c r="AI1213" t="str">
        <f t="shared" si="238"/>
        <v>Valid</v>
      </c>
      <c r="AJ1213" t="str">
        <f t="shared" si="239"/>
        <v>Valid</v>
      </c>
      <c r="AK1213" t="str">
        <f t="shared" si="246"/>
        <v xml:space="preserve">Valid </v>
      </c>
      <c r="AL1213" t="str">
        <f>IF(AND(Audit_Data[[#This Row],[Recency]]&gt;=0,Audit_Data[[#This Row],[Recency]]&lt;=100),"Valid","Invalid")</f>
        <v>Valid</v>
      </c>
      <c r="AM1213" t="str">
        <f t="shared" si="240"/>
        <v>Valid</v>
      </c>
      <c r="AN1213" t="str">
        <f t="shared" si="241"/>
        <v>Valid</v>
      </c>
      <c r="AO1213" t="str">
        <f t="shared" si="242"/>
        <v>Valid</v>
      </c>
      <c r="AP1213" t="str">
        <f t="shared" si="243"/>
        <v>Valid</v>
      </c>
      <c r="AQ1213" t="str">
        <f>IF(Audit_Data[[#This Row],[Z_CostContact]]=3,"Valid","Invalid")</f>
        <v>Valid</v>
      </c>
      <c r="AR1213" t="str">
        <f t="shared" si="244"/>
        <v>Valid</v>
      </c>
      <c r="AS1213" t="str">
        <f t="shared" si="245"/>
        <v>Valid</v>
      </c>
    </row>
    <row r="1214" spans="1:45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 t="str">
        <f t="shared" si="234"/>
        <v>Ok</v>
      </c>
      <c r="AE1214" t="str">
        <f>IF(AND(Audit_Data[[#This Row],[Year_Birth]]&gt;=1900,Audit_Data[[#This Row],[Year_Birth]]&lt;=2010),"OK","Invalid")</f>
        <v>OK</v>
      </c>
      <c r="AF1214" t="str">
        <f t="shared" si="235"/>
        <v>Valid</v>
      </c>
      <c r="AG1214" t="str">
        <f t="shared" si="236"/>
        <v>Valid</v>
      </c>
      <c r="AH1214" t="str">
        <f t="shared" si="237"/>
        <v>Valid</v>
      </c>
      <c r="AI1214" t="str">
        <f t="shared" si="238"/>
        <v>Valid</v>
      </c>
      <c r="AJ1214" t="str">
        <f t="shared" si="239"/>
        <v>Valid</v>
      </c>
      <c r="AK1214" t="str">
        <f t="shared" si="246"/>
        <v xml:space="preserve">Valid </v>
      </c>
      <c r="AL1214" t="str">
        <f>IF(AND(Audit_Data[[#This Row],[Recency]]&gt;=0,Audit_Data[[#This Row],[Recency]]&lt;=100),"Valid","Invalid")</f>
        <v>Valid</v>
      </c>
      <c r="AM1214" t="str">
        <f t="shared" si="240"/>
        <v>Valid</v>
      </c>
      <c r="AN1214" t="str">
        <f t="shared" si="241"/>
        <v>Valid</v>
      </c>
      <c r="AO1214" t="str">
        <f t="shared" si="242"/>
        <v>Valid</v>
      </c>
      <c r="AP1214" t="str">
        <f t="shared" si="243"/>
        <v>Valid</v>
      </c>
      <c r="AQ1214" t="str">
        <f>IF(Audit_Data[[#This Row],[Z_CostContact]]=3,"Valid","Invalid")</f>
        <v>Valid</v>
      </c>
      <c r="AR1214" t="str">
        <f t="shared" si="244"/>
        <v>Valid</v>
      </c>
      <c r="AS1214" t="str">
        <f t="shared" si="245"/>
        <v>Valid</v>
      </c>
    </row>
    <row r="1215" spans="1:45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 t="str">
        <f t="shared" si="234"/>
        <v>Ok</v>
      </c>
      <c r="AE1215" t="str">
        <f>IF(AND(Audit_Data[[#This Row],[Year_Birth]]&gt;=1900,Audit_Data[[#This Row],[Year_Birth]]&lt;=2010),"OK","Invalid")</f>
        <v>OK</v>
      </c>
      <c r="AF1215" t="str">
        <f t="shared" si="235"/>
        <v>Valid</v>
      </c>
      <c r="AG1215" t="str">
        <f t="shared" si="236"/>
        <v>Valid</v>
      </c>
      <c r="AH1215" t="str">
        <f t="shared" si="237"/>
        <v>Valid</v>
      </c>
      <c r="AI1215" t="str">
        <f t="shared" si="238"/>
        <v>Valid</v>
      </c>
      <c r="AJ1215" t="str">
        <f t="shared" si="239"/>
        <v>Valid</v>
      </c>
      <c r="AK1215" t="str">
        <f t="shared" si="246"/>
        <v xml:space="preserve">Valid </v>
      </c>
      <c r="AL1215" t="str">
        <f>IF(AND(Audit_Data[[#This Row],[Recency]]&gt;=0,Audit_Data[[#This Row],[Recency]]&lt;=100),"Valid","Invalid")</f>
        <v>Valid</v>
      </c>
      <c r="AM1215" t="str">
        <f t="shared" si="240"/>
        <v>Valid</v>
      </c>
      <c r="AN1215" t="str">
        <f t="shared" si="241"/>
        <v>Valid</v>
      </c>
      <c r="AO1215" t="str">
        <f t="shared" si="242"/>
        <v>Valid</v>
      </c>
      <c r="AP1215" t="str">
        <f t="shared" si="243"/>
        <v>Valid</v>
      </c>
      <c r="AQ1215" t="str">
        <f>IF(Audit_Data[[#This Row],[Z_CostContact]]=3,"Valid","Invalid")</f>
        <v>Valid</v>
      </c>
      <c r="AR1215" t="str">
        <f t="shared" si="244"/>
        <v>Valid</v>
      </c>
      <c r="AS1215" t="str">
        <f t="shared" si="245"/>
        <v>Valid</v>
      </c>
    </row>
    <row r="1216" spans="1:45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 t="str">
        <f t="shared" si="234"/>
        <v>Ok</v>
      </c>
      <c r="AE1216" t="str">
        <f>IF(AND(Audit_Data[[#This Row],[Year_Birth]]&gt;=1900,Audit_Data[[#This Row],[Year_Birth]]&lt;=2010),"OK","Invalid")</f>
        <v>OK</v>
      </c>
      <c r="AF1216" t="str">
        <f t="shared" si="235"/>
        <v>Valid</v>
      </c>
      <c r="AG1216" t="str">
        <f t="shared" si="236"/>
        <v>Valid</v>
      </c>
      <c r="AH1216" t="str">
        <f t="shared" si="237"/>
        <v>Valid</v>
      </c>
      <c r="AI1216" t="str">
        <f t="shared" si="238"/>
        <v>Valid</v>
      </c>
      <c r="AJ1216" t="str">
        <f t="shared" si="239"/>
        <v>Valid</v>
      </c>
      <c r="AK1216" t="str">
        <f t="shared" si="246"/>
        <v xml:space="preserve">Valid </v>
      </c>
      <c r="AL1216" t="str">
        <f>IF(AND(Audit_Data[[#This Row],[Recency]]&gt;=0,Audit_Data[[#This Row],[Recency]]&lt;=100),"Valid","Invalid")</f>
        <v>Valid</v>
      </c>
      <c r="AM1216" t="str">
        <f t="shared" si="240"/>
        <v>Valid</v>
      </c>
      <c r="AN1216" t="str">
        <f t="shared" si="241"/>
        <v>Valid</v>
      </c>
      <c r="AO1216" t="str">
        <f t="shared" si="242"/>
        <v>Valid</v>
      </c>
      <c r="AP1216" t="str">
        <f t="shared" si="243"/>
        <v>Valid</v>
      </c>
      <c r="AQ1216" t="str">
        <f>IF(Audit_Data[[#This Row],[Z_CostContact]]=3,"Valid","Invalid")</f>
        <v>Valid</v>
      </c>
      <c r="AR1216" t="str">
        <f t="shared" si="244"/>
        <v>Valid</v>
      </c>
      <c r="AS1216" t="str">
        <f t="shared" si="245"/>
        <v>Valid</v>
      </c>
    </row>
    <row r="1217" spans="1:45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 t="str">
        <f t="shared" si="234"/>
        <v>Ok</v>
      </c>
      <c r="AE1217" t="str">
        <f>IF(AND(Audit_Data[[#This Row],[Year_Birth]]&gt;=1900,Audit_Data[[#This Row],[Year_Birth]]&lt;=2010),"OK","Invalid")</f>
        <v>OK</v>
      </c>
      <c r="AF1217" t="str">
        <f t="shared" si="235"/>
        <v>Valid</v>
      </c>
      <c r="AG1217" t="str">
        <f t="shared" si="236"/>
        <v>Valid</v>
      </c>
      <c r="AH1217" t="str">
        <f t="shared" si="237"/>
        <v>Valid</v>
      </c>
      <c r="AI1217" t="str">
        <f t="shared" si="238"/>
        <v>Valid</v>
      </c>
      <c r="AJ1217" t="str">
        <f t="shared" si="239"/>
        <v>Valid</v>
      </c>
      <c r="AK1217" t="str">
        <f t="shared" si="246"/>
        <v xml:space="preserve">Valid </v>
      </c>
      <c r="AL1217" t="str">
        <f>IF(AND(Audit_Data[[#This Row],[Recency]]&gt;=0,Audit_Data[[#This Row],[Recency]]&lt;=100),"Valid","Invalid")</f>
        <v>Valid</v>
      </c>
      <c r="AM1217" t="str">
        <f t="shared" si="240"/>
        <v>Valid</v>
      </c>
      <c r="AN1217" t="str">
        <f t="shared" si="241"/>
        <v>Valid</v>
      </c>
      <c r="AO1217" t="str">
        <f t="shared" si="242"/>
        <v>Valid</v>
      </c>
      <c r="AP1217" t="str">
        <f t="shared" si="243"/>
        <v>Valid</v>
      </c>
      <c r="AQ1217" t="str">
        <f>IF(Audit_Data[[#This Row],[Z_CostContact]]=3,"Valid","Invalid")</f>
        <v>Valid</v>
      </c>
      <c r="AR1217" t="str">
        <f t="shared" si="244"/>
        <v>Valid</v>
      </c>
      <c r="AS1217" t="str">
        <f t="shared" si="245"/>
        <v>Valid</v>
      </c>
    </row>
    <row r="1218" spans="1:45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 t="str">
        <f t="shared" ref="AD1218:AD1281" si="247">IF(COUNTIF(A:A,A1218)&gt;1,"Duplicate","Ok")</f>
        <v>Ok</v>
      </c>
      <c r="AE1218" t="str">
        <f>IF(AND(Audit_Data[[#This Row],[Year_Birth]]&gt;=1900,Audit_Data[[#This Row],[Year_Birth]]&lt;=2010),"OK","Invalid")</f>
        <v>OK</v>
      </c>
      <c r="AF1218" t="str">
        <f t="shared" ref="AF1218:AF1281" si="248">IF(OR(C1218="Graduation",C1218="phD",C1218="Master",C1218="Basic",C1218="2n Cycle"),"Valid","Invalid")</f>
        <v>Valid</v>
      </c>
      <c r="AG1218" t="str">
        <f t="shared" ref="AG1218:AG1281" si="249">IF(OR(D1218="Single",D1218="Married",D1218="Divorced",D1218="Together",D1218="Widow",D1218="Alone"),"Valid","Invalid")</f>
        <v>Valid</v>
      </c>
      <c r="AH1218" t="str">
        <f t="shared" ref="AH1218:AH1281" si="250">IF(AND(ISNUMBER(E1218),E1218&lt;&gt;""),"Valid","Invalid")</f>
        <v>Valid</v>
      </c>
      <c r="AI1218" t="str">
        <f t="shared" ref="AI1218:AI1281" si="251">IF(AND(F1218&gt;=0,F1218&lt;=2),"Valid","Invalid")</f>
        <v>Valid</v>
      </c>
      <c r="AJ1218" t="str">
        <f t="shared" ref="AJ1218:AJ1281" si="252">IF(AND(G1218&gt;=0,G1218&lt;=2),"Valid","Invalid")</f>
        <v>Valid</v>
      </c>
      <c r="AK1218" t="str">
        <f t="shared" si="246"/>
        <v xml:space="preserve">Valid </v>
      </c>
      <c r="AL1218" t="str">
        <f>IF(AND(Audit_Data[[#This Row],[Recency]]&gt;=0,Audit_Data[[#This Row],[Recency]]&lt;=100),"Valid","Invalid")</f>
        <v>Valid</v>
      </c>
      <c r="AM1218" t="str">
        <f t="shared" ref="AM1218:AM1281" si="253">IF(AND(ISNUMBER(J1218),J1218&gt;=0,ISNUMBER(K1218),K1218&gt;=0,ISNUMBER(L1218),L1218&gt;=0,ISNUMBER(M1218),M1218&gt;=0,ISNUMBER(N1218),N1218&gt;=0,ISNUMBER(O1218),O1218&gt;=0),"Valid","Invalid")</f>
        <v>Valid</v>
      </c>
      <c r="AN1218" t="str">
        <f t="shared" ref="AN1218:AN1281" si="254">IF(AND(ISNUMBER(P1218),P1218&gt;=0,ISNUMBER(Q1218),Q1218&gt;=0,ISNUMBER(R1218),R1218&gt;=0,ISNUMBER(S1218),S1218&gt;=0,ISNUMBER(T1218),T1218&gt;=0),"Valid","Invalid")</f>
        <v>Valid</v>
      </c>
      <c r="AO1218" t="str">
        <f t="shared" ref="AO1218:AO1281" si="255">IF(AND(U1218&lt;=1,V1218&lt;=1,W1218&lt;=1,X1218&lt;=1,Y1218&lt;=1),"Valid","Invalid")</f>
        <v>Valid</v>
      </c>
      <c r="AP1218" t="str">
        <f t="shared" ref="AP1218:AP1281" si="256">IF(OR(Z1218=0,Z1218=1),"Valid","Invalid")</f>
        <v>Valid</v>
      </c>
      <c r="AQ1218" t="str">
        <f>IF(Audit_Data[[#This Row],[Z_CostContact]]=3,"Valid","Invalid")</f>
        <v>Valid</v>
      </c>
      <c r="AR1218" t="str">
        <f t="shared" ref="AR1218:AR1281" si="257">IF(AB1218=11,"Valid","Invalid")</f>
        <v>Valid</v>
      </c>
      <c r="AS1218" t="str">
        <f t="shared" ref="AS1218:AS1281" si="258">IF(OR(AC1218=0,AC1218=1),"Valid","Invalid")</f>
        <v>Valid</v>
      </c>
    </row>
    <row r="1219" spans="1:45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 t="str">
        <f t="shared" si="247"/>
        <v>Ok</v>
      </c>
      <c r="AE1219" t="str">
        <f>IF(AND(Audit_Data[[#This Row],[Year_Birth]]&gt;=1900,Audit_Data[[#This Row],[Year_Birth]]&lt;=2010),"OK","Invalid")</f>
        <v>OK</v>
      </c>
      <c r="AF1219" t="str">
        <f t="shared" si="248"/>
        <v>Valid</v>
      </c>
      <c r="AG1219" t="str">
        <f t="shared" si="249"/>
        <v>Valid</v>
      </c>
      <c r="AH1219" t="str">
        <f t="shared" si="250"/>
        <v>Valid</v>
      </c>
      <c r="AI1219" t="str">
        <f t="shared" si="251"/>
        <v>Valid</v>
      </c>
      <c r="AJ1219" t="str">
        <f t="shared" si="252"/>
        <v>Valid</v>
      </c>
      <c r="AK1219" t="str">
        <f t="shared" ref="AK1219:AK1282" si="259">IF(AND(ISNUMBER(H1219),H1219&gt;=DATE(2012,1,1),H1219&lt;=DATE(2014,12,31)),"Valid ","Invalid")</f>
        <v xml:space="preserve">Valid </v>
      </c>
      <c r="AL1219" t="str">
        <f>IF(AND(Audit_Data[[#This Row],[Recency]]&gt;=0,Audit_Data[[#This Row],[Recency]]&lt;=100),"Valid","Invalid")</f>
        <v>Valid</v>
      </c>
      <c r="AM1219" t="str">
        <f t="shared" si="253"/>
        <v>Valid</v>
      </c>
      <c r="AN1219" t="str">
        <f t="shared" si="254"/>
        <v>Valid</v>
      </c>
      <c r="AO1219" t="str">
        <f t="shared" si="255"/>
        <v>Valid</v>
      </c>
      <c r="AP1219" t="str">
        <f t="shared" si="256"/>
        <v>Valid</v>
      </c>
      <c r="AQ1219" t="str">
        <f>IF(Audit_Data[[#This Row],[Z_CostContact]]=3,"Valid","Invalid")</f>
        <v>Valid</v>
      </c>
      <c r="AR1219" t="str">
        <f t="shared" si="257"/>
        <v>Valid</v>
      </c>
      <c r="AS1219" t="str">
        <f t="shared" si="258"/>
        <v>Valid</v>
      </c>
    </row>
    <row r="1220" spans="1:45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 t="str">
        <f t="shared" si="247"/>
        <v>Ok</v>
      </c>
      <c r="AE1220" t="str">
        <f>IF(AND(Audit_Data[[#This Row],[Year_Birth]]&gt;=1900,Audit_Data[[#This Row],[Year_Birth]]&lt;=2010),"OK","Invalid")</f>
        <v>OK</v>
      </c>
      <c r="AF1220" t="str">
        <f t="shared" si="248"/>
        <v>Valid</v>
      </c>
      <c r="AG1220" t="str">
        <f t="shared" si="249"/>
        <v>Valid</v>
      </c>
      <c r="AH1220" t="str">
        <f t="shared" si="250"/>
        <v>Valid</v>
      </c>
      <c r="AI1220" t="str">
        <f t="shared" si="251"/>
        <v>Valid</v>
      </c>
      <c r="AJ1220" t="str">
        <f t="shared" si="252"/>
        <v>Valid</v>
      </c>
      <c r="AK1220" t="str">
        <f t="shared" si="259"/>
        <v xml:space="preserve">Valid </v>
      </c>
      <c r="AL1220" t="str">
        <f>IF(AND(Audit_Data[[#This Row],[Recency]]&gt;=0,Audit_Data[[#This Row],[Recency]]&lt;=100),"Valid","Invalid")</f>
        <v>Valid</v>
      </c>
      <c r="AM1220" t="str">
        <f t="shared" si="253"/>
        <v>Valid</v>
      </c>
      <c r="AN1220" t="str">
        <f t="shared" si="254"/>
        <v>Valid</v>
      </c>
      <c r="AO1220" t="str">
        <f t="shared" si="255"/>
        <v>Valid</v>
      </c>
      <c r="AP1220" t="str">
        <f t="shared" si="256"/>
        <v>Valid</v>
      </c>
      <c r="AQ1220" t="str">
        <f>IF(Audit_Data[[#This Row],[Z_CostContact]]=3,"Valid","Invalid")</f>
        <v>Valid</v>
      </c>
      <c r="AR1220" t="str">
        <f t="shared" si="257"/>
        <v>Valid</v>
      </c>
      <c r="AS1220" t="str">
        <f t="shared" si="258"/>
        <v>Valid</v>
      </c>
    </row>
    <row r="1221" spans="1:45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 t="str">
        <f t="shared" si="247"/>
        <v>Ok</v>
      </c>
      <c r="AE1221" t="str">
        <f>IF(AND(Audit_Data[[#This Row],[Year_Birth]]&gt;=1900,Audit_Data[[#This Row],[Year_Birth]]&lt;=2010),"OK","Invalid")</f>
        <v>OK</v>
      </c>
      <c r="AF1221" t="str">
        <f t="shared" si="248"/>
        <v>Valid</v>
      </c>
      <c r="AG1221" t="str">
        <f t="shared" si="249"/>
        <v>Valid</v>
      </c>
      <c r="AH1221" t="str">
        <f t="shared" si="250"/>
        <v>Valid</v>
      </c>
      <c r="AI1221" t="str">
        <f t="shared" si="251"/>
        <v>Valid</v>
      </c>
      <c r="AJ1221" t="str">
        <f t="shared" si="252"/>
        <v>Valid</v>
      </c>
      <c r="AK1221" t="str">
        <f t="shared" si="259"/>
        <v xml:space="preserve">Valid </v>
      </c>
      <c r="AL1221" t="str">
        <f>IF(AND(Audit_Data[[#This Row],[Recency]]&gt;=0,Audit_Data[[#This Row],[Recency]]&lt;=100),"Valid","Invalid")</f>
        <v>Valid</v>
      </c>
      <c r="AM1221" t="str">
        <f t="shared" si="253"/>
        <v>Valid</v>
      </c>
      <c r="AN1221" t="str">
        <f t="shared" si="254"/>
        <v>Valid</v>
      </c>
      <c r="AO1221" t="str">
        <f t="shared" si="255"/>
        <v>Valid</v>
      </c>
      <c r="AP1221" t="str">
        <f t="shared" si="256"/>
        <v>Valid</v>
      </c>
      <c r="AQ1221" t="str">
        <f>IF(Audit_Data[[#This Row],[Z_CostContact]]=3,"Valid","Invalid")</f>
        <v>Valid</v>
      </c>
      <c r="AR1221" t="str">
        <f t="shared" si="257"/>
        <v>Valid</v>
      </c>
      <c r="AS1221" t="str">
        <f t="shared" si="258"/>
        <v>Valid</v>
      </c>
    </row>
    <row r="1222" spans="1:45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 t="str">
        <f t="shared" si="247"/>
        <v>Ok</v>
      </c>
      <c r="AE1222" t="str">
        <f>IF(AND(Audit_Data[[#This Row],[Year_Birth]]&gt;=1900,Audit_Data[[#This Row],[Year_Birth]]&lt;=2010),"OK","Invalid")</f>
        <v>OK</v>
      </c>
      <c r="AF1222" t="str">
        <f t="shared" si="248"/>
        <v>Valid</v>
      </c>
      <c r="AG1222" t="str">
        <f t="shared" si="249"/>
        <v>Valid</v>
      </c>
      <c r="AH1222" t="str">
        <f t="shared" si="250"/>
        <v>Valid</v>
      </c>
      <c r="AI1222" t="str">
        <f t="shared" si="251"/>
        <v>Valid</v>
      </c>
      <c r="AJ1222" t="str">
        <f t="shared" si="252"/>
        <v>Valid</v>
      </c>
      <c r="AK1222" t="str">
        <f t="shared" si="259"/>
        <v xml:space="preserve">Valid </v>
      </c>
      <c r="AL1222" t="str">
        <f>IF(AND(Audit_Data[[#This Row],[Recency]]&gt;=0,Audit_Data[[#This Row],[Recency]]&lt;=100),"Valid","Invalid")</f>
        <v>Valid</v>
      </c>
      <c r="AM1222" t="str">
        <f t="shared" si="253"/>
        <v>Valid</v>
      </c>
      <c r="AN1222" t="str">
        <f t="shared" si="254"/>
        <v>Valid</v>
      </c>
      <c r="AO1222" t="str">
        <f t="shared" si="255"/>
        <v>Valid</v>
      </c>
      <c r="AP1222" t="str">
        <f t="shared" si="256"/>
        <v>Valid</v>
      </c>
      <c r="AQ1222" t="str">
        <f>IF(Audit_Data[[#This Row],[Z_CostContact]]=3,"Valid","Invalid")</f>
        <v>Valid</v>
      </c>
      <c r="AR1222" t="str">
        <f t="shared" si="257"/>
        <v>Valid</v>
      </c>
      <c r="AS1222" t="str">
        <f t="shared" si="258"/>
        <v>Valid</v>
      </c>
    </row>
    <row r="1223" spans="1:45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 t="str">
        <f t="shared" si="247"/>
        <v>Ok</v>
      </c>
      <c r="AE1223" t="str">
        <f>IF(AND(Audit_Data[[#This Row],[Year_Birth]]&gt;=1900,Audit_Data[[#This Row],[Year_Birth]]&lt;=2010),"OK","Invalid")</f>
        <v>OK</v>
      </c>
      <c r="AF1223" t="str">
        <f t="shared" si="248"/>
        <v>Valid</v>
      </c>
      <c r="AG1223" t="str">
        <f t="shared" si="249"/>
        <v>Valid</v>
      </c>
      <c r="AH1223" t="str">
        <f t="shared" si="250"/>
        <v>Valid</v>
      </c>
      <c r="AI1223" t="str">
        <f t="shared" si="251"/>
        <v>Valid</v>
      </c>
      <c r="AJ1223" t="str">
        <f t="shared" si="252"/>
        <v>Valid</v>
      </c>
      <c r="AK1223" t="str">
        <f t="shared" si="259"/>
        <v xml:space="preserve">Valid </v>
      </c>
      <c r="AL1223" t="str">
        <f>IF(AND(Audit_Data[[#This Row],[Recency]]&gt;=0,Audit_Data[[#This Row],[Recency]]&lt;=100),"Valid","Invalid")</f>
        <v>Valid</v>
      </c>
      <c r="AM1223" t="str">
        <f t="shared" si="253"/>
        <v>Valid</v>
      </c>
      <c r="AN1223" t="str">
        <f t="shared" si="254"/>
        <v>Valid</v>
      </c>
      <c r="AO1223" t="str">
        <f t="shared" si="255"/>
        <v>Valid</v>
      </c>
      <c r="AP1223" t="str">
        <f t="shared" si="256"/>
        <v>Valid</v>
      </c>
      <c r="AQ1223" t="str">
        <f>IF(Audit_Data[[#This Row],[Z_CostContact]]=3,"Valid","Invalid")</f>
        <v>Valid</v>
      </c>
      <c r="AR1223" t="str">
        <f t="shared" si="257"/>
        <v>Valid</v>
      </c>
      <c r="AS1223" t="str">
        <f t="shared" si="258"/>
        <v>Valid</v>
      </c>
    </row>
    <row r="1224" spans="1:45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 t="str">
        <f t="shared" si="247"/>
        <v>Ok</v>
      </c>
      <c r="AE1224" t="str">
        <f>IF(AND(Audit_Data[[#This Row],[Year_Birth]]&gt;=1900,Audit_Data[[#This Row],[Year_Birth]]&lt;=2010),"OK","Invalid")</f>
        <v>OK</v>
      </c>
      <c r="AF1224" t="str">
        <f t="shared" si="248"/>
        <v>Valid</v>
      </c>
      <c r="AG1224" t="str">
        <f t="shared" si="249"/>
        <v>Valid</v>
      </c>
      <c r="AH1224" t="str">
        <f t="shared" si="250"/>
        <v>Valid</v>
      </c>
      <c r="AI1224" t="str">
        <f t="shared" si="251"/>
        <v>Valid</v>
      </c>
      <c r="AJ1224" t="str">
        <f t="shared" si="252"/>
        <v>Valid</v>
      </c>
      <c r="AK1224" t="str">
        <f t="shared" si="259"/>
        <v xml:space="preserve">Valid </v>
      </c>
      <c r="AL1224" t="str">
        <f>IF(AND(Audit_Data[[#This Row],[Recency]]&gt;=0,Audit_Data[[#This Row],[Recency]]&lt;=100),"Valid","Invalid")</f>
        <v>Valid</v>
      </c>
      <c r="AM1224" t="str">
        <f t="shared" si="253"/>
        <v>Valid</v>
      </c>
      <c r="AN1224" t="str">
        <f t="shared" si="254"/>
        <v>Valid</v>
      </c>
      <c r="AO1224" t="str">
        <f t="shared" si="255"/>
        <v>Valid</v>
      </c>
      <c r="AP1224" t="str">
        <f t="shared" si="256"/>
        <v>Valid</v>
      </c>
      <c r="AQ1224" t="str">
        <f>IF(Audit_Data[[#This Row],[Z_CostContact]]=3,"Valid","Invalid")</f>
        <v>Valid</v>
      </c>
      <c r="AR1224" t="str">
        <f t="shared" si="257"/>
        <v>Valid</v>
      </c>
      <c r="AS1224" t="str">
        <f t="shared" si="258"/>
        <v>Valid</v>
      </c>
    </row>
    <row r="1225" spans="1:45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 t="str">
        <f t="shared" si="247"/>
        <v>Ok</v>
      </c>
      <c r="AE1225" t="str">
        <f>IF(AND(Audit_Data[[#This Row],[Year_Birth]]&gt;=1900,Audit_Data[[#This Row],[Year_Birth]]&lt;=2010),"OK","Invalid")</f>
        <v>OK</v>
      </c>
      <c r="AF1225" t="str">
        <f t="shared" si="248"/>
        <v>Valid</v>
      </c>
      <c r="AG1225" t="str">
        <f t="shared" si="249"/>
        <v>Valid</v>
      </c>
      <c r="AH1225" t="str">
        <f t="shared" si="250"/>
        <v>Valid</v>
      </c>
      <c r="AI1225" t="str">
        <f t="shared" si="251"/>
        <v>Valid</v>
      </c>
      <c r="AJ1225" t="str">
        <f t="shared" si="252"/>
        <v>Valid</v>
      </c>
      <c r="AK1225" t="str">
        <f t="shared" si="259"/>
        <v xml:space="preserve">Valid </v>
      </c>
      <c r="AL1225" t="str">
        <f>IF(AND(Audit_Data[[#This Row],[Recency]]&gt;=0,Audit_Data[[#This Row],[Recency]]&lt;=100),"Valid","Invalid")</f>
        <v>Valid</v>
      </c>
      <c r="AM1225" t="str">
        <f t="shared" si="253"/>
        <v>Valid</v>
      </c>
      <c r="AN1225" t="str">
        <f t="shared" si="254"/>
        <v>Valid</v>
      </c>
      <c r="AO1225" t="str">
        <f t="shared" si="255"/>
        <v>Valid</v>
      </c>
      <c r="AP1225" t="str">
        <f t="shared" si="256"/>
        <v>Valid</v>
      </c>
      <c r="AQ1225" t="str">
        <f>IF(Audit_Data[[#This Row],[Z_CostContact]]=3,"Valid","Invalid")</f>
        <v>Valid</v>
      </c>
      <c r="AR1225" t="str">
        <f t="shared" si="257"/>
        <v>Valid</v>
      </c>
      <c r="AS1225" t="str">
        <f t="shared" si="258"/>
        <v>Valid</v>
      </c>
    </row>
    <row r="1226" spans="1:45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 t="str">
        <f t="shared" si="247"/>
        <v>Ok</v>
      </c>
      <c r="AE1226" t="str">
        <f>IF(AND(Audit_Data[[#This Row],[Year_Birth]]&gt;=1900,Audit_Data[[#This Row],[Year_Birth]]&lt;=2010),"OK","Invalid")</f>
        <v>OK</v>
      </c>
      <c r="AF1226" t="str">
        <f t="shared" si="248"/>
        <v>Valid</v>
      </c>
      <c r="AG1226" t="str">
        <f t="shared" si="249"/>
        <v>Valid</v>
      </c>
      <c r="AH1226" t="str">
        <f t="shared" si="250"/>
        <v>Valid</v>
      </c>
      <c r="AI1226" t="str">
        <f t="shared" si="251"/>
        <v>Valid</v>
      </c>
      <c r="AJ1226" t="str">
        <f t="shared" si="252"/>
        <v>Valid</v>
      </c>
      <c r="AK1226" t="str">
        <f t="shared" si="259"/>
        <v xml:space="preserve">Valid </v>
      </c>
      <c r="AL1226" t="str">
        <f>IF(AND(Audit_Data[[#This Row],[Recency]]&gt;=0,Audit_Data[[#This Row],[Recency]]&lt;=100),"Valid","Invalid")</f>
        <v>Valid</v>
      </c>
      <c r="AM1226" t="str">
        <f t="shared" si="253"/>
        <v>Valid</v>
      </c>
      <c r="AN1226" t="str">
        <f t="shared" si="254"/>
        <v>Valid</v>
      </c>
      <c r="AO1226" t="str">
        <f t="shared" si="255"/>
        <v>Valid</v>
      </c>
      <c r="AP1226" t="str">
        <f t="shared" si="256"/>
        <v>Valid</v>
      </c>
      <c r="AQ1226" t="str">
        <f>IF(Audit_Data[[#This Row],[Z_CostContact]]=3,"Valid","Invalid")</f>
        <v>Valid</v>
      </c>
      <c r="AR1226" t="str">
        <f t="shared" si="257"/>
        <v>Valid</v>
      </c>
      <c r="AS1226" t="str">
        <f t="shared" si="258"/>
        <v>Valid</v>
      </c>
    </row>
    <row r="1227" spans="1:45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 t="str">
        <f t="shared" si="247"/>
        <v>Ok</v>
      </c>
      <c r="AE1227" t="str">
        <f>IF(AND(Audit_Data[[#This Row],[Year_Birth]]&gt;=1900,Audit_Data[[#This Row],[Year_Birth]]&lt;=2010),"OK","Invalid")</f>
        <v>OK</v>
      </c>
      <c r="AF1227" t="str">
        <f t="shared" si="248"/>
        <v>Valid</v>
      </c>
      <c r="AG1227" t="str">
        <f t="shared" si="249"/>
        <v>Valid</v>
      </c>
      <c r="AH1227" t="str">
        <f t="shared" si="250"/>
        <v>Valid</v>
      </c>
      <c r="AI1227" t="str">
        <f t="shared" si="251"/>
        <v>Valid</v>
      </c>
      <c r="AJ1227" t="str">
        <f t="shared" si="252"/>
        <v>Valid</v>
      </c>
      <c r="AK1227" t="str">
        <f t="shared" si="259"/>
        <v xml:space="preserve">Valid </v>
      </c>
      <c r="AL1227" t="str">
        <f>IF(AND(Audit_Data[[#This Row],[Recency]]&gt;=0,Audit_Data[[#This Row],[Recency]]&lt;=100),"Valid","Invalid")</f>
        <v>Valid</v>
      </c>
      <c r="AM1227" t="str">
        <f t="shared" si="253"/>
        <v>Valid</v>
      </c>
      <c r="AN1227" t="str">
        <f t="shared" si="254"/>
        <v>Valid</v>
      </c>
      <c r="AO1227" t="str">
        <f t="shared" si="255"/>
        <v>Valid</v>
      </c>
      <c r="AP1227" t="str">
        <f t="shared" si="256"/>
        <v>Valid</v>
      </c>
      <c r="AQ1227" t="str">
        <f>IF(Audit_Data[[#This Row],[Z_CostContact]]=3,"Valid","Invalid")</f>
        <v>Valid</v>
      </c>
      <c r="AR1227" t="str">
        <f t="shared" si="257"/>
        <v>Valid</v>
      </c>
      <c r="AS1227" t="str">
        <f t="shared" si="258"/>
        <v>Valid</v>
      </c>
    </row>
    <row r="1228" spans="1:45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 t="str">
        <f t="shared" si="247"/>
        <v>Ok</v>
      </c>
      <c r="AE1228" t="str">
        <f>IF(AND(Audit_Data[[#This Row],[Year_Birth]]&gt;=1900,Audit_Data[[#This Row],[Year_Birth]]&lt;=2010),"OK","Invalid")</f>
        <v>OK</v>
      </c>
      <c r="AF1228" t="str">
        <f t="shared" si="248"/>
        <v>Valid</v>
      </c>
      <c r="AG1228" t="str">
        <f t="shared" si="249"/>
        <v>Valid</v>
      </c>
      <c r="AH1228" t="str">
        <f t="shared" si="250"/>
        <v>Valid</v>
      </c>
      <c r="AI1228" t="str">
        <f t="shared" si="251"/>
        <v>Valid</v>
      </c>
      <c r="AJ1228" t="str">
        <f t="shared" si="252"/>
        <v>Valid</v>
      </c>
      <c r="AK1228" t="str">
        <f t="shared" si="259"/>
        <v xml:space="preserve">Valid </v>
      </c>
      <c r="AL1228" t="str">
        <f>IF(AND(Audit_Data[[#This Row],[Recency]]&gt;=0,Audit_Data[[#This Row],[Recency]]&lt;=100),"Valid","Invalid")</f>
        <v>Valid</v>
      </c>
      <c r="AM1228" t="str">
        <f t="shared" si="253"/>
        <v>Valid</v>
      </c>
      <c r="AN1228" t="str">
        <f t="shared" si="254"/>
        <v>Valid</v>
      </c>
      <c r="AO1228" t="str">
        <f t="shared" si="255"/>
        <v>Valid</v>
      </c>
      <c r="AP1228" t="str">
        <f t="shared" si="256"/>
        <v>Valid</v>
      </c>
      <c r="AQ1228" t="str">
        <f>IF(Audit_Data[[#This Row],[Z_CostContact]]=3,"Valid","Invalid")</f>
        <v>Valid</v>
      </c>
      <c r="AR1228" t="str">
        <f t="shared" si="257"/>
        <v>Valid</v>
      </c>
      <c r="AS1228" t="str">
        <f t="shared" si="258"/>
        <v>Valid</v>
      </c>
    </row>
    <row r="1229" spans="1:45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 t="str">
        <f t="shared" si="247"/>
        <v>Ok</v>
      </c>
      <c r="AE1229" t="str">
        <f>IF(AND(Audit_Data[[#This Row],[Year_Birth]]&gt;=1900,Audit_Data[[#This Row],[Year_Birth]]&lt;=2010),"OK","Invalid")</f>
        <v>OK</v>
      </c>
      <c r="AF1229" t="str">
        <f t="shared" si="248"/>
        <v>Valid</v>
      </c>
      <c r="AG1229" t="str">
        <f t="shared" si="249"/>
        <v>Valid</v>
      </c>
      <c r="AH1229" t="str">
        <f t="shared" si="250"/>
        <v>Valid</v>
      </c>
      <c r="AI1229" t="str">
        <f t="shared" si="251"/>
        <v>Valid</v>
      </c>
      <c r="AJ1229" t="str">
        <f t="shared" si="252"/>
        <v>Valid</v>
      </c>
      <c r="AK1229" t="str">
        <f t="shared" si="259"/>
        <v xml:space="preserve">Valid </v>
      </c>
      <c r="AL1229" t="str">
        <f>IF(AND(Audit_Data[[#This Row],[Recency]]&gt;=0,Audit_Data[[#This Row],[Recency]]&lt;=100),"Valid","Invalid")</f>
        <v>Valid</v>
      </c>
      <c r="AM1229" t="str">
        <f t="shared" si="253"/>
        <v>Valid</v>
      </c>
      <c r="AN1229" t="str">
        <f t="shared" si="254"/>
        <v>Valid</v>
      </c>
      <c r="AO1229" t="str">
        <f t="shared" si="255"/>
        <v>Valid</v>
      </c>
      <c r="AP1229" t="str">
        <f t="shared" si="256"/>
        <v>Valid</v>
      </c>
      <c r="AQ1229" t="str">
        <f>IF(Audit_Data[[#This Row],[Z_CostContact]]=3,"Valid","Invalid")</f>
        <v>Valid</v>
      </c>
      <c r="AR1229" t="str">
        <f t="shared" si="257"/>
        <v>Valid</v>
      </c>
      <c r="AS1229" t="str">
        <f t="shared" si="258"/>
        <v>Valid</v>
      </c>
    </row>
    <row r="1230" spans="1:45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 t="str">
        <f t="shared" si="247"/>
        <v>Ok</v>
      </c>
      <c r="AE1230" t="str">
        <f>IF(AND(Audit_Data[[#This Row],[Year_Birth]]&gt;=1900,Audit_Data[[#This Row],[Year_Birth]]&lt;=2010),"OK","Invalid")</f>
        <v>OK</v>
      </c>
      <c r="AF1230" t="str">
        <f t="shared" si="248"/>
        <v>Valid</v>
      </c>
      <c r="AG1230" t="str">
        <f t="shared" si="249"/>
        <v>Valid</v>
      </c>
      <c r="AH1230" t="str">
        <f t="shared" si="250"/>
        <v>Valid</v>
      </c>
      <c r="AI1230" t="str">
        <f t="shared" si="251"/>
        <v>Valid</v>
      </c>
      <c r="AJ1230" t="str">
        <f t="shared" si="252"/>
        <v>Valid</v>
      </c>
      <c r="AK1230" t="str">
        <f t="shared" si="259"/>
        <v xml:space="preserve">Valid </v>
      </c>
      <c r="AL1230" t="str">
        <f>IF(AND(Audit_Data[[#This Row],[Recency]]&gt;=0,Audit_Data[[#This Row],[Recency]]&lt;=100),"Valid","Invalid")</f>
        <v>Valid</v>
      </c>
      <c r="AM1230" t="str">
        <f t="shared" si="253"/>
        <v>Valid</v>
      </c>
      <c r="AN1230" t="str">
        <f t="shared" si="254"/>
        <v>Valid</v>
      </c>
      <c r="AO1230" t="str">
        <f t="shared" si="255"/>
        <v>Valid</v>
      </c>
      <c r="AP1230" t="str">
        <f t="shared" si="256"/>
        <v>Valid</v>
      </c>
      <c r="AQ1230" t="str">
        <f>IF(Audit_Data[[#This Row],[Z_CostContact]]=3,"Valid","Invalid")</f>
        <v>Valid</v>
      </c>
      <c r="AR1230" t="str">
        <f t="shared" si="257"/>
        <v>Valid</v>
      </c>
      <c r="AS1230" t="str">
        <f t="shared" si="258"/>
        <v>Valid</v>
      </c>
    </row>
    <row r="1231" spans="1:45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 t="str">
        <f t="shared" si="247"/>
        <v>Ok</v>
      </c>
      <c r="AE1231" t="str">
        <f>IF(AND(Audit_Data[[#This Row],[Year_Birth]]&gt;=1900,Audit_Data[[#This Row],[Year_Birth]]&lt;=2010),"OK","Invalid")</f>
        <v>OK</v>
      </c>
      <c r="AF1231" t="str">
        <f t="shared" si="248"/>
        <v>Valid</v>
      </c>
      <c r="AG1231" t="str">
        <f t="shared" si="249"/>
        <v>Valid</v>
      </c>
      <c r="AH1231" t="str">
        <f t="shared" si="250"/>
        <v>Valid</v>
      </c>
      <c r="AI1231" t="str">
        <f t="shared" si="251"/>
        <v>Valid</v>
      </c>
      <c r="AJ1231" t="str">
        <f t="shared" si="252"/>
        <v>Valid</v>
      </c>
      <c r="AK1231" t="str">
        <f t="shared" si="259"/>
        <v xml:space="preserve">Valid </v>
      </c>
      <c r="AL1231" t="str">
        <f>IF(AND(Audit_Data[[#This Row],[Recency]]&gt;=0,Audit_Data[[#This Row],[Recency]]&lt;=100),"Valid","Invalid")</f>
        <v>Valid</v>
      </c>
      <c r="AM1231" t="str">
        <f t="shared" si="253"/>
        <v>Valid</v>
      </c>
      <c r="AN1231" t="str">
        <f t="shared" si="254"/>
        <v>Valid</v>
      </c>
      <c r="AO1231" t="str">
        <f t="shared" si="255"/>
        <v>Valid</v>
      </c>
      <c r="AP1231" t="str">
        <f t="shared" si="256"/>
        <v>Valid</v>
      </c>
      <c r="AQ1231" t="str">
        <f>IF(Audit_Data[[#This Row],[Z_CostContact]]=3,"Valid","Invalid")</f>
        <v>Valid</v>
      </c>
      <c r="AR1231" t="str">
        <f t="shared" si="257"/>
        <v>Valid</v>
      </c>
      <c r="AS1231" t="str">
        <f t="shared" si="258"/>
        <v>Valid</v>
      </c>
    </row>
    <row r="1232" spans="1:45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 t="str">
        <f t="shared" si="247"/>
        <v>Ok</v>
      </c>
      <c r="AE1232" t="str">
        <f>IF(AND(Audit_Data[[#This Row],[Year_Birth]]&gt;=1900,Audit_Data[[#This Row],[Year_Birth]]&lt;=2010),"OK","Invalid")</f>
        <v>OK</v>
      </c>
      <c r="AF1232" t="str">
        <f t="shared" si="248"/>
        <v>Valid</v>
      </c>
      <c r="AG1232" t="str">
        <f t="shared" si="249"/>
        <v>Valid</v>
      </c>
      <c r="AH1232" t="str">
        <f t="shared" si="250"/>
        <v>Valid</v>
      </c>
      <c r="AI1232" t="str">
        <f t="shared" si="251"/>
        <v>Valid</v>
      </c>
      <c r="AJ1232" t="str">
        <f t="shared" si="252"/>
        <v>Valid</v>
      </c>
      <c r="AK1232" t="str">
        <f t="shared" si="259"/>
        <v xml:space="preserve">Valid </v>
      </c>
      <c r="AL1232" t="str">
        <f>IF(AND(Audit_Data[[#This Row],[Recency]]&gt;=0,Audit_Data[[#This Row],[Recency]]&lt;=100),"Valid","Invalid")</f>
        <v>Valid</v>
      </c>
      <c r="AM1232" t="str">
        <f t="shared" si="253"/>
        <v>Valid</v>
      </c>
      <c r="AN1232" t="str">
        <f t="shared" si="254"/>
        <v>Valid</v>
      </c>
      <c r="AO1232" t="str">
        <f t="shared" si="255"/>
        <v>Valid</v>
      </c>
      <c r="AP1232" t="str">
        <f t="shared" si="256"/>
        <v>Valid</v>
      </c>
      <c r="AQ1232" t="str">
        <f>IF(Audit_Data[[#This Row],[Z_CostContact]]=3,"Valid","Invalid")</f>
        <v>Valid</v>
      </c>
      <c r="AR1232" t="str">
        <f t="shared" si="257"/>
        <v>Valid</v>
      </c>
      <c r="AS1232" t="str">
        <f t="shared" si="258"/>
        <v>Valid</v>
      </c>
    </row>
    <row r="1233" spans="1:45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 t="str">
        <f t="shared" si="247"/>
        <v>Ok</v>
      </c>
      <c r="AE1233" t="str">
        <f>IF(AND(Audit_Data[[#This Row],[Year_Birth]]&gt;=1900,Audit_Data[[#This Row],[Year_Birth]]&lt;=2010),"OK","Invalid")</f>
        <v>OK</v>
      </c>
      <c r="AF1233" t="str">
        <f t="shared" si="248"/>
        <v>Valid</v>
      </c>
      <c r="AG1233" t="str">
        <f t="shared" si="249"/>
        <v>Valid</v>
      </c>
      <c r="AH1233" t="str">
        <f t="shared" si="250"/>
        <v>Valid</v>
      </c>
      <c r="AI1233" t="str">
        <f t="shared" si="251"/>
        <v>Valid</v>
      </c>
      <c r="AJ1233" t="str">
        <f t="shared" si="252"/>
        <v>Valid</v>
      </c>
      <c r="AK1233" t="str">
        <f t="shared" si="259"/>
        <v xml:space="preserve">Valid </v>
      </c>
      <c r="AL1233" t="str">
        <f>IF(AND(Audit_Data[[#This Row],[Recency]]&gt;=0,Audit_Data[[#This Row],[Recency]]&lt;=100),"Valid","Invalid")</f>
        <v>Valid</v>
      </c>
      <c r="AM1233" t="str">
        <f t="shared" si="253"/>
        <v>Valid</v>
      </c>
      <c r="AN1233" t="str">
        <f t="shared" si="254"/>
        <v>Valid</v>
      </c>
      <c r="AO1233" t="str">
        <f t="shared" si="255"/>
        <v>Valid</v>
      </c>
      <c r="AP1233" t="str">
        <f t="shared" si="256"/>
        <v>Valid</v>
      </c>
      <c r="AQ1233" t="str">
        <f>IF(Audit_Data[[#This Row],[Z_CostContact]]=3,"Valid","Invalid")</f>
        <v>Valid</v>
      </c>
      <c r="AR1233" t="str">
        <f t="shared" si="257"/>
        <v>Valid</v>
      </c>
      <c r="AS1233" t="str">
        <f t="shared" si="258"/>
        <v>Valid</v>
      </c>
    </row>
    <row r="1234" spans="1:45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 t="str">
        <f t="shared" si="247"/>
        <v>Ok</v>
      </c>
      <c r="AE1234" t="str">
        <f>IF(AND(Audit_Data[[#This Row],[Year_Birth]]&gt;=1900,Audit_Data[[#This Row],[Year_Birth]]&lt;=2010),"OK","Invalid")</f>
        <v>OK</v>
      </c>
      <c r="AF1234" t="str">
        <f t="shared" si="248"/>
        <v>Valid</v>
      </c>
      <c r="AG1234" t="str">
        <f t="shared" si="249"/>
        <v>Valid</v>
      </c>
      <c r="AH1234" t="str">
        <f t="shared" si="250"/>
        <v>Valid</v>
      </c>
      <c r="AI1234" t="str">
        <f t="shared" si="251"/>
        <v>Valid</v>
      </c>
      <c r="AJ1234" t="str">
        <f t="shared" si="252"/>
        <v>Valid</v>
      </c>
      <c r="AK1234" t="str">
        <f t="shared" si="259"/>
        <v xml:space="preserve">Valid </v>
      </c>
      <c r="AL1234" t="str">
        <f>IF(AND(Audit_Data[[#This Row],[Recency]]&gt;=0,Audit_Data[[#This Row],[Recency]]&lt;=100),"Valid","Invalid")</f>
        <v>Valid</v>
      </c>
      <c r="AM1234" t="str">
        <f t="shared" si="253"/>
        <v>Valid</v>
      </c>
      <c r="AN1234" t="str">
        <f t="shared" si="254"/>
        <v>Valid</v>
      </c>
      <c r="AO1234" t="str">
        <f t="shared" si="255"/>
        <v>Valid</v>
      </c>
      <c r="AP1234" t="str">
        <f t="shared" si="256"/>
        <v>Valid</v>
      </c>
      <c r="AQ1234" t="str">
        <f>IF(Audit_Data[[#This Row],[Z_CostContact]]=3,"Valid","Invalid")</f>
        <v>Valid</v>
      </c>
      <c r="AR1234" t="str">
        <f t="shared" si="257"/>
        <v>Valid</v>
      </c>
      <c r="AS1234" t="str">
        <f t="shared" si="258"/>
        <v>Valid</v>
      </c>
    </row>
    <row r="1235" spans="1:45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 t="str">
        <f t="shared" si="247"/>
        <v>Ok</v>
      </c>
      <c r="AE1235" t="str">
        <f>IF(AND(Audit_Data[[#This Row],[Year_Birth]]&gt;=1900,Audit_Data[[#This Row],[Year_Birth]]&lt;=2010),"OK","Invalid")</f>
        <v>OK</v>
      </c>
      <c r="AF1235" t="str">
        <f t="shared" si="248"/>
        <v>Valid</v>
      </c>
      <c r="AG1235" t="str">
        <f t="shared" si="249"/>
        <v>Valid</v>
      </c>
      <c r="AH1235" t="str">
        <f t="shared" si="250"/>
        <v>Valid</v>
      </c>
      <c r="AI1235" t="str">
        <f t="shared" si="251"/>
        <v>Valid</v>
      </c>
      <c r="AJ1235" t="str">
        <f t="shared" si="252"/>
        <v>Valid</v>
      </c>
      <c r="AK1235" t="str">
        <f t="shared" si="259"/>
        <v xml:space="preserve">Valid </v>
      </c>
      <c r="AL1235" t="str">
        <f>IF(AND(Audit_Data[[#This Row],[Recency]]&gt;=0,Audit_Data[[#This Row],[Recency]]&lt;=100),"Valid","Invalid")</f>
        <v>Valid</v>
      </c>
      <c r="AM1235" t="str">
        <f t="shared" si="253"/>
        <v>Valid</v>
      </c>
      <c r="AN1235" t="str">
        <f t="shared" si="254"/>
        <v>Valid</v>
      </c>
      <c r="AO1235" t="str">
        <f t="shared" si="255"/>
        <v>Valid</v>
      </c>
      <c r="AP1235" t="str">
        <f t="shared" si="256"/>
        <v>Valid</v>
      </c>
      <c r="AQ1235" t="str">
        <f>IF(Audit_Data[[#This Row],[Z_CostContact]]=3,"Valid","Invalid")</f>
        <v>Valid</v>
      </c>
      <c r="AR1235" t="str">
        <f t="shared" si="257"/>
        <v>Valid</v>
      </c>
      <c r="AS1235" t="str">
        <f t="shared" si="258"/>
        <v>Valid</v>
      </c>
    </row>
    <row r="1236" spans="1:45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 t="str">
        <f t="shared" si="247"/>
        <v>Ok</v>
      </c>
      <c r="AE1236" t="str">
        <f>IF(AND(Audit_Data[[#This Row],[Year_Birth]]&gt;=1900,Audit_Data[[#This Row],[Year_Birth]]&lt;=2010),"OK","Invalid")</f>
        <v>OK</v>
      </c>
      <c r="AF1236" t="str">
        <f t="shared" si="248"/>
        <v>Valid</v>
      </c>
      <c r="AG1236" t="str">
        <f t="shared" si="249"/>
        <v>Valid</v>
      </c>
      <c r="AH1236" t="str">
        <f t="shared" si="250"/>
        <v>Valid</v>
      </c>
      <c r="AI1236" t="str">
        <f t="shared" si="251"/>
        <v>Valid</v>
      </c>
      <c r="AJ1236" t="str">
        <f t="shared" si="252"/>
        <v>Valid</v>
      </c>
      <c r="AK1236" t="str">
        <f t="shared" si="259"/>
        <v xml:space="preserve">Valid </v>
      </c>
      <c r="AL1236" t="str">
        <f>IF(AND(Audit_Data[[#This Row],[Recency]]&gt;=0,Audit_Data[[#This Row],[Recency]]&lt;=100),"Valid","Invalid")</f>
        <v>Valid</v>
      </c>
      <c r="AM1236" t="str">
        <f t="shared" si="253"/>
        <v>Valid</v>
      </c>
      <c r="AN1236" t="str">
        <f t="shared" si="254"/>
        <v>Valid</v>
      </c>
      <c r="AO1236" t="str">
        <f t="shared" si="255"/>
        <v>Valid</v>
      </c>
      <c r="AP1236" t="str">
        <f t="shared" si="256"/>
        <v>Valid</v>
      </c>
      <c r="AQ1236" t="str">
        <f>IF(Audit_Data[[#This Row],[Z_CostContact]]=3,"Valid","Invalid")</f>
        <v>Valid</v>
      </c>
      <c r="AR1236" t="str">
        <f t="shared" si="257"/>
        <v>Valid</v>
      </c>
      <c r="AS1236" t="str">
        <f t="shared" si="258"/>
        <v>Valid</v>
      </c>
    </row>
    <row r="1237" spans="1:45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 t="str">
        <f t="shared" si="247"/>
        <v>Ok</v>
      </c>
      <c r="AE1237" t="str">
        <f>IF(AND(Audit_Data[[#This Row],[Year_Birth]]&gt;=1900,Audit_Data[[#This Row],[Year_Birth]]&lt;=2010),"OK","Invalid")</f>
        <v>OK</v>
      </c>
      <c r="AF1237" t="str">
        <f t="shared" si="248"/>
        <v>Valid</v>
      </c>
      <c r="AG1237" t="str">
        <f t="shared" si="249"/>
        <v>Valid</v>
      </c>
      <c r="AH1237" t="str">
        <f t="shared" si="250"/>
        <v>Valid</v>
      </c>
      <c r="AI1237" t="str">
        <f t="shared" si="251"/>
        <v>Valid</v>
      </c>
      <c r="AJ1237" t="str">
        <f t="shared" si="252"/>
        <v>Valid</v>
      </c>
      <c r="AK1237" t="str">
        <f t="shared" si="259"/>
        <v xml:space="preserve">Valid </v>
      </c>
      <c r="AL1237" t="str">
        <f>IF(AND(Audit_Data[[#This Row],[Recency]]&gt;=0,Audit_Data[[#This Row],[Recency]]&lt;=100),"Valid","Invalid")</f>
        <v>Valid</v>
      </c>
      <c r="AM1237" t="str">
        <f t="shared" si="253"/>
        <v>Valid</v>
      </c>
      <c r="AN1237" t="str">
        <f t="shared" si="254"/>
        <v>Valid</v>
      </c>
      <c r="AO1237" t="str">
        <f t="shared" si="255"/>
        <v>Valid</v>
      </c>
      <c r="AP1237" t="str">
        <f t="shared" si="256"/>
        <v>Valid</v>
      </c>
      <c r="AQ1237" t="str">
        <f>IF(Audit_Data[[#This Row],[Z_CostContact]]=3,"Valid","Invalid")</f>
        <v>Valid</v>
      </c>
      <c r="AR1237" t="str">
        <f t="shared" si="257"/>
        <v>Valid</v>
      </c>
      <c r="AS1237" t="str">
        <f t="shared" si="258"/>
        <v>Valid</v>
      </c>
    </row>
    <row r="1238" spans="1:45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 t="str">
        <f t="shared" si="247"/>
        <v>Ok</v>
      </c>
      <c r="AE1238" t="str">
        <f>IF(AND(Audit_Data[[#This Row],[Year_Birth]]&gt;=1900,Audit_Data[[#This Row],[Year_Birth]]&lt;=2010),"OK","Invalid")</f>
        <v>OK</v>
      </c>
      <c r="AF1238" t="str">
        <f t="shared" si="248"/>
        <v>Valid</v>
      </c>
      <c r="AG1238" t="str">
        <f t="shared" si="249"/>
        <v>Valid</v>
      </c>
      <c r="AH1238" t="str">
        <f t="shared" si="250"/>
        <v>Valid</v>
      </c>
      <c r="AI1238" t="str">
        <f t="shared" si="251"/>
        <v>Valid</v>
      </c>
      <c r="AJ1238" t="str">
        <f t="shared" si="252"/>
        <v>Valid</v>
      </c>
      <c r="AK1238" t="str">
        <f t="shared" si="259"/>
        <v xml:space="preserve">Valid </v>
      </c>
      <c r="AL1238" t="str">
        <f>IF(AND(Audit_Data[[#This Row],[Recency]]&gt;=0,Audit_Data[[#This Row],[Recency]]&lt;=100),"Valid","Invalid")</f>
        <v>Valid</v>
      </c>
      <c r="AM1238" t="str">
        <f t="shared" si="253"/>
        <v>Valid</v>
      </c>
      <c r="AN1238" t="str">
        <f t="shared" si="254"/>
        <v>Valid</v>
      </c>
      <c r="AO1238" t="str">
        <f t="shared" si="255"/>
        <v>Valid</v>
      </c>
      <c r="AP1238" t="str">
        <f t="shared" si="256"/>
        <v>Valid</v>
      </c>
      <c r="AQ1238" t="str">
        <f>IF(Audit_Data[[#This Row],[Z_CostContact]]=3,"Valid","Invalid")</f>
        <v>Valid</v>
      </c>
      <c r="AR1238" t="str">
        <f t="shared" si="257"/>
        <v>Valid</v>
      </c>
      <c r="AS1238" t="str">
        <f t="shared" si="258"/>
        <v>Valid</v>
      </c>
    </row>
    <row r="1239" spans="1:45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 t="str">
        <f t="shared" si="247"/>
        <v>Ok</v>
      </c>
      <c r="AE1239" t="str">
        <f>IF(AND(Audit_Data[[#This Row],[Year_Birth]]&gt;=1900,Audit_Data[[#This Row],[Year_Birth]]&lt;=2010),"OK","Invalid")</f>
        <v>OK</v>
      </c>
      <c r="AF1239" t="str">
        <f t="shared" si="248"/>
        <v>Valid</v>
      </c>
      <c r="AG1239" t="str">
        <f t="shared" si="249"/>
        <v>Valid</v>
      </c>
      <c r="AH1239" t="str">
        <f t="shared" si="250"/>
        <v>Valid</v>
      </c>
      <c r="AI1239" t="str">
        <f t="shared" si="251"/>
        <v>Valid</v>
      </c>
      <c r="AJ1239" t="str">
        <f t="shared" si="252"/>
        <v>Valid</v>
      </c>
      <c r="AK1239" t="str">
        <f t="shared" si="259"/>
        <v xml:space="preserve">Valid </v>
      </c>
      <c r="AL1239" t="str">
        <f>IF(AND(Audit_Data[[#This Row],[Recency]]&gt;=0,Audit_Data[[#This Row],[Recency]]&lt;=100),"Valid","Invalid")</f>
        <v>Valid</v>
      </c>
      <c r="AM1239" t="str">
        <f t="shared" si="253"/>
        <v>Valid</v>
      </c>
      <c r="AN1239" t="str">
        <f t="shared" si="254"/>
        <v>Valid</v>
      </c>
      <c r="AO1239" t="str">
        <f t="shared" si="255"/>
        <v>Valid</v>
      </c>
      <c r="AP1239" t="str">
        <f t="shared" si="256"/>
        <v>Valid</v>
      </c>
      <c r="AQ1239" t="str">
        <f>IF(Audit_Data[[#This Row],[Z_CostContact]]=3,"Valid","Invalid")</f>
        <v>Valid</v>
      </c>
      <c r="AR1239" t="str">
        <f t="shared" si="257"/>
        <v>Valid</v>
      </c>
      <c r="AS1239" t="str">
        <f t="shared" si="258"/>
        <v>Valid</v>
      </c>
    </row>
    <row r="1240" spans="1:45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 t="str">
        <f t="shared" si="247"/>
        <v>Ok</v>
      </c>
      <c r="AE1240" t="str">
        <f>IF(AND(Audit_Data[[#This Row],[Year_Birth]]&gt;=1900,Audit_Data[[#This Row],[Year_Birth]]&lt;=2010),"OK","Invalid")</f>
        <v>OK</v>
      </c>
      <c r="AF1240" t="str">
        <f t="shared" si="248"/>
        <v>Valid</v>
      </c>
      <c r="AG1240" t="str">
        <f t="shared" si="249"/>
        <v>Valid</v>
      </c>
      <c r="AH1240" t="str">
        <f t="shared" si="250"/>
        <v>Valid</v>
      </c>
      <c r="AI1240" t="str">
        <f t="shared" si="251"/>
        <v>Valid</v>
      </c>
      <c r="AJ1240" t="str">
        <f t="shared" si="252"/>
        <v>Valid</v>
      </c>
      <c r="AK1240" t="str">
        <f t="shared" si="259"/>
        <v xml:space="preserve">Valid </v>
      </c>
      <c r="AL1240" t="str">
        <f>IF(AND(Audit_Data[[#This Row],[Recency]]&gt;=0,Audit_Data[[#This Row],[Recency]]&lt;=100),"Valid","Invalid")</f>
        <v>Valid</v>
      </c>
      <c r="AM1240" t="str">
        <f t="shared" si="253"/>
        <v>Valid</v>
      </c>
      <c r="AN1240" t="str">
        <f t="shared" si="254"/>
        <v>Valid</v>
      </c>
      <c r="AO1240" t="str">
        <f t="shared" si="255"/>
        <v>Valid</v>
      </c>
      <c r="AP1240" t="str">
        <f t="shared" si="256"/>
        <v>Valid</v>
      </c>
      <c r="AQ1240" t="str">
        <f>IF(Audit_Data[[#This Row],[Z_CostContact]]=3,"Valid","Invalid")</f>
        <v>Valid</v>
      </c>
      <c r="AR1240" t="str">
        <f t="shared" si="257"/>
        <v>Valid</v>
      </c>
      <c r="AS1240" t="str">
        <f t="shared" si="258"/>
        <v>Valid</v>
      </c>
    </row>
    <row r="1241" spans="1:45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 t="str">
        <f t="shared" si="247"/>
        <v>Ok</v>
      </c>
      <c r="AE1241" t="str">
        <f>IF(AND(Audit_Data[[#This Row],[Year_Birth]]&gt;=1900,Audit_Data[[#This Row],[Year_Birth]]&lt;=2010),"OK","Invalid")</f>
        <v>OK</v>
      </c>
      <c r="AF1241" t="str">
        <f t="shared" si="248"/>
        <v>Valid</v>
      </c>
      <c r="AG1241" t="str">
        <f t="shared" si="249"/>
        <v>Valid</v>
      </c>
      <c r="AH1241" t="str">
        <f t="shared" si="250"/>
        <v>Valid</v>
      </c>
      <c r="AI1241" t="str">
        <f t="shared" si="251"/>
        <v>Valid</v>
      </c>
      <c r="AJ1241" t="str">
        <f t="shared" si="252"/>
        <v>Valid</v>
      </c>
      <c r="AK1241" t="str">
        <f t="shared" si="259"/>
        <v xml:space="preserve">Valid </v>
      </c>
      <c r="AL1241" t="str">
        <f>IF(AND(Audit_Data[[#This Row],[Recency]]&gt;=0,Audit_Data[[#This Row],[Recency]]&lt;=100),"Valid","Invalid")</f>
        <v>Valid</v>
      </c>
      <c r="AM1241" t="str">
        <f t="shared" si="253"/>
        <v>Valid</v>
      </c>
      <c r="AN1241" t="str">
        <f t="shared" si="254"/>
        <v>Valid</v>
      </c>
      <c r="AO1241" t="str">
        <f t="shared" si="255"/>
        <v>Valid</v>
      </c>
      <c r="AP1241" t="str">
        <f t="shared" si="256"/>
        <v>Valid</v>
      </c>
      <c r="AQ1241" t="str">
        <f>IF(Audit_Data[[#This Row],[Z_CostContact]]=3,"Valid","Invalid")</f>
        <v>Valid</v>
      </c>
      <c r="AR1241" t="str">
        <f t="shared" si="257"/>
        <v>Valid</v>
      </c>
      <c r="AS1241" t="str">
        <f t="shared" si="258"/>
        <v>Valid</v>
      </c>
    </row>
    <row r="1242" spans="1:45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 t="str">
        <f t="shared" si="247"/>
        <v>Ok</v>
      </c>
      <c r="AE1242" t="str">
        <f>IF(AND(Audit_Data[[#This Row],[Year_Birth]]&gt;=1900,Audit_Data[[#This Row],[Year_Birth]]&lt;=2010),"OK","Invalid")</f>
        <v>OK</v>
      </c>
      <c r="AF1242" t="str">
        <f t="shared" si="248"/>
        <v>Valid</v>
      </c>
      <c r="AG1242" t="str">
        <f t="shared" si="249"/>
        <v>Valid</v>
      </c>
      <c r="AH1242" t="str">
        <f t="shared" si="250"/>
        <v>Valid</v>
      </c>
      <c r="AI1242" t="str">
        <f t="shared" si="251"/>
        <v>Valid</v>
      </c>
      <c r="AJ1242" t="str">
        <f t="shared" si="252"/>
        <v>Valid</v>
      </c>
      <c r="AK1242" t="str">
        <f t="shared" si="259"/>
        <v xml:space="preserve">Valid </v>
      </c>
      <c r="AL1242" t="str">
        <f>IF(AND(Audit_Data[[#This Row],[Recency]]&gt;=0,Audit_Data[[#This Row],[Recency]]&lt;=100),"Valid","Invalid")</f>
        <v>Valid</v>
      </c>
      <c r="AM1242" t="str">
        <f t="shared" si="253"/>
        <v>Valid</v>
      </c>
      <c r="AN1242" t="str">
        <f t="shared" si="254"/>
        <v>Valid</v>
      </c>
      <c r="AO1242" t="str">
        <f t="shared" si="255"/>
        <v>Valid</v>
      </c>
      <c r="AP1242" t="str">
        <f t="shared" si="256"/>
        <v>Valid</v>
      </c>
      <c r="AQ1242" t="str">
        <f>IF(Audit_Data[[#This Row],[Z_CostContact]]=3,"Valid","Invalid")</f>
        <v>Valid</v>
      </c>
      <c r="AR1242" t="str">
        <f t="shared" si="257"/>
        <v>Valid</v>
      </c>
      <c r="AS1242" t="str">
        <f t="shared" si="258"/>
        <v>Valid</v>
      </c>
    </row>
    <row r="1243" spans="1:45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 t="str">
        <f t="shared" si="247"/>
        <v>Ok</v>
      </c>
      <c r="AE1243" t="str">
        <f>IF(AND(Audit_Data[[#This Row],[Year_Birth]]&gt;=1900,Audit_Data[[#This Row],[Year_Birth]]&lt;=2010),"OK","Invalid")</f>
        <v>OK</v>
      </c>
      <c r="AF1243" t="str">
        <f t="shared" si="248"/>
        <v>Valid</v>
      </c>
      <c r="AG1243" t="str">
        <f t="shared" si="249"/>
        <v>Valid</v>
      </c>
      <c r="AH1243" t="str">
        <f t="shared" si="250"/>
        <v>Valid</v>
      </c>
      <c r="AI1243" t="str">
        <f t="shared" si="251"/>
        <v>Valid</v>
      </c>
      <c r="AJ1243" t="str">
        <f t="shared" si="252"/>
        <v>Valid</v>
      </c>
      <c r="AK1243" t="str">
        <f t="shared" si="259"/>
        <v xml:space="preserve">Valid </v>
      </c>
      <c r="AL1243" t="str">
        <f>IF(AND(Audit_Data[[#This Row],[Recency]]&gt;=0,Audit_Data[[#This Row],[Recency]]&lt;=100),"Valid","Invalid")</f>
        <v>Valid</v>
      </c>
      <c r="AM1243" t="str">
        <f t="shared" si="253"/>
        <v>Valid</v>
      </c>
      <c r="AN1243" t="str">
        <f t="shared" si="254"/>
        <v>Valid</v>
      </c>
      <c r="AO1243" t="str">
        <f t="shared" si="255"/>
        <v>Valid</v>
      </c>
      <c r="AP1243" t="str">
        <f t="shared" si="256"/>
        <v>Valid</v>
      </c>
      <c r="AQ1243" t="str">
        <f>IF(Audit_Data[[#This Row],[Z_CostContact]]=3,"Valid","Invalid")</f>
        <v>Valid</v>
      </c>
      <c r="AR1243" t="str">
        <f t="shared" si="257"/>
        <v>Valid</v>
      </c>
      <c r="AS1243" t="str">
        <f t="shared" si="258"/>
        <v>Valid</v>
      </c>
    </row>
    <row r="1244" spans="1:45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 t="str">
        <f t="shared" si="247"/>
        <v>Ok</v>
      </c>
      <c r="AE1244" t="str">
        <f>IF(AND(Audit_Data[[#This Row],[Year_Birth]]&gt;=1900,Audit_Data[[#This Row],[Year_Birth]]&lt;=2010),"OK","Invalid")</f>
        <v>OK</v>
      </c>
      <c r="AF1244" t="str">
        <f t="shared" si="248"/>
        <v>Valid</v>
      </c>
      <c r="AG1244" t="str">
        <f t="shared" si="249"/>
        <v>Valid</v>
      </c>
      <c r="AH1244" t="str">
        <f t="shared" si="250"/>
        <v>Valid</v>
      </c>
      <c r="AI1244" t="str">
        <f t="shared" si="251"/>
        <v>Valid</v>
      </c>
      <c r="AJ1244" t="str">
        <f t="shared" si="252"/>
        <v>Valid</v>
      </c>
      <c r="AK1244" t="str">
        <f t="shared" si="259"/>
        <v xml:space="preserve">Valid </v>
      </c>
      <c r="AL1244" t="str">
        <f>IF(AND(Audit_Data[[#This Row],[Recency]]&gt;=0,Audit_Data[[#This Row],[Recency]]&lt;=100),"Valid","Invalid")</f>
        <v>Valid</v>
      </c>
      <c r="AM1244" t="str">
        <f t="shared" si="253"/>
        <v>Valid</v>
      </c>
      <c r="AN1244" t="str">
        <f t="shared" si="254"/>
        <v>Valid</v>
      </c>
      <c r="AO1244" t="str">
        <f t="shared" si="255"/>
        <v>Valid</v>
      </c>
      <c r="AP1244" t="str">
        <f t="shared" si="256"/>
        <v>Valid</v>
      </c>
      <c r="AQ1244" t="str">
        <f>IF(Audit_Data[[#This Row],[Z_CostContact]]=3,"Valid","Invalid")</f>
        <v>Valid</v>
      </c>
      <c r="AR1244" t="str">
        <f t="shared" si="257"/>
        <v>Valid</v>
      </c>
      <c r="AS1244" t="str">
        <f t="shared" si="258"/>
        <v>Valid</v>
      </c>
    </row>
    <row r="1245" spans="1:45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 t="str">
        <f t="shared" si="247"/>
        <v>Ok</v>
      </c>
      <c r="AE1245" t="str">
        <f>IF(AND(Audit_Data[[#This Row],[Year_Birth]]&gt;=1900,Audit_Data[[#This Row],[Year_Birth]]&lt;=2010),"OK","Invalid")</f>
        <v>OK</v>
      </c>
      <c r="AF1245" t="str">
        <f t="shared" si="248"/>
        <v>Valid</v>
      </c>
      <c r="AG1245" t="str">
        <f t="shared" si="249"/>
        <v>Valid</v>
      </c>
      <c r="AH1245" t="str">
        <f t="shared" si="250"/>
        <v>Valid</v>
      </c>
      <c r="AI1245" t="str">
        <f t="shared" si="251"/>
        <v>Valid</v>
      </c>
      <c r="AJ1245" t="str">
        <f t="shared" si="252"/>
        <v>Valid</v>
      </c>
      <c r="AK1245" t="str">
        <f t="shared" si="259"/>
        <v xml:space="preserve">Valid </v>
      </c>
      <c r="AL1245" t="str">
        <f>IF(AND(Audit_Data[[#This Row],[Recency]]&gt;=0,Audit_Data[[#This Row],[Recency]]&lt;=100),"Valid","Invalid")</f>
        <v>Valid</v>
      </c>
      <c r="AM1245" t="str">
        <f t="shared" si="253"/>
        <v>Valid</v>
      </c>
      <c r="AN1245" t="str">
        <f t="shared" si="254"/>
        <v>Valid</v>
      </c>
      <c r="AO1245" t="str">
        <f t="shared" si="255"/>
        <v>Valid</v>
      </c>
      <c r="AP1245" t="str">
        <f t="shared" si="256"/>
        <v>Valid</v>
      </c>
      <c r="AQ1245" t="str">
        <f>IF(Audit_Data[[#This Row],[Z_CostContact]]=3,"Valid","Invalid")</f>
        <v>Valid</v>
      </c>
      <c r="AR1245" t="str">
        <f t="shared" si="257"/>
        <v>Valid</v>
      </c>
      <c r="AS1245" t="str">
        <f t="shared" si="258"/>
        <v>Valid</v>
      </c>
    </row>
    <row r="1246" spans="1:45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 t="str">
        <f t="shared" si="247"/>
        <v>Ok</v>
      </c>
      <c r="AE1246" t="str">
        <f>IF(AND(Audit_Data[[#This Row],[Year_Birth]]&gt;=1900,Audit_Data[[#This Row],[Year_Birth]]&lt;=2010),"OK","Invalid")</f>
        <v>OK</v>
      </c>
      <c r="AF1246" t="str">
        <f t="shared" si="248"/>
        <v>Valid</v>
      </c>
      <c r="AG1246" t="str">
        <f t="shared" si="249"/>
        <v>Valid</v>
      </c>
      <c r="AH1246" t="str">
        <f t="shared" si="250"/>
        <v>Valid</v>
      </c>
      <c r="AI1246" t="str">
        <f t="shared" si="251"/>
        <v>Valid</v>
      </c>
      <c r="AJ1246" t="str">
        <f t="shared" si="252"/>
        <v>Valid</v>
      </c>
      <c r="AK1246" t="str">
        <f t="shared" si="259"/>
        <v xml:space="preserve">Valid </v>
      </c>
      <c r="AL1246" t="str">
        <f>IF(AND(Audit_Data[[#This Row],[Recency]]&gt;=0,Audit_Data[[#This Row],[Recency]]&lt;=100),"Valid","Invalid")</f>
        <v>Valid</v>
      </c>
      <c r="AM1246" t="str">
        <f t="shared" si="253"/>
        <v>Valid</v>
      </c>
      <c r="AN1246" t="str">
        <f t="shared" si="254"/>
        <v>Valid</v>
      </c>
      <c r="AO1246" t="str">
        <f t="shared" si="255"/>
        <v>Valid</v>
      </c>
      <c r="AP1246" t="str">
        <f t="shared" si="256"/>
        <v>Valid</v>
      </c>
      <c r="AQ1246" t="str">
        <f>IF(Audit_Data[[#This Row],[Z_CostContact]]=3,"Valid","Invalid")</f>
        <v>Valid</v>
      </c>
      <c r="AR1246" t="str">
        <f t="shared" si="257"/>
        <v>Valid</v>
      </c>
      <c r="AS1246" t="str">
        <f t="shared" si="258"/>
        <v>Valid</v>
      </c>
    </row>
    <row r="1247" spans="1:45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 t="str">
        <f t="shared" si="247"/>
        <v>Ok</v>
      </c>
      <c r="AE1247" t="str">
        <f>IF(AND(Audit_Data[[#This Row],[Year_Birth]]&gt;=1900,Audit_Data[[#This Row],[Year_Birth]]&lt;=2010),"OK","Invalid")</f>
        <v>OK</v>
      </c>
      <c r="AF1247" t="str">
        <f t="shared" si="248"/>
        <v>Valid</v>
      </c>
      <c r="AG1247" t="str">
        <f t="shared" si="249"/>
        <v>Valid</v>
      </c>
      <c r="AH1247" t="str">
        <f t="shared" si="250"/>
        <v>Valid</v>
      </c>
      <c r="AI1247" t="str">
        <f t="shared" si="251"/>
        <v>Valid</v>
      </c>
      <c r="AJ1247" t="str">
        <f t="shared" si="252"/>
        <v>Valid</v>
      </c>
      <c r="AK1247" t="str">
        <f t="shared" si="259"/>
        <v xml:space="preserve">Valid </v>
      </c>
      <c r="AL1247" t="str">
        <f>IF(AND(Audit_Data[[#This Row],[Recency]]&gt;=0,Audit_Data[[#This Row],[Recency]]&lt;=100),"Valid","Invalid")</f>
        <v>Valid</v>
      </c>
      <c r="AM1247" t="str">
        <f t="shared" si="253"/>
        <v>Valid</v>
      </c>
      <c r="AN1247" t="str">
        <f t="shared" si="254"/>
        <v>Valid</v>
      </c>
      <c r="AO1247" t="str">
        <f t="shared" si="255"/>
        <v>Valid</v>
      </c>
      <c r="AP1247" t="str">
        <f t="shared" si="256"/>
        <v>Valid</v>
      </c>
      <c r="AQ1247" t="str">
        <f>IF(Audit_Data[[#This Row],[Z_CostContact]]=3,"Valid","Invalid")</f>
        <v>Valid</v>
      </c>
      <c r="AR1247" t="str">
        <f t="shared" si="257"/>
        <v>Valid</v>
      </c>
      <c r="AS1247" t="str">
        <f t="shared" si="258"/>
        <v>Valid</v>
      </c>
    </row>
    <row r="1248" spans="1:45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 t="str">
        <f t="shared" si="247"/>
        <v>Ok</v>
      </c>
      <c r="AE1248" t="str">
        <f>IF(AND(Audit_Data[[#This Row],[Year_Birth]]&gt;=1900,Audit_Data[[#This Row],[Year_Birth]]&lt;=2010),"OK","Invalid")</f>
        <v>OK</v>
      </c>
      <c r="AF1248" t="str">
        <f t="shared" si="248"/>
        <v>Valid</v>
      </c>
      <c r="AG1248" t="str">
        <f t="shared" si="249"/>
        <v>Valid</v>
      </c>
      <c r="AH1248" t="str">
        <f t="shared" si="250"/>
        <v>Valid</v>
      </c>
      <c r="AI1248" t="str">
        <f t="shared" si="251"/>
        <v>Valid</v>
      </c>
      <c r="AJ1248" t="str">
        <f t="shared" si="252"/>
        <v>Valid</v>
      </c>
      <c r="AK1248" t="str">
        <f t="shared" si="259"/>
        <v xml:space="preserve">Valid </v>
      </c>
      <c r="AL1248" t="str">
        <f>IF(AND(Audit_Data[[#This Row],[Recency]]&gt;=0,Audit_Data[[#This Row],[Recency]]&lt;=100),"Valid","Invalid")</f>
        <v>Valid</v>
      </c>
      <c r="AM1248" t="str">
        <f t="shared" si="253"/>
        <v>Valid</v>
      </c>
      <c r="AN1248" t="str">
        <f t="shared" si="254"/>
        <v>Valid</v>
      </c>
      <c r="AO1248" t="str">
        <f t="shared" si="255"/>
        <v>Valid</v>
      </c>
      <c r="AP1248" t="str">
        <f t="shared" si="256"/>
        <v>Valid</v>
      </c>
      <c r="AQ1248" t="str">
        <f>IF(Audit_Data[[#This Row],[Z_CostContact]]=3,"Valid","Invalid")</f>
        <v>Valid</v>
      </c>
      <c r="AR1248" t="str">
        <f t="shared" si="257"/>
        <v>Valid</v>
      </c>
      <c r="AS1248" t="str">
        <f t="shared" si="258"/>
        <v>Valid</v>
      </c>
    </row>
    <row r="1249" spans="1:45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 t="str">
        <f t="shared" si="247"/>
        <v>Ok</v>
      </c>
      <c r="AE1249" t="str">
        <f>IF(AND(Audit_Data[[#This Row],[Year_Birth]]&gt;=1900,Audit_Data[[#This Row],[Year_Birth]]&lt;=2010),"OK","Invalid")</f>
        <v>OK</v>
      </c>
      <c r="AF1249" t="str">
        <f t="shared" si="248"/>
        <v>Valid</v>
      </c>
      <c r="AG1249" t="str">
        <f t="shared" si="249"/>
        <v>Valid</v>
      </c>
      <c r="AH1249" t="str">
        <f t="shared" si="250"/>
        <v>Valid</v>
      </c>
      <c r="AI1249" t="str">
        <f t="shared" si="251"/>
        <v>Valid</v>
      </c>
      <c r="AJ1249" t="str">
        <f t="shared" si="252"/>
        <v>Valid</v>
      </c>
      <c r="AK1249" t="str">
        <f t="shared" si="259"/>
        <v xml:space="preserve">Valid </v>
      </c>
      <c r="AL1249" t="str">
        <f>IF(AND(Audit_Data[[#This Row],[Recency]]&gt;=0,Audit_Data[[#This Row],[Recency]]&lt;=100),"Valid","Invalid")</f>
        <v>Valid</v>
      </c>
      <c r="AM1249" t="str">
        <f t="shared" si="253"/>
        <v>Valid</v>
      </c>
      <c r="AN1249" t="str">
        <f t="shared" si="254"/>
        <v>Valid</v>
      </c>
      <c r="AO1249" t="str">
        <f t="shared" si="255"/>
        <v>Valid</v>
      </c>
      <c r="AP1249" t="str">
        <f t="shared" si="256"/>
        <v>Valid</v>
      </c>
      <c r="AQ1249" t="str">
        <f>IF(Audit_Data[[#This Row],[Z_CostContact]]=3,"Valid","Invalid")</f>
        <v>Valid</v>
      </c>
      <c r="AR1249" t="str">
        <f t="shared" si="257"/>
        <v>Valid</v>
      </c>
      <c r="AS1249" t="str">
        <f t="shared" si="258"/>
        <v>Valid</v>
      </c>
    </row>
    <row r="1250" spans="1:45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 t="str">
        <f t="shared" si="247"/>
        <v>Ok</v>
      </c>
      <c r="AE1250" t="str">
        <f>IF(AND(Audit_Data[[#This Row],[Year_Birth]]&gt;=1900,Audit_Data[[#This Row],[Year_Birth]]&lt;=2010),"OK","Invalid")</f>
        <v>OK</v>
      </c>
      <c r="AF1250" t="str">
        <f t="shared" si="248"/>
        <v>Valid</v>
      </c>
      <c r="AG1250" t="str">
        <f t="shared" si="249"/>
        <v>Valid</v>
      </c>
      <c r="AH1250" t="str">
        <f t="shared" si="250"/>
        <v>Valid</v>
      </c>
      <c r="AI1250" t="str">
        <f t="shared" si="251"/>
        <v>Valid</v>
      </c>
      <c r="AJ1250" t="str">
        <f t="shared" si="252"/>
        <v>Valid</v>
      </c>
      <c r="AK1250" t="str">
        <f t="shared" si="259"/>
        <v xml:space="preserve">Valid </v>
      </c>
      <c r="AL1250" t="str">
        <f>IF(AND(Audit_Data[[#This Row],[Recency]]&gt;=0,Audit_Data[[#This Row],[Recency]]&lt;=100),"Valid","Invalid")</f>
        <v>Valid</v>
      </c>
      <c r="AM1250" t="str">
        <f t="shared" si="253"/>
        <v>Valid</v>
      </c>
      <c r="AN1250" t="str">
        <f t="shared" si="254"/>
        <v>Valid</v>
      </c>
      <c r="AO1250" t="str">
        <f t="shared" si="255"/>
        <v>Valid</v>
      </c>
      <c r="AP1250" t="str">
        <f t="shared" si="256"/>
        <v>Valid</v>
      </c>
      <c r="AQ1250" t="str">
        <f>IF(Audit_Data[[#This Row],[Z_CostContact]]=3,"Valid","Invalid")</f>
        <v>Valid</v>
      </c>
      <c r="AR1250" t="str">
        <f t="shared" si="257"/>
        <v>Valid</v>
      </c>
      <c r="AS1250" t="str">
        <f t="shared" si="258"/>
        <v>Valid</v>
      </c>
    </row>
    <row r="1251" spans="1:45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 t="str">
        <f t="shared" si="247"/>
        <v>Ok</v>
      </c>
      <c r="AE1251" t="str">
        <f>IF(AND(Audit_Data[[#This Row],[Year_Birth]]&gt;=1900,Audit_Data[[#This Row],[Year_Birth]]&lt;=2010),"OK","Invalid")</f>
        <v>OK</v>
      </c>
      <c r="AF1251" t="str">
        <f t="shared" si="248"/>
        <v>Valid</v>
      </c>
      <c r="AG1251" t="str">
        <f t="shared" si="249"/>
        <v>Valid</v>
      </c>
      <c r="AH1251" t="str">
        <f t="shared" si="250"/>
        <v>Valid</v>
      </c>
      <c r="AI1251" t="str">
        <f t="shared" si="251"/>
        <v>Valid</v>
      </c>
      <c r="AJ1251" t="str">
        <f t="shared" si="252"/>
        <v>Valid</v>
      </c>
      <c r="AK1251" t="str">
        <f t="shared" si="259"/>
        <v xml:space="preserve">Valid </v>
      </c>
      <c r="AL1251" t="str">
        <f>IF(AND(Audit_Data[[#This Row],[Recency]]&gt;=0,Audit_Data[[#This Row],[Recency]]&lt;=100),"Valid","Invalid")</f>
        <v>Valid</v>
      </c>
      <c r="AM1251" t="str">
        <f t="shared" si="253"/>
        <v>Valid</v>
      </c>
      <c r="AN1251" t="str">
        <f t="shared" si="254"/>
        <v>Valid</v>
      </c>
      <c r="AO1251" t="str">
        <f t="shared" si="255"/>
        <v>Valid</v>
      </c>
      <c r="AP1251" t="str">
        <f t="shared" si="256"/>
        <v>Valid</v>
      </c>
      <c r="AQ1251" t="str">
        <f>IF(Audit_Data[[#This Row],[Z_CostContact]]=3,"Valid","Invalid")</f>
        <v>Valid</v>
      </c>
      <c r="AR1251" t="str">
        <f t="shared" si="257"/>
        <v>Valid</v>
      </c>
      <c r="AS1251" t="str">
        <f t="shared" si="258"/>
        <v>Valid</v>
      </c>
    </row>
    <row r="1252" spans="1:45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 t="str">
        <f t="shared" si="247"/>
        <v>Ok</v>
      </c>
      <c r="AE1252" t="str">
        <f>IF(AND(Audit_Data[[#This Row],[Year_Birth]]&gt;=1900,Audit_Data[[#This Row],[Year_Birth]]&lt;=2010),"OK","Invalid")</f>
        <v>OK</v>
      </c>
      <c r="AF1252" t="str">
        <f t="shared" si="248"/>
        <v>Valid</v>
      </c>
      <c r="AG1252" t="str">
        <f t="shared" si="249"/>
        <v>Valid</v>
      </c>
      <c r="AH1252" t="str">
        <f t="shared" si="250"/>
        <v>Valid</v>
      </c>
      <c r="AI1252" t="str">
        <f t="shared" si="251"/>
        <v>Valid</v>
      </c>
      <c r="AJ1252" t="str">
        <f t="shared" si="252"/>
        <v>Valid</v>
      </c>
      <c r="AK1252" t="str">
        <f t="shared" si="259"/>
        <v xml:space="preserve">Valid </v>
      </c>
      <c r="AL1252" t="str">
        <f>IF(AND(Audit_Data[[#This Row],[Recency]]&gt;=0,Audit_Data[[#This Row],[Recency]]&lt;=100),"Valid","Invalid")</f>
        <v>Valid</v>
      </c>
      <c r="AM1252" t="str">
        <f t="shared" si="253"/>
        <v>Valid</v>
      </c>
      <c r="AN1252" t="str">
        <f t="shared" si="254"/>
        <v>Valid</v>
      </c>
      <c r="AO1252" t="str">
        <f t="shared" si="255"/>
        <v>Valid</v>
      </c>
      <c r="AP1252" t="str">
        <f t="shared" si="256"/>
        <v>Valid</v>
      </c>
      <c r="AQ1252" t="str">
        <f>IF(Audit_Data[[#This Row],[Z_CostContact]]=3,"Valid","Invalid")</f>
        <v>Valid</v>
      </c>
      <c r="AR1252" t="str">
        <f t="shared" si="257"/>
        <v>Valid</v>
      </c>
      <c r="AS1252" t="str">
        <f t="shared" si="258"/>
        <v>Valid</v>
      </c>
    </row>
    <row r="1253" spans="1:45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 t="str">
        <f t="shared" si="247"/>
        <v>Ok</v>
      </c>
      <c r="AE1253" t="str">
        <f>IF(AND(Audit_Data[[#This Row],[Year_Birth]]&gt;=1900,Audit_Data[[#This Row],[Year_Birth]]&lt;=2010),"OK","Invalid")</f>
        <v>OK</v>
      </c>
      <c r="AF1253" t="str">
        <f t="shared" si="248"/>
        <v>Valid</v>
      </c>
      <c r="AG1253" t="str">
        <f t="shared" si="249"/>
        <v>Valid</v>
      </c>
      <c r="AH1253" t="str">
        <f t="shared" si="250"/>
        <v>Valid</v>
      </c>
      <c r="AI1253" t="str">
        <f t="shared" si="251"/>
        <v>Valid</v>
      </c>
      <c r="AJ1253" t="str">
        <f t="shared" si="252"/>
        <v>Valid</v>
      </c>
      <c r="AK1253" t="str">
        <f t="shared" si="259"/>
        <v xml:space="preserve">Valid </v>
      </c>
      <c r="AL1253" t="str">
        <f>IF(AND(Audit_Data[[#This Row],[Recency]]&gt;=0,Audit_Data[[#This Row],[Recency]]&lt;=100),"Valid","Invalid")</f>
        <v>Valid</v>
      </c>
      <c r="AM1253" t="str">
        <f t="shared" si="253"/>
        <v>Valid</v>
      </c>
      <c r="AN1253" t="str">
        <f t="shared" si="254"/>
        <v>Valid</v>
      </c>
      <c r="AO1253" t="str">
        <f t="shared" si="255"/>
        <v>Valid</v>
      </c>
      <c r="AP1253" t="str">
        <f t="shared" si="256"/>
        <v>Valid</v>
      </c>
      <c r="AQ1253" t="str">
        <f>IF(Audit_Data[[#This Row],[Z_CostContact]]=3,"Valid","Invalid")</f>
        <v>Valid</v>
      </c>
      <c r="AR1253" t="str">
        <f t="shared" si="257"/>
        <v>Valid</v>
      </c>
      <c r="AS1253" t="str">
        <f t="shared" si="258"/>
        <v>Valid</v>
      </c>
    </row>
    <row r="1254" spans="1:45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 t="str">
        <f t="shared" si="247"/>
        <v>Ok</v>
      </c>
      <c r="AE1254" t="str">
        <f>IF(AND(Audit_Data[[#This Row],[Year_Birth]]&gt;=1900,Audit_Data[[#This Row],[Year_Birth]]&lt;=2010),"OK","Invalid")</f>
        <v>OK</v>
      </c>
      <c r="AF1254" t="str">
        <f t="shared" si="248"/>
        <v>Valid</v>
      </c>
      <c r="AG1254" t="str">
        <f t="shared" si="249"/>
        <v>Valid</v>
      </c>
      <c r="AH1254" t="str">
        <f t="shared" si="250"/>
        <v>Valid</v>
      </c>
      <c r="AI1254" t="str">
        <f t="shared" si="251"/>
        <v>Valid</v>
      </c>
      <c r="AJ1254" t="str">
        <f t="shared" si="252"/>
        <v>Valid</v>
      </c>
      <c r="AK1254" t="str">
        <f t="shared" si="259"/>
        <v xml:space="preserve">Valid </v>
      </c>
      <c r="AL1254" t="str">
        <f>IF(AND(Audit_Data[[#This Row],[Recency]]&gt;=0,Audit_Data[[#This Row],[Recency]]&lt;=100),"Valid","Invalid")</f>
        <v>Valid</v>
      </c>
      <c r="AM1254" t="str">
        <f t="shared" si="253"/>
        <v>Valid</v>
      </c>
      <c r="AN1254" t="str">
        <f t="shared" si="254"/>
        <v>Valid</v>
      </c>
      <c r="AO1254" t="str">
        <f t="shared" si="255"/>
        <v>Valid</v>
      </c>
      <c r="AP1254" t="str">
        <f t="shared" si="256"/>
        <v>Valid</v>
      </c>
      <c r="AQ1254" t="str">
        <f>IF(Audit_Data[[#This Row],[Z_CostContact]]=3,"Valid","Invalid")</f>
        <v>Valid</v>
      </c>
      <c r="AR1254" t="str">
        <f t="shared" si="257"/>
        <v>Valid</v>
      </c>
      <c r="AS1254" t="str">
        <f t="shared" si="258"/>
        <v>Valid</v>
      </c>
    </row>
    <row r="1255" spans="1:45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 t="str">
        <f t="shared" si="247"/>
        <v>Ok</v>
      </c>
      <c r="AE1255" t="str">
        <f>IF(AND(Audit_Data[[#This Row],[Year_Birth]]&gt;=1900,Audit_Data[[#This Row],[Year_Birth]]&lt;=2010),"OK","Invalid")</f>
        <v>OK</v>
      </c>
      <c r="AF1255" t="str">
        <f t="shared" si="248"/>
        <v>Valid</v>
      </c>
      <c r="AG1255" t="str">
        <f t="shared" si="249"/>
        <v>Valid</v>
      </c>
      <c r="AH1255" t="str">
        <f t="shared" si="250"/>
        <v>Valid</v>
      </c>
      <c r="AI1255" t="str">
        <f t="shared" si="251"/>
        <v>Valid</v>
      </c>
      <c r="AJ1255" t="str">
        <f t="shared" si="252"/>
        <v>Valid</v>
      </c>
      <c r="AK1255" t="str">
        <f t="shared" si="259"/>
        <v xml:space="preserve">Valid </v>
      </c>
      <c r="AL1255" t="str">
        <f>IF(AND(Audit_Data[[#This Row],[Recency]]&gt;=0,Audit_Data[[#This Row],[Recency]]&lt;=100),"Valid","Invalid")</f>
        <v>Valid</v>
      </c>
      <c r="AM1255" t="str">
        <f t="shared" si="253"/>
        <v>Valid</v>
      </c>
      <c r="AN1255" t="str">
        <f t="shared" si="254"/>
        <v>Valid</v>
      </c>
      <c r="AO1255" t="str">
        <f t="shared" si="255"/>
        <v>Valid</v>
      </c>
      <c r="AP1255" t="str">
        <f t="shared" si="256"/>
        <v>Valid</v>
      </c>
      <c r="AQ1255" t="str">
        <f>IF(Audit_Data[[#This Row],[Z_CostContact]]=3,"Valid","Invalid")</f>
        <v>Valid</v>
      </c>
      <c r="AR1255" t="str">
        <f t="shared" si="257"/>
        <v>Valid</v>
      </c>
      <c r="AS1255" t="str">
        <f t="shared" si="258"/>
        <v>Valid</v>
      </c>
    </row>
    <row r="1256" spans="1:45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 t="str">
        <f t="shared" si="247"/>
        <v>Ok</v>
      </c>
      <c r="AE1256" t="str">
        <f>IF(AND(Audit_Data[[#This Row],[Year_Birth]]&gt;=1900,Audit_Data[[#This Row],[Year_Birth]]&lt;=2010),"OK","Invalid")</f>
        <v>OK</v>
      </c>
      <c r="AF1256" t="str">
        <f t="shared" si="248"/>
        <v>Valid</v>
      </c>
      <c r="AG1256" t="str">
        <f t="shared" si="249"/>
        <v>Valid</v>
      </c>
      <c r="AH1256" t="str">
        <f t="shared" si="250"/>
        <v>Valid</v>
      </c>
      <c r="AI1256" t="str">
        <f t="shared" si="251"/>
        <v>Valid</v>
      </c>
      <c r="AJ1256" t="str">
        <f t="shared" si="252"/>
        <v>Valid</v>
      </c>
      <c r="AK1256" t="str">
        <f t="shared" si="259"/>
        <v xml:space="preserve">Valid </v>
      </c>
      <c r="AL1256" t="str">
        <f>IF(AND(Audit_Data[[#This Row],[Recency]]&gt;=0,Audit_Data[[#This Row],[Recency]]&lt;=100),"Valid","Invalid")</f>
        <v>Valid</v>
      </c>
      <c r="AM1256" t="str">
        <f t="shared" si="253"/>
        <v>Valid</v>
      </c>
      <c r="AN1256" t="str">
        <f t="shared" si="254"/>
        <v>Valid</v>
      </c>
      <c r="AO1256" t="str">
        <f t="shared" si="255"/>
        <v>Valid</v>
      </c>
      <c r="AP1256" t="str">
        <f t="shared" si="256"/>
        <v>Valid</v>
      </c>
      <c r="AQ1256" t="str">
        <f>IF(Audit_Data[[#This Row],[Z_CostContact]]=3,"Valid","Invalid")</f>
        <v>Valid</v>
      </c>
      <c r="AR1256" t="str">
        <f t="shared" si="257"/>
        <v>Valid</v>
      </c>
      <c r="AS1256" t="str">
        <f t="shared" si="258"/>
        <v>Valid</v>
      </c>
    </row>
    <row r="1257" spans="1:45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 t="str">
        <f t="shared" si="247"/>
        <v>Ok</v>
      </c>
      <c r="AE1257" t="str">
        <f>IF(AND(Audit_Data[[#This Row],[Year_Birth]]&gt;=1900,Audit_Data[[#This Row],[Year_Birth]]&lt;=2010),"OK","Invalid")</f>
        <v>OK</v>
      </c>
      <c r="AF1257" t="str">
        <f t="shared" si="248"/>
        <v>Valid</v>
      </c>
      <c r="AG1257" t="str">
        <f t="shared" si="249"/>
        <v>Valid</v>
      </c>
      <c r="AH1257" t="str">
        <f t="shared" si="250"/>
        <v>Valid</v>
      </c>
      <c r="AI1257" t="str">
        <f t="shared" si="251"/>
        <v>Valid</v>
      </c>
      <c r="AJ1257" t="str">
        <f t="shared" si="252"/>
        <v>Valid</v>
      </c>
      <c r="AK1257" t="str">
        <f t="shared" si="259"/>
        <v xml:space="preserve">Valid </v>
      </c>
      <c r="AL1257" t="str">
        <f>IF(AND(Audit_Data[[#This Row],[Recency]]&gt;=0,Audit_Data[[#This Row],[Recency]]&lt;=100),"Valid","Invalid")</f>
        <v>Valid</v>
      </c>
      <c r="AM1257" t="str">
        <f t="shared" si="253"/>
        <v>Valid</v>
      </c>
      <c r="AN1257" t="str">
        <f t="shared" si="254"/>
        <v>Valid</v>
      </c>
      <c r="AO1257" t="str">
        <f t="shared" si="255"/>
        <v>Valid</v>
      </c>
      <c r="AP1257" t="str">
        <f t="shared" si="256"/>
        <v>Valid</v>
      </c>
      <c r="AQ1257" t="str">
        <f>IF(Audit_Data[[#This Row],[Z_CostContact]]=3,"Valid","Invalid")</f>
        <v>Valid</v>
      </c>
      <c r="AR1257" t="str">
        <f t="shared" si="257"/>
        <v>Valid</v>
      </c>
      <c r="AS1257" t="str">
        <f t="shared" si="258"/>
        <v>Valid</v>
      </c>
    </row>
    <row r="1258" spans="1:45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 t="str">
        <f t="shared" si="247"/>
        <v>Ok</v>
      </c>
      <c r="AE1258" t="str">
        <f>IF(AND(Audit_Data[[#This Row],[Year_Birth]]&gt;=1900,Audit_Data[[#This Row],[Year_Birth]]&lt;=2010),"OK","Invalid")</f>
        <v>OK</v>
      </c>
      <c r="AF1258" t="str">
        <f t="shared" si="248"/>
        <v>Valid</v>
      </c>
      <c r="AG1258" t="str">
        <f t="shared" si="249"/>
        <v>Valid</v>
      </c>
      <c r="AH1258" t="str">
        <f t="shared" si="250"/>
        <v>Valid</v>
      </c>
      <c r="AI1258" t="str">
        <f t="shared" si="251"/>
        <v>Valid</v>
      </c>
      <c r="AJ1258" t="str">
        <f t="shared" si="252"/>
        <v>Valid</v>
      </c>
      <c r="AK1258" t="str">
        <f t="shared" si="259"/>
        <v xml:space="preserve">Valid </v>
      </c>
      <c r="AL1258" t="str">
        <f>IF(AND(Audit_Data[[#This Row],[Recency]]&gt;=0,Audit_Data[[#This Row],[Recency]]&lt;=100),"Valid","Invalid")</f>
        <v>Valid</v>
      </c>
      <c r="AM1258" t="str">
        <f t="shared" si="253"/>
        <v>Valid</v>
      </c>
      <c r="AN1258" t="str">
        <f t="shared" si="254"/>
        <v>Valid</v>
      </c>
      <c r="AO1258" t="str">
        <f t="shared" si="255"/>
        <v>Valid</v>
      </c>
      <c r="AP1258" t="str">
        <f t="shared" si="256"/>
        <v>Valid</v>
      </c>
      <c r="AQ1258" t="str">
        <f>IF(Audit_Data[[#This Row],[Z_CostContact]]=3,"Valid","Invalid")</f>
        <v>Valid</v>
      </c>
      <c r="AR1258" t="str">
        <f t="shared" si="257"/>
        <v>Valid</v>
      </c>
      <c r="AS1258" t="str">
        <f t="shared" si="258"/>
        <v>Valid</v>
      </c>
    </row>
    <row r="1259" spans="1:45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 t="str">
        <f t="shared" si="247"/>
        <v>Ok</v>
      </c>
      <c r="AE1259" t="str">
        <f>IF(AND(Audit_Data[[#This Row],[Year_Birth]]&gt;=1900,Audit_Data[[#This Row],[Year_Birth]]&lt;=2010),"OK","Invalid")</f>
        <v>OK</v>
      </c>
      <c r="AF1259" t="str">
        <f t="shared" si="248"/>
        <v>Valid</v>
      </c>
      <c r="AG1259" t="str">
        <f t="shared" si="249"/>
        <v>Valid</v>
      </c>
      <c r="AH1259" t="str">
        <f t="shared" si="250"/>
        <v>Valid</v>
      </c>
      <c r="AI1259" t="str">
        <f t="shared" si="251"/>
        <v>Valid</v>
      </c>
      <c r="AJ1259" t="str">
        <f t="shared" si="252"/>
        <v>Valid</v>
      </c>
      <c r="AK1259" t="str">
        <f t="shared" si="259"/>
        <v xml:space="preserve">Valid </v>
      </c>
      <c r="AL1259" t="str">
        <f>IF(AND(Audit_Data[[#This Row],[Recency]]&gt;=0,Audit_Data[[#This Row],[Recency]]&lt;=100),"Valid","Invalid")</f>
        <v>Valid</v>
      </c>
      <c r="AM1259" t="str">
        <f t="shared" si="253"/>
        <v>Valid</v>
      </c>
      <c r="AN1259" t="str">
        <f t="shared" si="254"/>
        <v>Valid</v>
      </c>
      <c r="AO1259" t="str">
        <f t="shared" si="255"/>
        <v>Valid</v>
      </c>
      <c r="AP1259" t="str">
        <f t="shared" si="256"/>
        <v>Valid</v>
      </c>
      <c r="AQ1259" t="str">
        <f>IF(Audit_Data[[#This Row],[Z_CostContact]]=3,"Valid","Invalid")</f>
        <v>Valid</v>
      </c>
      <c r="AR1259" t="str">
        <f t="shared" si="257"/>
        <v>Valid</v>
      </c>
      <c r="AS1259" t="str">
        <f t="shared" si="258"/>
        <v>Valid</v>
      </c>
    </row>
    <row r="1260" spans="1:45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 t="str">
        <f t="shared" si="247"/>
        <v>Ok</v>
      </c>
      <c r="AE1260" t="str">
        <f>IF(AND(Audit_Data[[#This Row],[Year_Birth]]&gt;=1900,Audit_Data[[#This Row],[Year_Birth]]&lt;=2010),"OK","Invalid")</f>
        <v>OK</v>
      </c>
      <c r="AF1260" t="str">
        <f t="shared" si="248"/>
        <v>Valid</v>
      </c>
      <c r="AG1260" t="str">
        <f t="shared" si="249"/>
        <v>Valid</v>
      </c>
      <c r="AH1260" t="str">
        <f t="shared" si="250"/>
        <v>Valid</v>
      </c>
      <c r="AI1260" t="str">
        <f t="shared" si="251"/>
        <v>Valid</v>
      </c>
      <c r="AJ1260" t="str">
        <f t="shared" si="252"/>
        <v>Valid</v>
      </c>
      <c r="AK1260" t="str">
        <f t="shared" si="259"/>
        <v xml:space="preserve">Valid </v>
      </c>
      <c r="AL1260" t="str">
        <f>IF(AND(Audit_Data[[#This Row],[Recency]]&gt;=0,Audit_Data[[#This Row],[Recency]]&lt;=100),"Valid","Invalid")</f>
        <v>Valid</v>
      </c>
      <c r="AM1260" t="str">
        <f t="shared" si="253"/>
        <v>Valid</v>
      </c>
      <c r="AN1260" t="str">
        <f t="shared" si="254"/>
        <v>Valid</v>
      </c>
      <c r="AO1260" t="str">
        <f t="shared" si="255"/>
        <v>Valid</v>
      </c>
      <c r="AP1260" t="str">
        <f t="shared" si="256"/>
        <v>Valid</v>
      </c>
      <c r="AQ1260" t="str">
        <f>IF(Audit_Data[[#This Row],[Z_CostContact]]=3,"Valid","Invalid")</f>
        <v>Valid</v>
      </c>
      <c r="AR1260" t="str">
        <f t="shared" si="257"/>
        <v>Valid</v>
      </c>
      <c r="AS1260" t="str">
        <f t="shared" si="258"/>
        <v>Valid</v>
      </c>
    </row>
    <row r="1261" spans="1:45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 t="str">
        <f t="shared" si="247"/>
        <v>Ok</v>
      </c>
      <c r="AE1261" t="str">
        <f>IF(AND(Audit_Data[[#This Row],[Year_Birth]]&gt;=1900,Audit_Data[[#This Row],[Year_Birth]]&lt;=2010),"OK","Invalid")</f>
        <v>OK</v>
      </c>
      <c r="AF1261" t="str">
        <f t="shared" si="248"/>
        <v>Valid</v>
      </c>
      <c r="AG1261" t="str">
        <f t="shared" si="249"/>
        <v>Valid</v>
      </c>
      <c r="AH1261" t="str">
        <f t="shared" si="250"/>
        <v>Valid</v>
      </c>
      <c r="AI1261" t="str">
        <f t="shared" si="251"/>
        <v>Valid</v>
      </c>
      <c r="AJ1261" t="str">
        <f t="shared" si="252"/>
        <v>Valid</v>
      </c>
      <c r="AK1261" t="str">
        <f t="shared" si="259"/>
        <v xml:space="preserve">Valid </v>
      </c>
      <c r="AL1261" t="str">
        <f>IF(AND(Audit_Data[[#This Row],[Recency]]&gt;=0,Audit_Data[[#This Row],[Recency]]&lt;=100),"Valid","Invalid")</f>
        <v>Valid</v>
      </c>
      <c r="AM1261" t="str">
        <f t="shared" si="253"/>
        <v>Valid</v>
      </c>
      <c r="AN1261" t="str">
        <f t="shared" si="254"/>
        <v>Valid</v>
      </c>
      <c r="AO1261" t="str">
        <f t="shared" si="255"/>
        <v>Valid</v>
      </c>
      <c r="AP1261" t="str">
        <f t="shared" si="256"/>
        <v>Valid</v>
      </c>
      <c r="AQ1261" t="str">
        <f>IF(Audit_Data[[#This Row],[Z_CostContact]]=3,"Valid","Invalid")</f>
        <v>Valid</v>
      </c>
      <c r="AR1261" t="str">
        <f t="shared" si="257"/>
        <v>Valid</v>
      </c>
      <c r="AS1261" t="str">
        <f t="shared" si="258"/>
        <v>Valid</v>
      </c>
    </row>
    <row r="1262" spans="1:45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 t="str">
        <f t="shared" si="247"/>
        <v>Ok</v>
      </c>
      <c r="AE1262" t="str">
        <f>IF(AND(Audit_Data[[#This Row],[Year_Birth]]&gt;=1900,Audit_Data[[#This Row],[Year_Birth]]&lt;=2010),"OK","Invalid")</f>
        <v>OK</v>
      </c>
      <c r="AF1262" t="str">
        <f t="shared" si="248"/>
        <v>Valid</v>
      </c>
      <c r="AG1262" t="str">
        <f t="shared" si="249"/>
        <v>Valid</v>
      </c>
      <c r="AH1262" t="str">
        <f t="shared" si="250"/>
        <v>Valid</v>
      </c>
      <c r="AI1262" t="str">
        <f t="shared" si="251"/>
        <v>Valid</v>
      </c>
      <c r="AJ1262" t="str">
        <f t="shared" si="252"/>
        <v>Valid</v>
      </c>
      <c r="AK1262" t="str">
        <f t="shared" si="259"/>
        <v xml:space="preserve">Valid </v>
      </c>
      <c r="AL1262" t="str">
        <f>IF(AND(Audit_Data[[#This Row],[Recency]]&gt;=0,Audit_Data[[#This Row],[Recency]]&lt;=100),"Valid","Invalid")</f>
        <v>Valid</v>
      </c>
      <c r="AM1262" t="str">
        <f t="shared" si="253"/>
        <v>Valid</v>
      </c>
      <c r="AN1262" t="str">
        <f t="shared" si="254"/>
        <v>Valid</v>
      </c>
      <c r="AO1262" t="str">
        <f t="shared" si="255"/>
        <v>Valid</v>
      </c>
      <c r="AP1262" t="str">
        <f t="shared" si="256"/>
        <v>Valid</v>
      </c>
      <c r="AQ1262" t="str">
        <f>IF(Audit_Data[[#This Row],[Z_CostContact]]=3,"Valid","Invalid")</f>
        <v>Valid</v>
      </c>
      <c r="AR1262" t="str">
        <f t="shared" si="257"/>
        <v>Valid</v>
      </c>
      <c r="AS1262" t="str">
        <f t="shared" si="258"/>
        <v>Valid</v>
      </c>
    </row>
    <row r="1263" spans="1:45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 t="str">
        <f t="shared" si="247"/>
        <v>Ok</v>
      </c>
      <c r="AE1263" t="str">
        <f>IF(AND(Audit_Data[[#This Row],[Year_Birth]]&gt;=1900,Audit_Data[[#This Row],[Year_Birth]]&lt;=2010),"OK","Invalid")</f>
        <v>OK</v>
      </c>
      <c r="AF1263" t="str">
        <f t="shared" si="248"/>
        <v>Valid</v>
      </c>
      <c r="AG1263" t="str">
        <f t="shared" si="249"/>
        <v>Valid</v>
      </c>
      <c r="AH1263" t="str">
        <f t="shared" si="250"/>
        <v>Valid</v>
      </c>
      <c r="AI1263" t="str">
        <f t="shared" si="251"/>
        <v>Valid</v>
      </c>
      <c r="AJ1263" t="str">
        <f t="shared" si="252"/>
        <v>Valid</v>
      </c>
      <c r="AK1263" t="str">
        <f t="shared" si="259"/>
        <v xml:space="preserve">Valid </v>
      </c>
      <c r="AL1263" t="str">
        <f>IF(AND(Audit_Data[[#This Row],[Recency]]&gt;=0,Audit_Data[[#This Row],[Recency]]&lt;=100),"Valid","Invalid")</f>
        <v>Valid</v>
      </c>
      <c r="AM1263" t="str">
        <f t="shared" si="253"/>
        <v>Valid</v>
      </c>
      <c r="AN1263" t="str">
        <f t="shared" si="254"/>
        <v>Valid</v>
      </c>
      <c r="AO1263" t="str">
        <f t="shared" si="255"/>
        <v>Valid</v>
      </c>
      <c r="AP1263" t="str">
        <f t="shared" si="256"/>
        <v>Valid</v>
      </c>
      <c r="AQ1263" t="str">
        <f>IF(Audit_Data[[#This Row],[Z_CostContact]]=3,"Valid","Invalid")</f>
        <v>Valid</v>
      </c>
      <c r="AR1263" t="str">
        <f t="shared" si="257"/>
        <v>Valid</v>
      </c>
      <c r="AS1263" t="str">
        <f t="shared" si="258"/>
        <v>Valid</v>
      </c>
    </row>
    <row r="1264" spans="1:45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 t="str">
        <f t="shared" si="247"/>
        <v>Ok</v>
      </c>
      <c r="AE1264" t="str">
        <f>IF(AND(Audit_Data[[#This Row],[Year_Birth]]&gt;=1900,Audit_Data[[#This Row],[Year_Birth]]&lt;=2010),"OK","Invalid")</f>
        <v>OK</v>
      </c>
      <c r="AF1264" t="str">
        <f t="shared" si="248"/>
        <v>Valid</v>
      </c>
      <c r="AG1264" t="str">
        <f t="shared" si="249"/>
        <v>Valid</v>
      </c>
      <c r="AH1264" t="str">
        <f t="shared" si="250"/>
        <v>Valid</v>
      </c>
      <c r="AI1264" t="str">
        <f t="shared" si="251"/>
        <v>Valid</v>
      </c>
      <c r="AJ1264" t="str">
        <f t="shared" si="252"/>
        <v>Valid</v>
      </c>
      <c r="AK1264" t="str">
        <f t="shared" si="259"/>
        <v xml:space="preserve">Valid </v>
      </c>
      <c r="AL1264" t="str">
        <f>IF(AND(Audit_Data[[#This Row],[Recency]]&gt;=0,Audit_Data[[#This Row],[Recency]]&lt;=100),"Valid","Invalid")</f>
        <v>Valid</v>
      </c>
      <c r="AM1264" t="str">
        <f t="shared" si="253"/>
        <v>Valid</v>
      </c>
      <c r="AN1264" t="str">
        <f t="shared" si="254"/>
        <v>Valid</v>
      </c>
      <c r="AO1264" t="str">
        <f t="shared" si="255"/>
        <v>Valid</v>
      </c>
      <c r="AP1264" t="str">
        <f t="shared" si="256"/>
        <v>Valid</v>
      </c>
      <c r="AQ1264" t="str">
        <f>IF(Audit_Data[[#This Row],[Z_CostContact]]=3,"Valid","Invalid")</f>
        <v>Valid</v>
      </c>
      <c r="AR1264" t="str">
        <f t="shared" si="257"/>
        <v>Valid</v>
      </c>
      <c r="AS1264" t="str">
        <f t="shared" si="258"/>
        <v>Valid</v>
      </c>
    </row>
    <row r="1265" spans="1:45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 t="str">
        <f t="shared" si="247"/>
        <v>Ok</v>
      </c>
      <c r="AE1265" t="str">
        <f>IF(AND(Audit_Data[[#This Row],[Year_Birth]]&gt;=1900,Audit_Data[[#This Row],[Year_Birth]]&lt;=2010),"OK","Invalid")</f>
        <v>OK</v>
      </c>
      <c r="AF1265" t="str">
        <f t="shared" si="248"/>
        <v>Valid</v>
      </c>
      <c r="AG1265" t="str">
        <f t="shared" si="249"/>
        <v>Valid</v>
      </c>
      <c r="AH1265" t="str">
        <f t="shared" si="250"/>
        <v>Valid</v>
      </c>
      <c r="AI1265" t="str">
        <f t="shared" si="251"/>
        <v>Valid</v>
      </c>
      <c r="AJ1265" t="str">
        <f t="shared" si="252"/>
        <v>Valid</v>
      </c>
      <c r="AK1265" t="str">
        <f t="shared" si="259"/>
        <v xml:space="preserve">Valid </v>
      </c>
      <c r="AL1265" t="str">
        <f>IF(AND(Audit_Data[[#This Row],[Recency]]&gt;=0,Audit_Data[[#This Row],[Recency]]&lt;=100),"Valid","Invalid")</f>
        <v>Valid</v>
      </c>
      <c r="AM1265" t="str">
        <f t="shared" si="253"/>
        <v>Valid</v>
      </c>
      <c r="AN1265" t="str">
        <f t="shared" si="254"/>
        <v>Valid</v>
      </c>
      <c r="AO1265" t="str">
        <f t="shared" si="255"/>
        <v>Valid</v>
      </c>
      <c r="AP1265" t="str">
        <f t="shared" si="256"/>
        <v>Valid</v>
      </c>
      <c r="AQ1265" t="str">
        <f>IF(Audit_Data[[#This Row],[Z_CostContact]]=3,"Valid","Invalid")</f>
        <v>Valid</v>
      </c>
      <c r="AR1265" t="str">
        <f t="shared" si="257"/>
        <v>Valid</v>
      </c>
      <c r="AS1265" t="str">
        <f t="shared" si="258"/>
        <v>Valid</v>
      </c>
    </row>
    <row r="1266" spans="1:45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 t="str">
        <f t="shared" si="247"/>
        <v>Ok</v>
      </c>
      <c r="AE1266" t="str">
        <f>IF(AND(Audit_Data[[#This Row],[Year_Birth]]&gt;=1900,Audit_Data[[#This Row],[Year_Birth]]&lt;=2010),"OK","Invalid")</f>
        <v>OK</v>
      </c>
      <c r="AF1266" t="str">
        <f t="shared" si="248"/>
        <v>Valid</v>
      </c>
      <c r="AG1266" t="str">
        <f t="shared" si="249"/>
        <v>Valid</v>
      </c>
      <c r="AH1266" t="str">
        <f t="shared" si="250"/>
        <v>Valid</v>
      </c>
      <c r="AI1266" t="str">
        <f t="shared" si="251"/>
        <v>Valid</v>
      </c>
      <c r="AJ1266" t="str">
        <f t="shared" si="252"/>
        <v>Valid</v>
      </c>
      <c r="AK1266" t="str">
        <f t="shared" si="259"/>
        <v xml:space="preserve">Valid </v>
      </c>
      <c r="AL1266" t="str">
        <f>IF(AND(Audit_Data[[#This Row],[Recency]]&gt;=0,Audit_Data[[#This Row],[Recency]]&lt;=100),"Valid","Invalid")</f>
        <v>Valid</v>
      </c>
      <c r="AM1266" t="str">
        <f t="shared" si="253"/>
        <v>Valid</v>
      </c>
      <c r="AN1266" t="str">
        <f t="shared" si="254"/>
        <v>Valid</v>
      </c>
      <c r="AO1266" t="str">
        <f t="shared" si="255"/>
        <v>Valid</v>
      </c>
      <c r="AP1266" t="str">
        <f t="shared" si="256"/>
        <v>Valid</v>
      </c>
      <c r="AQ1266" t="str">
        <f>IF(Audit_Data[[#This Row],[Z_CostContact]]=3,"Valid","Invalid")</f>
        <v>Valid</v>
      </c>
      <c r="AR1266" t="str">
        <f t="shared" si="257"/>
        <v>Valid</v>
      </c>
      <c r="AS1266" t="str">
        <f t="shared" si="258"/>
        <v>Valid</v>
      </c>
    </row>
    <row r="1267" spans="1:45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 t="str">
        <f t="shared" si="247"/>
        <v>Ok</v>
      </c>
      <c r="AE1267" t="str">
        <f>IF(AND(Audit_Data[[#This Row],[Year_Birth]]&gt;=1900,Audit_Data[[#This Row],[Year_Birth]]&lt;=2010),"OK","Invalid")</f>
        <v>OK</v>
      </c>
      <c r="AF1267" t="str">
        <f t="shared" si="248"/>
        <v>Valid</v>
      </c>
      <c r="AG1267" t="str">
        <f t="shared" si="249"/>
        <v>Valid</v>
      </c>
      <c r="AH1267" t="str">
        <f t="shared" si="250"/>
        <v>Valid</v>
      </c>
      <c r="AI1267" t="str">
        <f t="shared" si="251"/>
        <v>Valid</v>
      </c>
      <c r="AJ1267" t="str">
        <f t="shared" si="252"/>
        <v>Valid</v>
      </c>
      <c r="AK1267" t="str">
        <f t="shared" si="259"/>
        <v xml:space="preserve">Valid </v>
      </c>
      <c r="AL1267" t="str">
        <f>IF(AND(Audit_Data[[#This Row],[Recency]]&gt;=0,Audit_Data[[#This Row],[Recency]]&lt;=100),"Valid","Invalid")</f>
        <v>Valid</v>
      </c>
      <c r="AM1267" t="str">
        <f t="shared" si="253"/>
        <v>Valid</v>
      </c>
      <c r="AN1267" t="str">
        <f t="shared" si="254"/>
        <v>Valid</v>
      </c>
      <c r="AO1267" t="str">
        <f t="shared" si="255"/>
        <v>Valid</v>
      </c>
      <c r="AP1267" t="str">
        <f t="shared" si="256"/>
        <v>Valid</v>
      </c>
      <c r="AQ1267" t="str">
        <f>IF(Audit_Data[[#This Row],[Z_CostContact]]=3,"Valid","Invalid")</f>
        <v>Valid</v>
      </c>
      <c r="AR1267" t="str">
        <f t="shared" si="257"/>
        <v>Valid</v>
      </c>
      <c r="AS1267" t="str">
        <f t="shared" si="258"/>
        <v>Valid</v>
      </c>
    </row>
    <row r="1268" spans="1:45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 t="str">
        <f t="shared" si="247"/>
        <v>Ok</v>
      </c>
      <c r="AE1268" t="str">
        <f>IF(AND(Audit_Data[[#This Row],[Year_Birth]]&gt;=1900,Audit_Data[[#This Row],[Year_Birth]]&lt;=2010),"OK","Invalid")</f>
        <v>OK</v>
      </c>
      <c r="AF1268" t="str">
        <f t="shared" si="248"/>
        <v>Valid</v>
      </c>
      <c r="AG1268" t="str">
        <f t="shared" si="249"/>
        <v>Valid</v>
      </c>
      <c r="AH1268" t="str">
        <f t="shared" si="250"/>
        <v>Valid</v>
      </c>
      <c r="AI1268" t="str">
        <f t="shared" si="251"/>
        <v>Valid</v>
      </c>
      <c r="AJ1268" t="str">
        <f t="shared" si="252"/>
        <v>Valid</v>
      </c>
      <c r="AK1268" t="str">
        <f t="shared" si="259"/>
        <v xml:space="preserve">Valid </v>
      </c>
      <c r="AL1268" t="str">
        <f>IF(AND(Audit_Data[[#This Row],[Recency]]&gt;=0,Audit_Data[[#This Row],[Recency]]&lt;=100),"Valid","Invalid")</f>
        <v>Valid</v>
      </c>
      <c r="AM1268" t="str">
        <f t="shared" si="253"/>
        <v>Valid</v>
      </c>
      <c r="AN1268" t="str">
        <f t="shared" si="254"/>
        <v>Valid</v>
      </c>
      <c r="AO1268" t="str">
        <f t="shared" si="255"/>
        <v>Valid</v>
      </c>
      <c r="AP1268" t="str">
        <f t="shared" si="256"/>
        <v>Valid</v>
      </c>
      <c r="AQ1268" t="str">
        <f>IF(Audit_Data[[#This Row],[Z_CostContact]]=3,"Valid","Invalid")</f>
        <v>Valid</v>
      </c>
      <c r="AR1268" t="str">
        <f t="shared" si="257"/>
        <v>Valid</v>
      </c>
      <c r="AS1268" t="str">
        <f t="shared" si="258"/>
        <v>Valid</v>
      </c>
    </row>
    <row r="1269" spans="1:45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 t="str">
        <f t="shared" si="247"/>
        <v>Ok</v>
      </c>
      <c r="AE1269" t="str">
        <f>IF(AND(Audit_Data[[#This Row],[Year_Birth]]&gt;=1900,Audit_Data[[#This Row],[Year_Birth]]&lt;=2010),"OK","Invalid")</f>
        <v>OK</v>
      </c>
      <c r="AF1269" t="str">
        <f t="shared" si="248"/>
        <v>Valid</v>
      </c>
      <c r="AG1269" t="str">
        <f t="shared" si="249"/>
        <v>Valid</v>
      </c>
      <c r="AH1269" t="str">
        <f t="shared" si="250"/>
        <v>Valid</v>
      </c>
      <c r="AI1269" t="str">
        <f t="shared" si="251"/>
        <v>Valid</v>
      </c>
      <c r="AJ1269" t="str">
        <f t="shared" si="252"/>
        <v>Valid</v>
      </c>
      <c r="AK1269" t="str">
        <f t="shared" si="259"/>
        <v xml:space="preserve">Valid </v>
      </c>
      <c r="AL1269" t="str">
        <f>IF(AND(Audit_Data[[#This Row],[Recency]]&gt;=0,Audit_Data[[#This Row],[Recency]]&lt;=100),"Valid","Invalid")</f>
        <v>Valid</v>
      </c>
      <c r="AM1269" t="str">
        <f t="shared" si="253"/>
        <v>Valid</v>
      </c>
      <c r="AN1269" t="str">
        <f t="shared" si="254"/>
        <v>Valid</v>
      </c>
      <c r="AO1269" t="str">
        <f t="shared" si="255"/>
        <v>Valid</v>
      </c>
      <c r="AP1269" t="str">
        <f t="shared" si="256"/>
        <v>Valid</v>
      </c>
      <c r="AQ1269" t="str">
        <f>IF(Audit_Data[[#This Row],[Z_CostContact]]=3,"Valid","Invalid")</f>
        <v>Valid</v>
      </c>
      <c r="AR1269" t="str">
        <f t="shared" si="257"/>
        <v>Valid</v>
      </c>
      <c r="AS1269" t="str">
        <f t="shared" si="258"/>
        <v>Valid</v>
      </c>
    </row>
    <row r="1270" spans="1:45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 t="str">
        <f t="shared" si="247"/>
        <v>Ok</v>
      </c>
      <c r="AE1270" t="str">
        <f>IF(AND(Audit_Data[[#This Row],[Year_Birth]]&gt;=1900,Audit_Data[[#This Row],[Year_Birth]]&lt;=2010),"OK","Invalid")</f>
        <v>OK</v>
      </c>
      <c r="AF1270" t="str">
        <f t="shared" si="248"/>
        <v>Valid</v>
      </c>
      <c r="AG1270" t="str">
        <f t="shared" si="249"/>
        <v>Valid</v>
      </c>
      <c r="AH1270" t="str">
        <f t="shared" si="250"/>
        <v>Valid</v>
      </c>
      <c r="AI1270" t="str">
        <f t="shared" si="251"/>
        <v>Valid</v>
      </c>
      <c r="AJ1270" t="str">
        <f t="shared" si="252"/>
        <v>Valid</v>
      </c>
      <c r="AK1270" t="str">
        <f t="shared" si="259"/>
        <v xml:space="preserve">Valid </v>
      </c>
      <c r="AL1270" t="str">
        <f>IF(AND(Audit_Data[[#This Row],[Recency]]&gt;=0,Audit_Data[[#This Row],[Recency]]&lt;=100),"Valid","Invalid")</f>
        <v>Valid</v>
      </c>
      <c r="AM1270" t="str">
        <f t="shared" si="253"/>
        <v>Valid</v>
      </c>
      <c r="AN1270" t="str">
        <f t="shared" si="254"/>
        <v>Valid</v>
      </c>
      <c r="AO1270" t="str">
        <f t="shared" si="255"/>
        <v>Valid</v>
      </c>
      <c r="AP1270" t="str">
        <f t="shared" si="256"/>
        <v>Valid</v>
      </c>
      <c r="AQ1270" t="str">
        <f>IF(Audit_Data[[#This Row],[Z_CostContact]]=3,"Valid","Invalid")</f>
        <v>Valid</v>
      </c>
      <c r="AR1270" t="str">
        <f t="shared" si="257"/>
        <v>Valid</v>
      </c>
      <c r="AS1270" t="str">
        <f t="shared" si="258"/>
        <v>Valid</v>
      </c>
    </row>
    <row r="1271" spans="1:45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 t="str">
        <f t="shared" si="247"/>
        <v>Ok</v>
      </c>
      <c r="AE1271" t="str">
        <f>IF(AND(Audit_Data[[#This Row],[Year_Birth]]&gt;=1900,Audit_Data[[#This Row],[Year_Birth]]&lt;=2010),"OK","Invalid")</f>
        <v>OK</v>
      </c>
      <c r="AF1271" t="str">
        <f t="shared" si="248"/>
        <v>Valid</v>
      </c>
      <c r="AG1271" t="str">
        <f t="shared" si="249"/>
        <v>Valid</v>
      </c>
      <c r="AH1271" t="str">
        <f t="shared" si="250"/>
        <v>Valid</v>
      </c>
      <c r="AI1271" t="str">
        <f t="shared" si="251"/>
        <v>Valid</v>
      </c>
      <c r="AJ1271" t="str">
        <f t="shared" si="252"/>
        <v>Valid</v>
      </c>
      <c r="AK1271" t="str">
        <f t="shared" si="259"/>
        <v xml:space="preserve">Valid </v>
      </c>
      <c r="AL1271" t="str">
        <f>IF(AND(Audit_Data[[#This Row],[Recency]]&gt;=0,Audit_Data[[#This Row],[Recency]]&lt;=100),"Valid","Invalid")</f>
        <v>Valid</v>
      </c>
      <c r="AM1271" t="str">
        <f t="shared" si="253"/>
        <v>Valid</v>
      </c>
      <c r="AN1271" t="str">
        <f t="shared" si="254"/>
        <v>Valid</v>
      </c>
      <c r="AO1271" t="str">
        <f t="shared" si="255"/>
        <v>Valid</v>
      </c>
      <c r="AP1271" t="str">
        <f t="shared" si="256"/>
        <v>Valid</v>
      </c>
      <c r="AQ1271" t="str">
        <f>IF(Audit_Data[[#This Row],[Z_CostContact]]=3,"Valid","Invalid")</f>
        <v>Valid</v>
      </c>
      <c r="AR1271" t="str">
        <f t="shared" si="257"/>
        <v>Valid</v>
      </c>
      <c r="AS1271" t="str">
        <f t="shared" si="258"/>
        <v>Valid</v>
      </c>
    </row>
    <row r="1272" spans="1:45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 t="str">
        <f t="shared" si="247"/>
        <v>Ok</v>
      </c>
      <c r="AE1272" t="str">
        <f>IF(AND(Audit_Data[[#This Row],[Year_Birth]]&gt;=1900,Audit_Data[[#This Row],[Year_Birth]]&lt;=2010),"OK","Invalid")</f>
        <v>OK</v>
      </c>
      <c r="AF1272" t="str">
        <f t="shared" si="248"/>
        <v>Valid</v>
      </c>
      <c r="AG1272" t="str">
        <f t="shared" si="249"/>
        <v>Valid</v>
      </c>
      <c r="AH1272" t="str">
        <f t="shared" si="250"/>
        <v>Valid</v>
      </c>
      <c r="AI1272" t="str">
        <f t="shared" si="251"/>
        <v>Valid</v>
      </c>
      <c r="AJ1272" t="str">
        <f t="shared" si="252"/>
        <v>Valid</v>
      </c>
      <c r="AK1272" t="str">
        <f t="shared" si="259"/>
        <v xml:space="preserve">Valid </v>
      </c>
      <c r="AL1272" t="str">
        <f>IF(AND(Audit_Data[[#This Row],[Recency]]&gt;=0,Audit_Data[[#This Row],[Recency]]&lt;=100),"Valid","Invalid")</f>
        <v>Valid</v>
      </c>
      <c r="AM1272" t="str">
        <f t="shared" si="253"/>
        <v>Valid</v>
      </c>
      <c r="AN1272" t="str">
        <f t="shared" si="254"/>
        <v>Valid</v>
      </c>
      <c r="AO1272" t="str">
        <f t="shared" si="255"/>
        <v>Valid</v>
      </c>
      <c r="AP1272" t="str">
        <f t="shared" si="256"/>
        <v>Valid</v>
      </c>
      <c r="AQ1272" t="str">
        <f>IF(Audit_Data[[#This Row],[Z_CostContact]]=3,"Valid","Invalid")</f>
        <v>Valid</v>
      </c>
      <c r="AR1272" t="str">
        <f t="shared" si="257"/>
        <v>Valid</v>
      </c>
      <c r="AS1272" t="str">
        <f t="shared" si="258"/>
        <v>Valid</v>
      </c>
    </row>
    <row r="1273" spans="1:45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 t="str">
        <f t="shared" si="247"/>
        <v>Ok</v>
      </c>
      <c r="AE1273" t="str">
        <f>IF(AND(Audit_Data[[#This Row],[Year_Birth]]&gt;=1900,Audit_Data[[#This Row],[Year_Birth]]&lt;=2010),"OK","Invalid")</f>
        <v>OK</v>
      </c>
      <c r="AF1273" t="str">
        <f t="shared" si="248"/>
        <v>Valid</v>
      </c>
      <c r="AG1273" t="str">
        <f t="shared" si="249"/>
        <v>Valid</v>
      </c>
      <c r="AH1273" t="str">
        <f t="shared" si="250"/>
        <v>Valid</v>
      </c>
      <c r="AI1273" t="str">
        <f t="shared" si="251"/>
        <v>Valid</v>
      </c>
      <c r="AJ1273" t="str">
        <f t="shared" si="252"/>
        <v>Valid</v>
      </c>
      <c r="AK1273" t="str">
        <f t="shared" si="259"/>
        <v xml:space="preserve">Valid </v>
      </c>
      <c r="AL1273" t="str">
        <f>IF(AND(Audit_Data[[#This Row],[Recency]]&gt;=0,Audit_Data[[#This Row],[Recency]]&lt;=100),"Valid","Invalid")</f>
        <v>Valid</v>
      </c>
      <c r="AM1273" t="str">
        <f t="shared" si="253"/>
        <v>Valid</v>
      </c>
      <c r="AN1273" t="str">
        <f t="shared" si="254"/>
        <v>Valid</v>
      </c>
      <c r="AO1273" t="str">
        <f t="shared" si="255"/>
        <v>Valid</v>
      </c>
      <c r="AP1273" t="str">
        <f t="shared" si="256"/>
        <v>Valid</v>
      </c>
      <c r="AQ1273" t="str">
        <f>IF(Audit_Data[[#This Row],[Z_CostContact]]=3,"Valid","Invalid")</f>
        <v>Valid</v>
      </c>
      <c r="AR1273" t="str">
        <f t="shared" si="257"/>
        <v>Valid</v>
      </c>
      <c r="AS1273" t="str">
        <f t="shared" si="258"/>
        <v>Valid</v>
      </c>
    </row>
    <row r="1274" spans="1:45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 t="str">
        <f t="shared" si="247"/>
        <v>Ok</v>
      </c>
      <c r="AE1274" t="str">
        <f>IF(AND(Audit_Data[[#This Row],[Year_Birth]]&gt;=1900,Audit_Data[[#This Row],[Year_Birth]]&lt;=2010),"OK","Invalid")</f>
        <v>OK</v>
      </c>
      <c r="AF1274" t="str">
        <f t="shared" si="248"/>
        <v>Valid</v>
      </c>
      <c r="AG1274" t="str">
        <f t="shared" si="249"/>
        <v>Valid</v>
      </c>
      <c r="AH1274" t="str">
        <f t="shared" si="250"/>
        <v>Valid</v>
      </c>
      <c r="AI1274" t="str">
        <f t="shared" si="251"/>
        <v>Valid</v>
      </c>
      <c r="AJ1274" t="str">
        <f t="shared" si="252"/>
        <v>Valid</v>
      </c>
      <c r="AK1274" t="str">
        <f t="shared" si="259"/>
        <v xml:space="preserve">Valid </v>
      </c>
      <c r="AL1274" t="str">
        <f>IF(AND(Audit_Data[[#This Row],[Recency]]&gt;=0,Audit_Data[[#This Row],[Recency]]&lt;=100),"Valid","Invalid")</f>
        <v>Valid</v>
      </c>
      <c r="AM1274" t="str">
        <f t="shared" si="253"/>
        <v>Valid</v>
      </c>
      <c r="AN1274" t="str">
        <f t="shared" si="254"/>
        <v>Valid</v>
      </c>
      <c r="AO1274" t="str">
        <f t="shared" si="255"/>
        <v>Valid</v>
      </c>
      <c r="AP1274" t="str">
        <f t="shared" si="256"/>
        <v>Valid</v>
      </c>
      <c r="AQ1274" t="str">
        <f>IF(Audit_Data[[#This Row],[Z_CostContact]]=3,"Valid","Invalid")</f>
        <v>Valid</v>
      </c>
      <c r="AR1274" t="str">
        <f t="shared" si="257"/>
        <v>Valid</v>
      </c>
      <c r="AS1274" t="str">
        <f t="shared" si="258"/>
        <v>Valid</v>
      </c>
    </row>
    <row r="1275" spans="1:45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 t="str">
        <f t="shared" si="247"/>
        <v>Ok</v>
      </c>
      <c r="AE1275" t="str">
        <f>IF(AND(Audit_Data[[#This Row],[Year_Birth]]&gt;=1900,Audit_Data[[#This Row],[Year_Birth]]&lt;=2010),"OK","Invalid")</f>
        <v>OK</v>
      </c>
      <c r="AF1275" t="str">
        <f t="shared" si="248"/>
        <v>Valid</v>
      </c>
      <c r="AG1275" t="str">
        <f t="shared" si="249"/>
        <v>Valid</v>
      </c>
      <c r="AH1275" t="str">
        <f t="shared" si="250"/>
        <v>Valid</v>
      </c>
      <c r="AI1275" t="str">
        <f t="shared" si="251"/>
        <v>Valid</v>
      </c>
      <c r="AJ1275" t="str">
        <f t="shared" si="252"/>
        <v>Valid</v>
      </c>
      <c r="AK1275" t="str">
        <f t="shared" si="259"/>
        <v xml:space="preserve">Valid </v>
      </c>
      <c r="AL1275" t="str">
        <f>IF(AND(Audit_Data[[#This Row],[Recency]]&gt;=0,Audit_Data[[#This Row],[Recency]]&lt;=100),"Valid","Invalid")</f>
        <v>Valid</v>
      </c>
      <c r="AM1275" t="str">
        <f t="shared" si="253"/>
        <v>Valid</v>
      </c>
      <c r="AN1275" t="str">
        <f t="shared" si="254"/>
        <v>Valid</v>
      </c>
      <c r="AO1275" t="str">
        <f t="shared" si="255"/>
        <v>Valid</v>
      </c>
      <c r="AP1275" t="str">
        <f t="shared" si="256"/>
        <v>Valid</v>
      </c>
      <c r="AQ1275" t="str">
        <f>IF(Audit_Data[[#This Row],[Z_CostContact]]=3,"Valid","Invalid")</f>
        <v>Valid</v>
      </c>
      <c r="AR1275" t="str">
        <f t="shared" si="257"/>
        <v>Valid</v>
      </c>
      <c r="AS1275" t="str">
        <f t="shared" si="258"/>
        <v>Valid</v>
      </c>
    </row>
    <row r="1276" spans="1:45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 t="str">
        <f t="shared" si="247"/>
        <v>Ok</v>
      </c>
      <c r="AE1276" t="str">
        <f>IF(AND(Audit_Data[[#This Row],[Year_Birth]]&gt;=1900,Audit_Data[[#This Row],[Year_Birth]]&lt;=2010),"OK","Invalid")</f>
        <v>OK</v>
      </c>
      <c r="AF1276" t="str">
        <f t="shared" si="248"/>
        <v>Valid</v>
      </c>
      <c r="AG1276" t="str">
        <f t="shared" si="249"/>
        <v>Valid</v>
      </c>
      <c r="AH1276" t="str">
        <f t="shared" si="250"/>
        <v>Valid</v>
      </c>
      <c r="AI1276" t="str">
        <f t="shared" si="251"/>
        <v>Valid</v>
      </c>
      <c r="AJ1276" t="str">
        <f t="shared" si="252"/>
        <v>Valid</v>
      </c>
      <c r="AK1276" t="str">
        <f t="shared" si="259"/>
        <v xml:space="preserve">Valid </v>
      </c>
      <c r="AL1276" t="str">
        <f>IF(AND(Audit_Data[[#This Row],[Recency]]&gt;=0,Audit_Data[[#This Row],[Recency]]&lt;=100),"Valid","Invalid")</f>
        <v>Valid</v>
      </c>
      <c r="AM1276" t="str">
        <f t="shared" si="253"/>
        <v>Valid</v>
      </c>
      <c r="AN1276" t="str">
        <f t="shared" si="254"/>
        <v>Valid</v>
      </c>
      <c r="AO1276" t="str">
        <f t="shared" si="255"/>
        <v>Valid</v>
      </c>
      <c r="AP1276" t="str">
        <f t="shared" si="256"/>
        <v>Valid</v>
      </c>
      <c r="AQ1276" t="str">
        <f>IF(Audit_Data[[#This Row],[Z_CostContact]]=3,"Valid","Invalid")</f>
        <v>Valid</v>
      </c>
      <c r="AR1276" t="str">
        <f t="shared" si="257"/>
        <v>Valid</v>
      </c>
      <c r="AS1276" t="str">
        <f t="shared" si="258"/>
        <v>Valid</v>
      </c>
    </row>
    <row r="1277" spans="1:45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 t="str">
        <f t="shared" si="247"/>
        <v>Ok</v>
      </c>
      <c r="AE1277" t="str">
        <f>IF(AND(Audit_Data[[#This Row],[Year_Birth]]&gt;=1900,Audit_Data[[#This Row],[Year_Birth]]&lt;=2010),"OK","Invalid")</f>
        <v>OK</v>
      </c>
      <c r="AF1277" t="str">
        <f t="shared" si="248"/>
        <v>Valid</v>
      </c>
      <c r="AG1277" t="str">
        <f t="shared" si="249"/>
        <v>Valid</v>
      </c>
      <c r="AH1277" t="str">
        <f t="shared" si="250"/>
        <v>Valid</v>
      </c>
      <c r="AI1277" t="str">
        <f t="shared" si="251"/>
        <v>Valid</v>
      </c>
      <c r="AJ1277" t="str">
        <f t="shared" si="252"/>
        <v>Valid</v>
      </c>
      <c r="AK1277" t="str">
        <f t="shared" si="259"/>
        <v xml:space="preserve">Valid </v>
      </c>
      <c r="AL1277" t="str">
        <f>IF(AND(Audit_Data[[#This Row],[Recency]]&gt;=0,Audit_Data[[#This Row],[Recency]]&lt;=100),"Valid","Invalid")</f>
        <v>Valid</v>
      </c>
      <c r="AM1277" t="str">
        <f t="shared" si="253"/>
        <v>Valid</v>
      </c>
      <c r="AN1277" t="str">
        <f t="shared" si="254"/>
        <v>Valid</v>
      </c>
      <c r="AO1277" t="str">
        <f t="shared" si="255"/>
        <v>Valid</v>
      </c>
      <c r="AP1277" t="str">
        <f t="shared" si="256"/>
        <v>Valid</v>
      </c>
      <c r="AQ1277" t="str">
        <f>IF(Audit_Data[[#This Row],[Z_CostContact]]=3,"Valid","Invalid")</f>
        <v>Valid</v>
      </c>
      <c r="AR1277" t="str">
        <f t="shared" si="257"/>
        <v>Valid</v>
      </c>
      <c r="AS1277" t="str">
        <f t="shared" si="258"/>
        <v>Valid</v>
      </c>
    </row>
    <row r="1278" spans="1:45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 t="str">
        <f t="shared" si="247"/>
        <v>Ok</v>
      </c>
      <c r="AE1278" t="str">
        <f>IF(AND(Audit_Data[[#This Row],[Year_Birth]]&gt;=1900,Audit_Data[[#This Row],[Year_Birth]]&lt;=2010),"OK","Invalid")</f>
        <v>OK</v>
      </c>
      <c r="AF1278" t="str">
        <f t="shared" si="248"/>
        <v>Valid</v>
      </c>
      <c r="AG1278" t="str">
        <f t="shared" si="249"/>
        <v>Valid</v>
      </c>
      <c r="AH1278" t="str">
        <f t="shared" si="250"/>
        <v>Valid</v>
      </c>
      <c r="AI1278" t="str">
        <f t="shared" si="251"/>
        <v>Valid</v>
      </c>
      <c r="AJ1278" t="str">
        <f t="shared" si="252"/>
        <v>Valid</v>
      </c>
      <c r="AK1278" t="str">
        <f t="shared" si="259"/>
        <v xml:space="preserve">Valid </v>
      </c>
      <c r="AL1278" t="str">
        <f>IF(AND(Audit_Data[[#This Row],[Recency]]&gt;=0,Audit_Data[[#This Row],[Recency]]&lt;=100),"Valid","Invalid")</f>
        <v>Valid</v>
      </c>
      <c r="AM1278" t="str">
        <f t="shared" si="253"/>
        <v>Valid</v>
      </c>
      <c r="AN1278" t="str">
        <f t="shared" si="254"/>
        <v>Valid</v>
      </c>
      <c r="AO1278" t="str">
        <f t="shared" si="255"/>
        <v>Valid</v>
      </c>
      <c r="AP1278" t="str">
        <f t="shared" si="256"/>
        <v>Valid</v>
      </c>
      <c r="AQ1278" t="str">
        <f>IF(Audit_Data[[#This Row],[Z_CostContact]]=3,"Valid","Invalid")</f>
        <v>Valid</v>
      </c>
      <c r="AR1278" t="str">
        <f t="shared" si="257"/>
        <v>Valid</v>
      </c>
      <c r="AS1278" t="str">
        <f t="shared" si="258"/>
        <v>Valid</v>
      </c>
    </row>
    <row r="1279" spans="1:45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 t="str">
        <f t="shared" si="247"/>
        <v>Ok</v>
      </c>
      <c r="AE1279" t="str">
        <f>IF(AND(Audit_Data[[#This Row],[Year_Birth]]&gt;=1900,Audit_Data[[#This Row],[Year_Birth]]&lt;=2010),"OK","Invalid")</f>
        <v>OK</v>
      </c>
      <c r="AF1279" t="str">
        <f t="shared" si="248"/>
        <v>Valid</v>
      </c>
      <c r="AG1279" t="str">
        <f t="shared" si="249"/>
        <v>Valid</v>
      </c>
      <c r="AH1279" t="str">
        <f t="shared" si="250"/>
        <v>Valid</v>
      </c>
      <c r="AI1279" t="str">
        <f t="shared" si="251"/>
        <v>Valid</v>
      </c>
      <c r="AJ1279" t="str">
        <f t="shared" si="252"/>
        <v>Valid</v>
      </c>
      <c r="AK1279" t="str">
        <f t="shared" si="259"/>
        <v xml:space="preserve">Valid </v>
      </c>
      <c r="AL1279" t="str">
        <f>IF(AND(Audit_Data[[#This Row],[Recency]]&gt;=0,Audit_Data[[#This Row],[Recency]]&lt;=100),"Valid","Invalid")</f>
        <v>Valid</v>
      </c>
      <c r="AM1279" t="str">
        <f t="shared" si="253"/>
        <v>Valid</v>
      </c>
      <c r="AN1279" t="str">
        <f t="shared" si="254"/>
        <v>Valid</v>
      </c>
      <c r="AO1279" t="str">
        <f t="shared" si="255"/>
        <v>Valid</v>
      </c>
      <c r="AP1279" t="str">
        <f t="shared" si="256"/>
        <v>Valid</v>
      </c>
      <c r="AQ1279" t="str">
        <f>IF(Audit_Data[[#This Row],[Z_CostContact]]=3,"Valid","Invalid")</f>
        <v>Valid</v>
      </c>
      <c r="AR1279" t="str">
        <f t="shared" si="257"/>
        <v>Valid</v>
      </c>
      <c r="AS1279" t="str">
        <f t="shared" si="258"/>
        <v>Valid</v>
      </c>
    </row>
    <row r="1280" spans="1:45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 t="str">
        <f t="shared" si="247"/>
        <v>Ok</v>
      </c>
      <c r="AE1280" t="str">
        <f>IF(AND(Audit_Data[[#This Row],[Year_Birth]]&gt;=1900,Audit_Data[[#This Row],[Year_Birth]]&lt;=2010),"OK","Invalid")</f>
        <v>OK</v>
      </c>
      <c r="AF1280" t="str">
        <f t="shared" si="248"/>
        <v>Valid</v>
      </c>
      <c r="AG1280" t="str">
        <f t="shared" si="249"/>
        <v>Valid</v>
      </c>
      <c r="AH1280" t="str">
        <f t="shared" si="250"/>
        <v>Valid</v>
      </c>
      <c r="AI1280" t="str">
        <f t="shared" si="251"/>
        <v>Valid</v>
      </c>
      <c r="AJ1280" t="str">
        <f t="shared" si="252"/>
        <v>Valid</v>
      </c>
      <c r="AK1280" t="str">
        <f t="shared" si="259"/>
        <v xml:space="preserve">Valid </v>
      </c>
      <c r="AL1280" t="str">
        <f>IF(AND(Audit_Data[[#This Row],[Recency]]&gt;=0,Audit_Data[[#This Row],[Recency]]&lt;=100),"Valid","Invalid")</f>
        <v>Valid</v>
      </c>
      <c r="AM1280" t="str">
        <f t="shared" si="253"/>
        <v>Valid</v>
      </c>
      <c r="AN1280" t="str">
        <f t="shared" si="254"/>
        <v>Valid</v>
      </c>
      <c r="AO1280" t="str">
        <f t="shared" si="255"/>
        <v>Valid</v>
      </c>
      <c r="AP1280" t="str">
        <f t="shared" si="256"/>
        <v>Valid</v>
      </c>
      <c r="AQ1280" t="str">
        <f>IF(Audit_Data[[#This Row],[Z_CostContact]]=3,"Valid","Invalid")</f>
        <v>Valid</v>
      </c>
      <c r="AR1280" t="str">
        <f t="shared" si="257"/>
        <v>Valid</v>
      </c>
      <c r="AS1280" t="str">
        <f t="shared" si="258"/>
        <v>Valid</v>
      </c>
    </row>
    <row r="1281" spans="1:45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 t="str">
        <f t="shared" si="247"/>
        <v>Ok</v>
      </c>
      <c r="AE1281" t="str">
        <f>IF(AND(Audit_Data[[#This Row],[Year_Birth]]&gt;=1900,Audit_Data[[#This Row],[Year_Birth]]&lt;=2010),"OK","Invalid")</f>
        <v>OK</v>
      </c>
      <c r="AF1281" t="str">
        <f t="shared" si="248"/>
        <v>Valid</v>
      </c>
      <c r="AG1281" t="str">
        <f t="shared" si="249"/>
        <v>Valid</v>
      </c>
      <c r="AH1281" t="str">
        <f t="shared" si="250"/>
        <v>Valid</v>
      </c>
      <c r="AI1281" t="str">
        <f t="shared" si="251"/>
        <v>Valid</v>
      </c>
      <c r="AJ1281" t="str">
        <f t="shared" si="252"/>
        <v>Valid</v>
      </c>
      <c r="AK1281" t="str">
        <f t="shared" si="259"/>
        <v xml:space="preserve">Valid </v>
      </c>
      <c r="AL1281" t="str">
        <f>IF(AND(Audit_Data[[#This Row],[Recency]]&gt;=0,Audit_Data[[#This Row],[Recency]]&lt;=100),"Valid","Invalid")</f>
        <v>Valid</v>
      </c>
      <c r="AM1281" t="str">
        <f t="shared" si="253"/>
        <v>Valid</v>
      </c>
      <c r="AN1281" t="str">
        <f t="shared" si="254"/>
        <v>Valid</v>
      </c>
      <c r="AO1281" t="str">
        <f t="shared" si="255"/>
        <v>Valid</v>
      </c>
      <c r="AP1281" t="str">
        <f t="shared" si="256"/>
        <v>Valid</v>
      </c>
      <c r="AQ1281" t="str">
        <f>IF(Audit_Data[[#This Row],[Z_CostContact]]=3,"Valid","Invalid")</f>
        <v>Valid</v>
      </c>
      <c r="AR1281" t="str">
        <f t="shared" si="257"/>
        <v>Valid</v>
      </c>
      <c r="AS1281" t="str">
        <f t="shared" si="258"/>
        <v>Valid</v>
      </c>
    </row>
    <row r="1282" spans="1:45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 t="str">
        <f t="shared" ref="AD1282:AD1345" si="260">IF(COUNTIF(A:A,A1282)&gt;1,"Duplicate","Ok")</f>
        <v>Ok</v>
      </c>
      <c r="AE1282" t="str">
        <f>IF(AND(Audit_Data[[#This Row],[Year_Birth]]&gt;=1900,Audit_Data[[#This Row],[Year_Birth]]&lt;=2010),"OK","Invalid")</f>
        <v>OK</v>
      </c>
      <c r="AF1282" t="str">
        <f t="shared" ref="AF1282:AF1345" si="261">IF(OR(C1282="Graduation",C1282="phD",C1282="Master",C1282="Basic",C1282="2n Cycle"),"Valid","Invalid")</f>
        <v>Valid</v>
      </c>
      <c r="AG1282" t="str">
        <f t="shared" ref="AG1282:AG1345" si="262">IF(OR(D1282="Single",D1282="Married",D1282="Divorced",D1282="Together",D1282="Widow",D1282="Alone"),"Valid","Invalid")</f>
        <v>Valid</v>
      </c>
      <c r="AH1282" t="str">
        <f t="shared" ref="AH1282:AH1345" si="263">IF(AND(ISNUMBER(E1282),E1282&lt;&gt;""),"Valid","Invalid")</f>
        <v>Valid</v>
      </c>
      <c r="AI1282" t="str">
        <f t="shared" ref="AI1282:AI1345" si="264">IF(AND(F1282&gt;=0,F1282&lt;=2),"Valid","Invalid")</f>
        <v>Valid</v>
      </c>
      <c r="AJ1282" t="str">
        <f t="shared" ref="AJ1282:AJ1345" si="265">IF(AND(G1282&gt;=0,G1282&lt;=2),"Valid","Invalid")</f>
        <v>Valid</v>
      </c>
      <c r="AK1282" t="str">
        <f t="shared" si="259"/>
        <v xml:space="preserve">Valid </v>
      </c>
      <c r="AL1282" t="str">
        <f>IF(AND(Audit_Data[[#This Row],[Recency]]&gt;=0,Audit_Data[[#This Row],[Recency]]&lt;=100),"Valid","Invalid")</f>
        <v>Valid</v>
      </c>
      <c r="AM1282" t="str">
        <f t="shared" ref="AM1282:AM1345" si="266">IF(AND(ISNUMBER(J1282),J1282&gt;=0,ISNUMBER(K1282),K1282&gt;=0,ISNUMBER(L1282),L1282&gt;=0,ISNUMBER(M1282),M1282&gt;=0,ISNUMBER(N1282),N1282&gt;=0,ISNUMBER(O1282),O1282&gt;=0),"Valid","Invalid")</f>
        <v>Valid</v>
      </c>
      <c r="AN1282" t="str">
        <f t="shared" ref="AN1282:AN1345" si="267">IF(AND(ISNUMBER(P1282),P1282&gt;=0,ISNUMBER(Q1282),Q1282&gt;=0,ISNUMBER(R1282),R1282&gt;=0,ISNUMBER(S1282),S1282&gt;=0,ISNUMBER(T1282),T1282&gt;=0),"Valid","Invalid")</f>
        <v>Valid</v>
      </c>
      <c r="AO1282" t="str">
        <f t="shared" ref="AO1282:AO1345" si="268">IF(AND(U1282&lt;=1,V1282&lt;=1,W1282&lt;=1,X1282&lt;=1,Y1282&lt;=1),"Valid","Invalid")</f>
        <v>Valid</v>
      </c>
      <c r="AP1282" t="str">
        <f t="shared" ref="AP1282:AP1345" si="269">IF(OR(Z1282=0,Z1282=1),"Valid","Invalid")</f>
        <v>Valid</v>
      </c>
      <c r="AQ1282" t="str">
        <f>IF(Audit_Data[[#This Row],[Z_CostContact]]=3,"Valid","Invalid")</f>
        <v>Valid</v>
      </c>
      <c r="AR1282" t="str">
        <f t="shared" ref="AR1282:AR1345" si="270">IF(AB1282=11,"Valid","Invalid")</f>
        <v>Valid</v>
      </c>
      <c r="AS1282" t="str">
        <f t="shared" ref="AS1282:AS1345" si="271">IF(OR(AC1282=0,AC1282=1),"Valid","Invalid")</f>
        <v>Valid</v>
      </c>
    </row>
    <row r="1283" spans="1:45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 t="str">
        <f t="shared" si="260"/>
        <v>Ok</v>
      </c>
      <c r="AE1283" t="str">
        <f>IF(AND(Audit_Data[[#This Row],[Year_Birth]]&gt;=1900,Audit_Data[[#This Row],[Year_Birth]]&lt;=2010),"OK","Invalid")</f>
        <v>OK</v>
      </c>
      <c r="AF1283" t="str">
        <f t="shared" si="261"/>
        <v>Valid</v>
      </c>
      <c r="AG1283" t="str">
        <f t="shared" si="262"/>
        <v>Valid</v>
      </c>
      <c r="AH1283" t="str">
        <f t="shared" si="263"/>
        <v>Valid</v>
      </c>
      <c r="AI1283" t="str">
        <f t="shared" si="264"/>
        <v>Valid</v>
      </c>
      <c r="AJ1283" t="str">
        <f t="shared" si="265"/>
        <v>Valid</v>
      </c>
      <c r="AK1283" t="str">
        <f t="shared" ref="AK1283:AK1346" si="272">IF(AND(ISNUMBER(H1283),H1283&gt;=DATE(2012,1,1),H1283&lt;=DATE(2014,12,31)),"Valid ","Invalid")</f>
        <v xml:space="preserve">Valid </v>
      </c>
      <c r="AL1283" t="str">
        <f>IF(AND(Audit_Data[[#This Row],[Recency]]&gt;=0,Audit_Data[[#This Row],[Recency]]&lt;=100),"Valid","Invalid")</f>
        <v>Valid</v>
      </c>
      <c r="AM1283" t="str">
        <f t="shared" si="266"/>
        <v>Valid</v>
      </c>
      <c r="AN1283" t="str">
        <f t="shared" si="267"/>
        <v>Valid</v>
      </c>
      <c r="AO1283" t="str">
        <f t="shared" si="268"/>
        <v>Valid</v>
      </c>
      <c r="AP1283" t="str">
        <f t="shared" si="269"/>
        <v>Valid</v>
      </c>
      <c r="AQ1283" t="str">
        <f>IF(Audit_Data[[#This Row],[Z_CostContact]]=3,"Valid","Invalid")</f>
        <v>Valid</v>
      </c>
      <c r="AR1283" t="str">
        <f t="shared" si="270"/>
        <v>Valid</v>
      </c>
      <c r="AS1283" t="str">
        <f t="shared" si="271"/>
        <v>Valid</v>
      </c>
    </row>
    <row r="1284" spans="1:45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 t="str">
        <f t="shared" si="260"/>
        <v>Ok</v>
      </c>
      <c r="AE1284" t="str">
        <f>IF(AND(Audit_Data[[#This Row],[Year_Birth]]&gt;=1900,Audit_Data[[#This Row],[Year_Birth]]&lt;=2010),"OK","Invalid")</f>
        <v>OK</v>
      </c>
      <c r="AF1284" t="str">
        <f t="shared" si="261"/>
        <v>Valid</v>
      </c>
      <c r="AG1284" t="str">
        <f t="shared" si="262"/>
        <v>Valid</v>
      </c>
      <c r="AH1284" t="str">
        <f t="shared" si="263"/>
        <v>Valid</v>
      </c>
      <c r="AI1284" t="str">
        <f t="shared" si="264"/>
        <v>Valid</v>
      </c>
      <c r="AJ1284" t="str">
        <f t="shared" si="265"/>
        <v>Valid</v>
      </c>
      <c r="AK1284" t="str">
        <f t="shared" si="272"/>
        <v xml:space="preserve">Valid </v>
      </c>
      <c r="AL1284" t="str">
        <f>IF(AND(Audit_Data[[#This Row],[Recency]]&gt;=0,Audit_Data[[#This Row],[Recency]]&lt;=100),"Valid","Invalid")</f>
        <v>Valid</v>
      </c>
      <c r="AM1284" t="str">
        <f t="shared" si="266"/>
        <v>Valid</v>
      </c>
      <c r="AN1284" t="str">
        <f t="shared" si="267"/>
        <v>Valid</v>
      </c>
      <c r="AO1284" t="str">
        <f t="shared" si="268"/>
        <v>Valid</v>
      </c>
      <c r="AP1284" t="str">
        <f t="shared" si="269"/>
        <v>Valid</v>
      </c>
      <c r="AQ1284" t="str">
        <f>IF(Audit_Data[[#This Row],[Z_CostContact]]=3,"Valid","Invalid")</f>
        <v>Valid</v>
      </c>
      <c r="AR1284" t="str">
        <f t="shared" si="270"/>
        <v>Valid</v>
      </c>
      <c r="AS1284" t="str">
        <f t="shared" si="271"/>
        <v>Valid</v>
      </c>
    </row>
    <row r="1285" spans="1:45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 t="str">
        <f t="shared" si="260"/>
        <v>Ok</v>
      </c>
      <c r="AE1285" t="str">
        <f>IF(AND(Audit_Data[[#This Row],[Year_Birth]]&gt;=1900,Audit_Data[[#This Row],[Year_Birth]]&lt;=2010),"OK","Invalid")</f>
        <v>OK</v>
      </c>
      <c r="AF1285" t="str">
        <f t="shared" si="261"/>
        <v>Valid</v>
      </c>
      <c r="AG1285" t="str">
        <f t="shared" si="262"/>
        <v>Valid</v>
      </c>
      <c r="AH1285" t="str">
        <f t="shared" si="263"/>
        <v>Valid</v>
      </c>
      <c r="AI1285" t="str">
        <f t="shared" si="264"/>
        <v>Valid</v>
      </c>
      <c r="AJ1285" t="str">
        <f t="shared" si="265"/>
        <v>Valid</v>
      </c>
      <c r="AK1285" t="str">
        <f t="shared" si="272"/>
        <v xml:space="preserve">Valid </v>
      </c>
      <c r="AL1285" t="str">
        <f>IF(AND(Audit_Data[[#This Row],[Recency]]&gt;=0,Audit_Data[[#This Row],[Recency]]&lt;=100),"Valid","Invalid")</f>
        <v>Valid</v>
      </c>
      <c r="AM1285" t="str">
        <f t="shared" si="266"/>
        <v>Valid</v>
      </c>
      <c r="AN1285" t="str">
        <f t="shared" si="267"/>
        <v>Valid</v>
      </c>
      <c r="AO1285" t="str">
        <f t="shared" si="268"/>
        <v>Valid</v>
      </c>
      <c r="AP1285" t="str">
        <f t="shared" si="269"/>
        <v>Valid</v>
      </c>
      <c r="AQ1285" t="str">
        <f>IF(Audit_Data[[#This Row],[Z_CostContact]]=3,"Valid","Invalid")</f>
        <v>Valid</v>
      </c>
      <c r="AR1285" t="str">
        <f t="shared" si="270"/>
        <v>Valid</v>
      </c>
      <c r="AS1285" t="str">
        <f t="shared" si="271"/>
        <v>Valid</v>
      </c>
    </row>
    <row r="1286" spans="1:45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 t="str">
        <f t="shared" si="260"/>
        <v>Ok</v>
      </c>
      <c r="AE1286" t="str">
        <f>IF(AND(Audit_Data[[#This Row],[Year_Birth]]&gt;=1900,Audit_Data[[#This Row],[Year_Birth]]&lt;=2010),"OK","Invalid")</f>
        <v>OK</v>
      </c>
      <c r="AF1286" t="str">
        <f t="shared" si="261"/>
        <v>Valid</v>
      </c>
      <c r="AG1286" t="str">
        <f t="shared" si="262"/>
        <v>Valid</v>
      </c>
      <c r="AH1286" t="str">
        <f t="shared" si="263"/>
        <v>Valid</v>
      </c>
      <c r="AI1286" t="str">
        <f t="shared" si="264"/>
        <v>Valid</v>
      </c>
      <c r="AJ1286" t="str">
        <f t="shared" si="265"/>
        <v>Valid</v>
      </c>
      <c r="AK1286" t="str">
        <f t="shared" si="272"/>
        <v xml:space="preserve">Valid </v>
      </c>
      <c r="AL1286" t="str">
        <f>IF(AND(Audit_Data[[#This Row],[Recency]]&gt;=0,Audit_Data[[#This Row],[Recency]]&lt;=100),"Valid","Invalid")</f>
        <v>Valid</v>
      </c>
      <c r="AM1286" t="str">
        <f t="shared" si="266"/>
        <v>Valid</v>
      </c>
      <c r="AN1286" t="str">
        <f t="shared" si="267"/>
        <v>Valid</v>
      </c>
      <c r="AO1286" t="str">
        <f t="shared" si="268"/>
        <v>Valid</v>
      </c>
      <c r="AP1286" t="str">
        <f t="shared" si="269"/>
        <v>Valid</v>
      </c>
      <c r="AQ1286" t="str">
        <f>IF(Audit_Data[[#This Row],[Z_CostContact]]=3,"Valid","Invalid")</f>
        <v>Valid</v>
      </c>
      <c r="AR1286" t="str">
        <f t="shared" si="270"/>
        <v>Valid</v>
      </c>
      <c r="AS1286" t="str">
        <f t="shared" si="271"/>
        <v>Valid</v>
      </c>
    </row>
    <row r="1287" spans="1:45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 t="str">
        <f t="shared" si="260"/>
        <v>Ok</v>
      </c>
      <c r="AE1287" t="str">
        <f>IF(AND(Audit_Data[[#This Row],[Year_Birth]]&gt;=1900,Audit_Data[[#This Row],[Year_Birth]]&lt;=2010),"OK","Invalid")</f>
        <v>OK</v>
      </c>
      <c r="AF1287" t="str">
        <f t="shared" si="261"/>
        <v>Valid</v>
      </c>
      <c r="AG1287" t="str">
        <f t="shared" si="262"/>
        <v>Valid</v>
      </c>
      <c r="AH1287" t="str">
        <f t="shared" si="263"/>
        <v>Valid</v>
      </c>
      <c r="AI1287" t="str">
        <f t="shared" si="264"/>
        <v>Valid</v>
      </c>
      <c r="AJ1287" t="str">
        <f t="shared" si="265"/>
        <v>Valid</v>
      </c>
      <c r="AK1287" t="str">
        <f t="shared" si="272"/>
        <v xml:space="preserve">Valid </v>
      </c>
      <c r="AL1287" t="str">
        <f>IF(AND(Audit_Data[[#This Row],[Recency]]&gt;=0,Audit_Data[[#This Row],[Recency]]&lt;=100),"Valid","Invalid")</f>
        <v>Valid</v>
      </c>
      <c r="AM1287" t="str">
        <f t="shared" si="266"/>
        <v>Valid</v>
      </c>
      <c r="AN1287" t="str">
        <f t="shared" si="267"/>
        <v>Valid</v>
      </c>
      <c r="AO1287" t="str">
        <f t="shared" si="268"/>
        <v>Valid</v>
      </c>
      <c r="AP1287" t="str">
        <f t="shared" si="269"/>
        <v>Valid</v>
      </c>
      <c r="AQ1287" t="str">
        <f>IF(Audit_Data[[#This Row],[Z_CostContact]]=3,"Valid","Invalid")</f>
        <v>Valid</v>
      </c>
      <c r="AR1287" t="str">
        <f t="shared" si="270"/>
        <v>Valid</v>
      </c>
      <c r="AS1287" t="str">
        <f t="shared" si="271"/>
        <v>Valid</v>
      </c>
    </row>
    <row r="1288" spans="1:45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 t="str">
        <f t="shared" si="260"/>
        <v>Ok</v>
      </c>
      <c r="AE1288" t="str">
        <f>IF(AND(Audit_Data[[#This Row],[Year_Birth]]&gt;=1900,Audit_Data[[#This Row],[Year_Birth]]&lt;=2010),"OK","Invalid")</f>
        <v>OK</v>
      </c>
      <c r="AF1288" t="str">
        <f t="shared" si="261"/>
        <v>Valid</v>
      </c>
      <c r="AG1288" t="str">
        <f t="shared" si="262"/>
        <v>Valid</v>
      </c>
      <c r="AH1288" t="str">
        <f t="shared" si="263"/>
        <v>Valid</v>
      </c>
      <c r="AI1288" t="str">
        <f t="shared" si="264"/>
        <v>Valid</v>
      </c>
      <c r="AJ1288" t="str">
        <f t="shared" si="265"/>
        <v>Valid</v>
      </c>
      <c r="AK1288" t="str">
        <f t="shared" si="272"/>
        <v xml:space="preserve">Valid </v>
      </c>
      <c r="AL1288" t="str">
        <f>IF(AND(Audit_Data[[#This Row],[Recency]]&gt;=0,Audit_Data[[#This Row],[Recency]]&lt;=100),"Valid","Invalid")</f>
        <v>Valid</v>
      </c>
      <c r="AM1288" t="str">
        <f t="shared" si="266"/>
        <v>Valid</v>
      </c>
      <c r="AN1288" t="str">
        <f t="shared" si="267"/>
        <v>Valid</v>
      </c>
      <c r="AO1288" t="str">
        <f t="shared" si="268"/>
        <v>Valid</v>
      </c>
      <c r="AP1288" t="str">
        <f t="shared" si="269"/>
        <v>Valid</v>
      </c>
      <c r="AQ1288" t="str">
        <f>IF(Audit_Data[[#This Row],[Z_CostContact]]=3,"Valid","Invalid")</f>
        <v>Valid</v>
      </c>
      <c r="AR1288" t="str">
        <f t="shared" si="270"/>
        <v>Valid</v>
      </c>
      <c r="AS1288" t="str">
        <f t="shared" si="271"/>
        <v>Valid</v>
      </c>
    </row>
    <row r="1289" spans="1:45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 t="str">
        <f t="shared" si="260"/>
        <v>Ok</v>
      </c>
      <c r="AE1289" t="str">
        <f>IF(AND(Audit_Data[[#This Row],[Year_Birth]]&gt;=1900,Audit_Data[[#This Row],[Year_Birth]]&lt;=2010),"OK","Invalid")</f>
        <v>OK</v>
      </c>
      <c r="AF1289" t="str">
        <f t="shared" si="261"/>
        <v>Valid</v>
      </c>
      <c r="AG1289" t="str">
        <f t="shared" si="262"/>
        <v>Valid</v>
      </c>
      <c r="AH1289" t="str">
        <f t="shared" si="263"/>
        <v>Valid</v>
      </c>
      <c r="AI1289" t="str">
        <f t="shared" si="264"/>
        <v>Valid</v>
      </c>
      <c r="AJ1289" t="str">
        <f t="shared" si="265"/>
        <v>Valid</v>
      </c>
      <c r="AK1289" t="str">
        <f t="shared" si="272"/>
        <v xml:space="preserve">Valid </v>
      </c>
      <c r="AL1289" t="str">
        <f>IF(AND(Audit_Data[[#This Row],[Recency]]&gt;=0,Audit_Data[[#This Row],[Recency]]&lt;=100),"Valid","Invalid")</f>
        <v>Valid</v>
      </c>
      <c r="AM1289" t="str">
        <f t="shared" si="266"/>
        <v>Valid</v>
      </c>
      <c r="AN1289" t="str">
        <f t="shared" si="267"/>
        <v>Valid</v>
      </c>
      <c r="AO1289" t="str">
        <f t="shared" si="268"/>
        <v>Valid</v>
      </c>
      <c r="AP1289" t="str">
        <f t="shared" si="269"/>
        <v>Valid</v>
      </c>
      <c r="AQ1289" t="str">
        <f>IF(Audit_Data[[#This Row],[Z_CostContact]]=3,"Valid","Invalid")</f>
        <v>Valid</v>
      </c>
      <c r="AR1289" t="str">
        <f t="shared" si="270"/>
        <v>Valid</v>
      </c>
      <c r="AS1289" t="str">
        <f t="shared" si="271"/>
        <v>Valid</v>
      </c>
    </row>
    <row r="1290" spans="1:45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 t="str">
        <f t="shared" si="260"/>
        <v>Ok</v>
      </c>
      <c r="AE1290" t="str">
        <f>IF(AND(Audit_Data[[#This Row],[Year_Birth]]&gt;=1900,Audit_Data[[#This Row],[Year_Birth]]&lt;=2010),"OK","Invalid")</f>
        <v>OK</v>
      </c>
      <c r="AF1290" t="str">
        <f t="shared" si="261"/>
        <v>Valid</v>
      </c>
      <c r="AG1290" t="str">
        <f t="shared" si="262"/>
        <v>Valid</v>
      </c>
      <c r="AH1290" t="str">
        <f t="shared" si="263"/>
        <v>Valid</v>
      </c>
      <c r="AI1290" t="str">
        <f t="shared" si="264"/>
        <v>Valid</v>
      </c>
      <c r="AJ1290" t="str">
        <f t="shared" si="265"/>
        <v>Valid</v>
      </c>
      <c r="AK1290" t="str">
        <f t="shared" si="272"/>
        <v xml:space="preserve">Valid </v>
      </c>
      <c r="AL1290" t="str">
        <f>IF(AND(Audit_Data[[#This Row],[Recency]]&gt;=0,Audit_Data[[#This Row],[Recency]]&lt;=100),"Valid","Invalid")</f>
        <v>Valid</v>
      </c>
      <c r="AM1290" t="str">
        <f t="shared" si="266"/>
        <v>Valid</v>
      </c>
      <c r="AN1290" t="str">
        <f t="shared" si="267"/>
        <v>Valid</v>
      </c>
      <c r="AO1290" t="str">
        <f t="shared" si="268"/>
        <v>Valid</v>
      </c>
      <c r="AP1290" t="str">
        <f t="shared" si="269"/>
        <v>Valid</v>
      </c>
      <c r="AQ1290" t="str">
        <f>IF(Audit_Data[[#This Row],[Z_CostContact]]=3,"Valid","Invalid")</f>
        <v>Valid</v>
      </c>
      <c r="AR1290" t="str">
        <f t="shared" si="270"/>
        <v>Valid</v>
      </c>
      <c r="AS1290" t="str">
        <f t="shared" si="271"/>
        <v>Valid</v>
      </c>
    </row>
    <row r="1291" spans="1:45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 t="str">
        <f t="shared" si="260"/>
        <v>Ok</v>
      </c>
      <c r="AE1291" t="str">
        <f>IF(AND(Audit_Data[[#This Row],[Year_Birth]]&gt;=1900,Audit_Data[[#This Row],[Year_Birth]]&lt;=2010),"OK","Invalid")</f>
        <v>OK</v>
      </c>
      <c r="AF1291" t="str">
        <f t="shared" si="261"/>
        <v>Valid</v>
      </c>
      <c r="AG1291" t="str">
        <f t="shared" si="262"/>
        <v>Valid</v>
      </c>
      <c r="AH1291" t="str">
        <f t="shared" si="263"/>
        <v>Valid</v>
      </c>
      <c r="AI1291" t="str">
        <f t="shared" si="264"/>
        <v>Valid</v>
      </c>
      <c r="AJ1291" t="str">
        <f t="shared" si="265"/>
        <v>Valid</v>
      </c>
      <c r="AK1291" t="str">
        <f t="shared" si="272"/>
        <v xml:space="preserve">Valid </v>
      </c>
      <c r="AL1291" t="str">
        <f>IF(AND(Audit_Data[[#This Row],[Recency]]&gt;=0,Audit_Data[[#This Row],[Recency]]&lt;=100),"Valid","Invalid")</f>
        <v>Valid</v>
      </c>
      <c r="AM1291" t="str">
        <f t="shared" si="266"/>
        <v>Valid</v>
      </c>
      <c r="AN1291" t="str">
        <f t="shared" si="267"/>
        <v>Valid</v>
      </c>
      <c r="AO1291" t="str">
        <f t="shared" si="268"/>
        <v>Valid</v>
      </c>
      <c r="AP1291" t="str">
        <f t="shared" si="269"/>
        <v>Valid</v>
      </c>
      <c r="AQ1291" t="str">
        <f>IF(Audit_Data[[#This Row],[Z_CostContact]]=3,"Valid","Invalid")</f>
        <v>Valid</v>
      </c>
      <c r="AR1291" t="str">
        <f t="shared" si="270"/>
        <v>Valid</v>
      </c>
      <c r="AS1291" t="str">
        <f t="shared" si="271"/>
        <v>Valid</v>
      </c>
    </row>
    <row r="1292" spans="1:45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 t="str">
        <f t="shared" si="260"/>
        <v>Ok</v>
      </c>
      <c r="AE1292" t="str">
        <f>IF(AND(Audit_Data[[#This Row],[Year_Birth]]&gt;=1900,Audit_Data[[#This Row],[Year_Birth]]&lt;=2010),"OK","Invalid")</f>
        <v>OK</v>
      </c>
      <c r="AF1292" t="str">
        <f t="shared" si="261"/>
        <v>Valid</v>
      </c>
      <c r="AG1292" t="str">
        <f t="shared" si="262"/>
        <v>Valid</v>
      </c>
      <c r="AH1292" t="str">
        <f t="shared" si="263"/>
        <v>Valid</v>
      </c>
      <c r="AI1292" t="str">
        <f t="shared" si="264"/>
        <v>Valid</v>
      </c>
      <c r="AJ1292" t="str">
        <f t="shared" si="265"/>
        <v>Valid</v>
      </c>
      <c r="AK1292" t="str">
        <f t="shared" si="272"/>
        <v xml:space="preserve">Valid </v>
      </c>
      <c r="AL1292" t="str">
        <f>IF(AND(Audit_Data[[#This Row],[Recency]]&gt;=0,Audit_Data[[#This Row],[Recency]]&lt;=100),"Valid","Invalid")</f>
        <v>Valid</v>
      </c>
      <c r="AM1292" t="str">
        <f t="shared" si="266"/>
        <v>Valid</v>
      </c>
      <c r="AN1292" t="str">
        <f t="shared" si="267"/>
        <v>Valid</v>
      </c>
      <c r="AO1292" t="str">
        <f t="shared" si="268"/>
        <v>Valid</v>
      </c>
      <c r="AP1292" t="str">
        <f t="shared" si="269"/>
        <v>Valid</v>
      </c>
      <c r="AQ1292" t="str">
        <f>IF(Audit_Data[[#This Row],[Z_CostContact]]=3,"Valid","Invalid")</f>
        <v>Valid</v>
      </c>
      <c r="AR1292" t="str">
        <f t="shared" si="270"/>
        <v>Valid</v>
      </c>
      <c r="AS1292" t="str">
        <f t="shared" si="271"/>
        <v>Valid</v>
      </c>
    </row>
    <row r="1293" spans="1:45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 t="str">
        <f t="shared" si="260"/>
        <v>Ok</v>
      </c>
      <c r="AE1293" t="str">
        <f>IF(AND(Audit_Data[[#This Row],[Year_Birth]]&gt;=1900,Audit_Data[[#This Row],[Year_Birth]]&lt;=2010),"OK","Invalid")</f>
        <v>OK</v>
      </c>
      <c r="AF1293" t="str">
        <f t="shared" si="261"/>
        <v>Valid</v>
      </c>
      <c r="AG1293" t="str">
        <f t="shared" si="262"/>
        <v>Valid</v>
      </c>
      <c r="AH1293" t="str">
        <f t="shared" si="263"/>
        <v>Valid</v>
      </c>
      <c r="AI1293" t="str">
        <f t="shared" si="264"/>
        <v>Valid</v>
      </c>
      <c r="AJ1293" t="str">
        <f t="shared" si="265"/>
        <v>Valid</v>
      </c>
      <c r="AK1293" t="str">
        <f t="shared" si="272"/>
        <v xml:space="preserve">Valid </v>
      </c>
      <c r="AL1293" t="str">
        <f>IF(AND(Audit_Data[[#This Row],[Recency]]&gt;=0,Audit_Data[[#This Row],[Recency]]&lt;=100),"Valid","Invalid")</f>
        <v>Valid</v>
      </c>
      <c r="AM1293" t="str">
        <f t="shared" si="266"/>
        <v>Valid</v>
      </c>
      <c r="AN1293" t="str">
        <f t="shared" si="267"/>
        <v>Valid</v>
      </c>
      <c r="AO1293" t="str">
        <f t="shared" si="268"/>
        <v>Valid</v>
      </c>
      <c r="AP1293" t="str">
        <f t="shared" si="269"/>
        <v>Valid</v>
      </c>
      <c r="AQ1293" t="str">
        <f>IF(Audit_Data[[#This Row],[Z_CostContact]]=3,"Valid","Invalid")</f>
        <v>Valid</v>
      </c>
      <c r="AR1293" t="str">
        <f t="shared" si="270"/>
        <v>Valid</v>
      </c>
      <c r="AS1293" t="str">
        <f t="shared" si="271"/>
        <v>Valid</v>
      </c>
    </row>
    <row r="1294" spans="1:45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 t="str">
        <f t="shared" si="260"/>
        <v>Ok</v>
      </c>
      <c r="AE1294" t="str">
        <f>IF(AND(Audit_Data[[#This Row],[Year_Birth]]&gt;=1900,Audit_Data[[#This Row],[Year_Birth]]&lt;=2010),"OK","Invalid")</f>
        <v>OK</v>
      </c>
      <c r="AF1294" t="str">
        <f t="shared" si="261"/>
        <v>Valid</v>
      </c>
      <c r="AG1294" t="str">
        <f t="shared" si="262"/>
        <v>Valid</v>
      </c>
      <c r="AH1294" t="str">
        <f t="shared" si="263"/>
        <v>Valid</v>
      </c>
      <c r="AI1294" t="str">
        <f t="shared" si="264"/>
        <v>Valid</v>
      </c>
      <c r="AJ1294" t="str">
        <f t="shared" si="265"/>
        <v>Valid</v>
      </c>
      <c r="AK1294" t="str">
        <f t="shared" si="272"/>
        <v xml:space="preserve">Valid </v>
      </c>
      <c r="AL1294" t="str">
        <f>IF(AND(Audit_Data[[#This Row],[Recency]]&gt;=0,Audit_Data[[#This Row],[Recency]]&lt;=100),"Valid","Invalid")</f>
        <v>Valid</v>
      </c>
      <c r="AM1294" t="str">
        <f t="shared" si="266"/>
        <v>Valid</v>
      </c>
      <c r="AN1294" t="str">
        <f t="shared" si="267"/>
        <v>Valid</v>
      </c>
      <c r="AO1294" t="str">
        <f t="shared" si="268"/>
        <v>Valid</v>
      </c>
      <c r="AP1294" t="str">
        <f t="shared" si="269"/>
        <v>Valid</v>
      </c>
      <c r="AQ1294" t="str">
        <f>IF(Audit_Data[[#This Row],[Z_CostContact]]=3,"Valid","Invalid")</f>
        <v>Valid</v>
      </c>
      <c r="AR1294" t="str">
        <f t="shared" si="270"/>
        <v>Valid</v>
      </c>
      <c r="AS1294" t="str">
        <f t="shared" si="271"/>
        <v>Valid</v>
      </c>
    </row>
    <row r="1295" spans="1:45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 t="str">
        <f t="shared" si="260"/>
        <v>Ok</v>
      </c>
      <c r="AE1295" t="str">
        <f>IF(AND(Audit_Data[[#This Row],[Year_Birth]]&gt;=1900,Audit_Data[[#This Row],[Year_Birth]]&lt;=2010),"OK","Invalid")</f>
        <v>OK</v>
      </c>
      <c r="AF1295" t="str">
        <f t="shared" si="261"/>
        <v>Valid</v>
      </c>
      <c r="AG1295" t="str">
        <f t="shared" si="262"/>
        <v>Valid</v>
      </c>
      <c r="AH1295" t="str">
        <f t="shared" si="263"/>
        <v>Valid</v>
      </c>
      <c r="AI1295" t="str">
        <f t="shared" si="264"/>
        <v>Valid</v>
      </c>
      <c r="AJ1295" t="str">
        <f t="shared" si="265"/>
        <v>Valid</v>
      </c>
      <c r="AK1295" t="str">
        <f t="shared" si="272"/>
        <v xml:space="preserve">Valid </v>
      </c>
      <c r="AL1295" t="str">
        <f>IF(AND(Audit_Data[[#This Row],[Recency]]&gt;=0,Audit_Data[[#This Row],[Recency]]&lt;=100),"Valid","Invalid")</f>
        <v>Valid</v>
      </c>
      <c r="AM1295" t="str">
        <f t="shared" si="266"/>
        <v>Valid</v>
      </c>
      <c r="AN1295" t="str">
        <f t="shared" si="267"/>
        <v>Valid</v>
      </c>
      <c r="AO1295" t="str">
        <f t="shared" si="268"/>
        <v>Valid</v>
      </c>
      <c r="AP1295" t="str">
        <f t="shared" si="269"/>
        <v>Valid</v>
      </c>
      <c r="AQ1295" t="str">
        <f>IF(Audit_Data[[#This Row],[Z_CostContact]]=3,"Valid","Invalid")</f>
        <v>Valid</v>
      </c>
      <c r="AR1295" t="str">
        <f t="shared" si="270"/>
        <v>Valid</v>
      </c>
      <c r="AS1295" t="str">
        <f t="shared" si="271"/>
        <v>Valid</v>
      </c>
    </row>
    <row r="1296" spans="1:45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 t="str">
        <f t="shared" si="260"/>
        <v>Ok</v>
      </c>
      <c r="AE1296" t="str">
        <f>IF(AND(Audit_Data[[#This Row],[Year_Birth]]&gt;=1900,Audit_Data[[#This Row],[Year_Birth]]&lt;=2010),"OK","Invalid")</f>
        <v>OK</v>
      </c>
      <c r="AF1296" t="str">
        <f t="shared" si="261"/>
        <v>Valid</v>
      </c>
      <c r="AG1296" t="str">
        <f t="shared" si="262"/>
        <v>Valid</v>
      </c>
      <c r="AH1296" t="str">
        <f t="shared" si="263"/>
        <v>Valid</v>
      </c>
      <c r="AI1296" t="str">
        <f t="shared" si="264"/>
        <v>Valid</v>
      </c>
      <c r="AJ1296" t="str">
        <f t="shared" si="265"/>
        <v>Valid</v>
      </c>
      <c r="AK1296" t="str">
        <f t="shared" si="272"/>
        <v xml:space="preserve">Valid </v>
      </c>
      <c r="AL1296" t="str">
        <f>IF(AND(Audit_Data[[#This Row],[Recency]]&gt;=0,Audit_Data[[#This Row],[Recency]]&lt;=100),"Valid","Invalid")</f>
        <v>Valid</v>
      </c>
      <c r="AM1296" t="str">
        <f t="shared" si="266"/>
        <v>Valid</v>
      </c>
      <c r="AN1296" t="str">
        <f t="shared" si="267"/>
        <v>Valid</v>
      </c>
      <c r="AO1296" t="str">
        <f t="shared" si="268"/>
        <v>Valid</v>
      </c>
      <c r="AP1296" t="str">
        <f t="shared" si="269"/>
        <v>Valid</v>
      </c>
      <c r="AQ1296" t="str">
        <f>IF(Audit_Data[[#This Row],[Z_CostContact]]=3,"Valid","Invalid")</f>
        <v>Valid</v>
      </c>
      <c r="AR1296" t="str">
        <f t="shared" si="270"/>
        <v>Valid</v>
      </c>
      <c r="AS1296" t="str">
        <f t="shared" si="271"/>
        <v>Valid</v>
      </c>
    </row>
    <row r="1297" spans="1:45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 t="str">
        <f t="shared" si="260"/>
        <v>Ok</v>
      </c>
      <c r="AE1297" t="str">
        <f>IF(AND(Audit_Data[[#This Row],[Year_Birth]]&gt;=1900,Audit_Data[[#This Row],[Year_Birth]]&lt;=2010),"OK","Invalid")</f>
        <v>OK</v>
      </c>
      <c r="AF1297" t="str">
        <f t="shared" si="261"/>
        <v>Valid</v>
      </c>
      <c r="AG1297" t="str">
        <f t="shared" si="262"/>
        <v>Valid</v>
      </c>
      <c r="AH1297" t="str">
        <f t="shared" si="263"/>
        <v>Valid</v>
      </c>
      <c r="AI1297" t="str">
        <f t="shared" si="264"/>
        <v>Valid</v>
      </c>
      <c r="AJ1297" t="str">
        <f t="shared" si="265"/>
        <v>Valid</v>
      </c>
      <c r="AK1297" t="str">
        <f t="shared" si="272"/>
        <v xml:space="preserve">Valid </v>
      </c>
      <c r="AL1297" t="str">
        <f>IF(AND(Audit_Data[[#This Row],[Recency]]&gt;=0,Audit_Data[[#This Row],[Recency]]&lt;=100),"Valid","Invalid")</f>
        <v>Valid</v>
      </c>
      <c r="AM1297" t="str">
        <f t="shared" si="266"/>
        <v>Valid</v>
      </c>
      <c r="AN1297" t="str">
        <f t="shared" si="267"/>
        <v>Valid</v>
      </c>
      <c r="AO1297" t="str">
        <f t="shared" si="268"/>
        <v>Valid</v>
      </c>
      <c r="AP1297" t="str">
        <f t="shared" si="269"/>
        <v>Valid</v>
      </c>
      <c r="AQ1297" t="str">
        <f>IF(Audit_Data[[#This Row],[Z_CostContact]]=3,"Valid","Invalid")</f>
        <v>Valid</v>
      </c>
      <c r="AR1297" t="str">
        <f t="shared" si="270"/>
        <v>Valid</v>
      </c>
      <c r="AS1297" t="str">
        <f t="shared" si="271"/>
        <v>Valid</v>
      </c>
    </row>
    <row r="1298" spans="1:45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 t="str">
        <f t="shared" si="260"/>
        <v>Ok</v>
      </c>
      <c r="AE1298" t="str">
        <f>IF(AND(Audit_Data[[#This Row],[Year_Birth]]&gt;=1900,Audit_Data[[#This Row],[Year_Birth]]&lt;=2010),"OK","Invalid")</f>
        <v>OK</v>
      </c>
      <c r="AF1298" t="str">
        <f t="shared" si="261"/>
        <v>Valid</v>
      </c>
      <c r="AG1298" t="str">
        <f t="shared" si="262"/>
        <v>Valid</v>
      </c>
      <c r="AH1298" t="str">
        <f t="shared" si="263"/>
        <v>Valid</v>
      </c>
      <c r="AI1298" t="str">
        <f t="shared" si="264"/>
        <v>Valid</v>
      </c>
      <c r="AJ1298" t="str">
        <f t="shared" si="265"/>
        <v>Valid</v>
      </c>
      <c r="AK1298" t="str">
        <f t="shared" si="272"/>
        <v xml:space="preserve">Valid </v>
      </c>
      <c r="AL1298" t="str">
        <f>IF(AND(Audit_Data[[#This Row],[Recency]]&gt;=0,Audit_Data[[#This Row],[Recency]]&lt;=100),"Valid","Invalid")</f>
        <v>Valid</v>
      </c>
      <c r="AM1298" t="str">
        <f t="shared" si="266"/>
        <v>Valid</v>
      </c>
      <c r="AN1298" t="str">
        <f t="shared" si="267"/>
        <v>Valid</v>
      </c>
      <c r="AO1298" t="str">
        <f t="shared" si="268"/>
        <v>Valid</v>
      </c>
      <c r="AP1298" t="str">
        <f t="shared" si="269"/>
        <v>Valid</v>
      </c>
      <c r="AQ1298" t="str">
        <f>IF(Audit_Data[[#This Row],[Z_CostContact]]=3,"Valid","Invalid")</f>
        <v>Valid</v>
      </c>
      <c r="AR1298" t="str">
        <f t="shared" si="270"/>
        <v>Valid</v>
      </c>
      <c r="AS1298" t="str">
        <f t="shared" si="271"/>
        <v>Valid</v>
      </c>
    </row>
    <row r="1299" spans="1:45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 t="str">
        <f t="shared" si="260"/>
        <v>Ok</v>
      </c>
      <c r="AE1299" t="str">
        <f>IF(AND(Audit_Data[[#This Row],[Year_Birth]]&gt;=1900,Audit_Data[[#This Row],[Year_Birth]]&lt;=2010),"OK","Invalid")</f>
        <v>OK</v>
      </c>
      <c r="AF1299" t="str">
        <f t="shared" si="261"/>
        <v>Valid</v>
      </c>
      <c r="AG1299" t="str">
        <f t="shared" si="262"/>
        <v>Valid</v>
      </c>
      <c r="AH1299" t="str">
        <f t="shared" si="263"/>
        <v>Valid</v>
      </c>
      <c r="AI1299" t="str">
        <f t="shared" si="264"/>
        <v>Valid</v>
      </c>
      <c r="AJ1299" t="str">
        <f t="shared" si="265"/>
        <v>Valid</v>
      </c>
      <c r="AK1299" t="str">
        <f t="shared" si="272"/>
        <v xml:space="preserve">Valid </v>
      </c>
      <c r="AL1299" t="str">
        <f>IF(AND(Audit_Data[[#This Row],[Recency]]&gt;=0,Audit_Data[[#This Row],[Recency]]&lt;=100),"Valid","Invalid")</f>
        <v>Valid</v>
      </c>
      <c r="AM1299" t="str">
        <f t="shared" si="266"/>
        <v>Valid</v>
      </c>
      <c r="AN1299" t="str">
        <f t="shared" si="267"/>
        <v>Valid</v>
      </c>
      <c r="AO1299" t="str">
        <f t="shared" si="268"/>
        <v>Valid</v>
      </c>
      <c r="AP1299" t="str">
        <f t="shared" si="269"/>
        <v>Valid</v>
      </c>
      <c r="AQ1299" t="str">
        <f>IF(Audit_Data[[#This Row],[Z_CostContact]]=3,"Valid","Invalid")</f>
        <v>Valid</v>
      </c>
      <c r="AR1299" t="str">
        <f t="shared" si="270"/>
        <v>Valid</v>
      </c>
      <c r="AS1299" t="str">
        <f t="shared" si="271"/>
        <v>Valid</v>
      </c>
    </row>
    <row r="1300" spans="1:45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 t="str">
        <f t="shared" si="260"/>
        <v>Ok</v>
      </c>
      <c r="AE1300" t="str">
        <f>IF(AND(Audit_Data[[#This Row],[Year_Birth]]&gt;=1900,Audit_Data[[#This Row],[Year_Birth]]&lt;=2010),"OK","Invalid")</f>
        <v>OK</v>
      </c>
      <c r="AF1300" t="str">
        <f t="shared" si="261"/>
        <v>Valid</v>
      </c>
      <c r="AG1300" t="str">
        <f t="shared" si="262"/>
        <v>Valid</v>
      </c>
      <c r="AH1300" t="str">
        <f t="shared" si="263"/>
        <v>Valid</v>
      </c>
      <c r="AI1300" t="str">
        <f t="shared" si="264"/>
        <v>Valid</v>
      </c>
      <c r="AJ1300" t="str">
        <f t="shared" si="265"/>
        <v>Valid</v>
      </c>
      <c r="AK1300" t="str">
        <f t="shared" si="272"/>
        <v xml:space="preserve">Valid </v>
      </c>
      <c r="AL1300" t="str">
        <f>IF(AND(Audit_Data[[#This Row],[Recency]]&gt;=0,Audit_Data[[#This Row],[Recency]]&lt;=100),"Valid","Invalid")</f>
        <v>Valid</v>
      </c>
      <c r="AM1300" t="str">
        <f t="shared" si="266"/>
        <v>Valid</v>
      </c>
      <c r="AN1300" t="str">
        <f t="shared" si="267"/>
        <v>Valid</v>
      </c>
      <c r="AO1300" t="str">
        <f t="shared" si="268"/>
        <v>Valid</v>
      </c>
      <c r="AP1300" t="str">
        <f t="shared" si="269"/>
        <v>Valid</v>
      </c>
      <c r="AQ1300" t="str">
        <f>IF(Audit_Data[[#This Row],[Z_CostContact]]=3,"Valid","Invalid")</f>
        <v>Valid</v>
      </c>
      <c r="AR1300" t="str">
        <f t="shared" si="270"/>
        <v>Valid</v>
      </c>
      <c r="AS1300" t="str">
        <f t="shared" si="271"/>
        <v>Valid</v>
      </c>
    </row>
    <row r="1301" spans="1:45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 t="str">
        <f t="shared" si="260"/>
        <v>Ok</v>
      </c>
      <c r="AE1301" t="str">
        <f>IF(AND(Audit_Data[[#This Row],[Year_Birth]]&gt;=1900,Audit_Data[[#This Row],[Year_Birth]]&lt;=2010),"OK","Invalid")</f>
        <v>OK</v>
      </c>
      <c r="AF1301" t="str">
        <f t="shared" si="261"/>
        <v>Valid</v>
      </c>
      <c r="AG1301" t="str">
        <f t="shared" si="262"/>
        <v>Valid</v>
      </c>
      <c r="AH1301" t="str">
        <f t="shared" si="263"/>
        <v>Valid</v>
      </c>
      <c r="AI1301" t="str">
        <f t="shared" si="264"/>
        <v>Valid</v>
      </c>
      <c r="AJ1301" t="str">
        <f t="shared" si="265"/>
        <v>Valid</v>
      </c>
      <c r="AK1301" t="str">
        <f t="shared" si="272"/>
        <v xml:space="preserve">Valid </v>
      </c>
      <c r="AL1301" t="str">
        <f>IF(AND(Audit_Data[[#This Row],[Recency]]&gt;=0,Audit_Data[[#This Row],[Recency]]&lt;=100),"Valid","Invalid")</f>
        <v>Valid</v>
      </c>
      <c r="AM1301" t="str">
        <f t="shared" si="266"/>
        <v>Valid</v>
      </c>
      <c r="AN1301" t="str">
        <f t="shared" si="267"/>
        <v>Valid</v>
      </c>
      <c r="AO1301" t="str">
        <f t="shared" si="268"/>
        <v>Valid</v>
      </c>
      <c r="AP1301" t="str">
        <f t="shared" si="269"/>
        <v>Valid</v>
      </c>
      <c r="AQ1301" t="str">
        <f>IF(Audit_Data[[#This Row],[Z_CostContact]]=3,"Valid","Invalid")</f>
        <v>Valid</v>
      </c>
      <c r="AR1301" t="str">
        <f t="shared" si="270"/>
        <v>Valid</v>
      </c>
      <c r="AS1301" t="str">
        <f t="shared" si="271"/>
        <v>Valid</v>
      </c>
    </row>
    <row r="1302" spans="1:45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 t="str">
        <f t="shared" si="260"/>
        <v>Ok</v>
      </c>
      <c r="AE1302" t="str">
        <f>IF(AND(Audit_Data[[#This Row],[Year_Birth]]&gt;=1900,Audit_Data[[#This Row],[Year_Birth]]&lt;=2010),"OK","Invalid")</f>
        <v>OK</v>
      </c>
      <c r="AF1302" t="str">
        <f t="shared" si="261"/>
        <v>Valid</v>
      </c>
      <c r="AG1302" t="str">
        <f t="shared" si="262"/>
        <v>Valid</v>
      </c>
      <c r="AH1302" t="str">
        <f t="shared" si="263"/>
        <v>Valid</v>
      </c>
      <c r="AI1302" t="str">
        <f t="shared" si="264"/>
        <v>Valid</v>
      </c>
      <c r="AJ1302" t="str">
        <f t="shared" si="265"/>
        <v>Valid</v>
      </c>
      <c r="AK1302" t="str">
        <f t="shared" si="272"/>
        <v xml:space="preserve">Valid </v>
      </c>
      <c r="AL1302" t="str">
        <f>IF(AND(Audit_Data[[#This Row],[Recency]]&gt;=0,Audit_Data[[#This Row],[Recency]]&lt;=100),"Valid","Invalid")</f>
        <v>Valid</v>
      </c>
      <c r="AM1302" t="str">
        <f t="shared" si="266"/>
        <v>Valid</v>
      </c>
      <c r="AN1302" t="str">
        <f t="shared" si="267"/>
        <v>Valid</v>
      </c>
      <c r="AO1302" t="str">
        <f t="shared" si="268"/>
        <v>Valid</v>
      </c>
      <c r="AP1302" t="str">
        <f t="shared" si="269"/>
        <v>Valid</v>
      </c>
      <c r="AQ1302" t="str">
        <f>IF(Audit_Data[[#This Row],[Z_CostContact]]=3,"Valid","Invalid")</f>
        <v>Valid</v>
      </c>
      <c r="AR1302" t="str">
        <f t="shared" si="270"/>
        <v>Valid</v>
      </c>
      <c r="AS1302" t="str">
        <f t="shared" si="271"/>
        <v>Valid</v>
      </c>
    </row>
    <row r="1303" spans="1:45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 t="str">
        <f t="shared" si="260"/>
        <v>Ok</v>
      </c>
      <c r="AE1303" t="str">
        <f>IF(AND(Audit_Data[[#This Row],[Year_Birth]]&gt;=1900,Audit_Data[[#This Row],[Year_Birth]]&lt;=2010),"OK","Invalid")</f>
        <v>OK</v>
      </c>
      <c r="AF1303" t="str">
        <f t="shared" si="261"/>
        <v>Valid</v>
      </c>
      <c r="AG1303" t="str">
        <f t="shared" si="262"/>
        <v>Valid</v>
      </c>
      <c r="AH1303" t="str">
        <f t="shared" si="263"/>
        <v>Valid</v>
      </c>
      <c r="AI1303" t="str">
        <f t="shared" si="264"/>
        <v>Valid</v>
      </c>
      <c r="AJ1303" t="str">
        <f t="shared" si="265"/>
        <v>Valid</v>
      </c>
      <c r="AK1303" t="str">
        <f t="shared" si="272"/>
        <v xml:space="preserve">Valid </v>
      </c>
      <c r="AL1303" t="str">
        <f>IF(AND(Audit_Data[[#This Row],[Recency]]&gt;=0,Audit_Data[[#This Row],[Recency]]&lt;=100),"Valid","Invalid")</f>
        <v>Valid</v>
      </c>
      <c r="AM1303" t="str">
        <f t="shared" si="266"/>
        <v>Valid</v>
      </c>
      <c r="AN1303" t="str">
        <f t="shared" si="267"/>
        <v>Valid</v>
      </c>
      <c r="AO1303" t="str">
        <f t="shared" si="268"/>
        <v>Valid</v>
      </c>
      <c r="AP1303" t="str">
        <f t="shared" si="269"/>
        <v>Valid</v>
      </c>
      <c r="AQ1303" t="str">
        <f>IF(Audit_Data[[#This Row],[Z_CostContact]]=3,"Valid","Invalid")</f>
        <v>Valid</v>
      </c>
      <c r="AR1303" t="str">
        <f t="shared" si="270"/>
        <v>Valid</v>
      </c>
      <c r="AS1303" t="str">
        <f t="shared" si="271"/>
        <v>Valid</v>
      </c>
    </row>
    <row r="1304" spans="1:45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 t="str">
        <f t="shared" si="260"/>
        <v>Ok</v>
      </c>
      <c r="AE1304" t="str">
        <f>IF(AND(Audit_Data[[#This Row],[Year_Birth]]&gt;=1900,Audit_Data[[#This Row],[Year_Birth]]&lt;=2010),"OK","Invalid")</f>
        <v>OK</v>
      </c>
      <c r="AF1304" t="str">
        <f t="shared" si="261"/>
        <v>Valid</v>
      </c>
      <c r="AG1304" t="str">
        <f t="shared" si="262"/>
        <v>Valid</v>
      </c>
      <c r="AH1304" t="str">
        <f t="shared" si="263"/>
        <v>Valid</v>
      </c>
      <c r="AI1304" t="str">
        <f t="shared" si="264"/>
        <v>Valid</v>
      </c>
      <c r="AJ1304" t="str">
        <f t="shared" si="265"/>
        <v>Valid</v>
      </c>
      <c r="AK1304" t="str">
        <f t="shared" si="272"/>
        <v xml:space="preserve">Valid </v>
      </c>
      <c r="AL1304" t="str">
        <f>IF(AND(Audit_Data[[#This Row],[Recency]]&gt;=0,Audit_Data[[#This Row],[Recency]]&lt;=100),"Valid","Invalid")</f>
        <v>Valid</v>
      </c>
      <c r="AM1304" t="str">
        <f t="shared" si="266"/>
        <v>Valid</v>
      </c>
      <c r="AN1304" t="str">
        <f t="shared" si="267"/>
        <v>Valid</v>
      </c>
      <c r="AO1304" t="str">
        <f t="shared" si="268"/>
        <v>Valid</v>
      </c>
      <c r="AP1304" t="str">
        <f t="shared" si="269"/>
        <v>Valid</v>
      </c>
      <c r="AQ1304" t="str">
        <f>IF(Audit_Data[[#This Row],[Z_CostContact]]=3,"Valid","Invalid")</f>
        <v>Valid</v>
      </c>
      <c r="AR1304" t="str">
        <f t="shared" si="270"/>
        <v>Valid</v>
      </c>
      <c r="AS1304" t="str">
        <f t="shared" si="271"/>
        <v>Valid</v>
      </c>
    </row>
    <row r="1305" spans="1:45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 t="str">
        <f t="shared" si="260"/>
        <v>Ok</v>
      </c>
      <c r="AE1305" t="str">
        <f>IF(AND(Audit_Data[[#This Row],[Year_Birth]]&gt;=1900,Audit_Data[[#This Row],[Year_Birth]]&lt;=2010),"OK","Invalid")</f>
        <v>OK</v>
      </c>
      <c r="AF1305" t="str">
        <f t="shared" si="261"/>
        <v>Valid</v>
      </c>
      <c r="AG1305" t="str">
        <f t="shared" si="262"/>
        <v>Valid</v>
      </c>
      <c r="AH1305" t="str">
        <f t="shared" si="263"/>
        <v>Valid</v>
      </c>
      <c r="AI1305" t="str">
        <f t="shared" si="264"/>
        <v>Valid</v>
      </c>
      <c r="AJ1305" t="str">
        <f t="shared" si="265"/>
        <v>Valid</v>
      </c>
      <c r="AK1305" t="str">
        <f t="shared" si="272"/>
        <v xml:space="preserve">Valid </v>
      </c>
      <c r="AL1305" t="str">
        <f>IF(AND(Audit_Data[[#This Row],[Recency]]&gt;=0,Audit_Data[[#This Row],[Recency]]&lt;=100),"Valid","Invalid")</f>
        <v>Valid</v>
      </c>
      <c r="AM1305" t="str">
        <f t="shared" si="266"/>
        <v>Valid</v>
      </c>
      <c r="AN1305" t="str">
        <f t="shared" si="267"/>
        <v>Valid</v>
      </c>
      <c r="AO1305" t="str">
        <f t="shared" si="268"/>
        <v>Valid</v>
      </c>
      <c r="AP1305" t="str">
        <f t="shared" si="269"/>
        <v>Valid</v>
      </c>
      <c r="AQ1305" t="str">
        <f>IF(Audit_Data[[#This Row],[Z_CostContact]]=3,"Valid","Invalid")</f>
        <v>Valid</v>
      </c>
      <c r="AR1305" t="str">
        <f t="shared" si="270"/>
        <v>Valid</v>
      </c>
      <c r="AS1305" t="str">
        <f t="shared" si="271"/>
        <v>Valid</v>
      </c>
    </row>
    <row r="1306" spans="1:45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 t="str">
        <f t="shared" si="260"/>
        <v>Ok</v>
      </c>
      <c r="AE1306" t="str">
        <f>IF(AND(Audit_Data[[#This Row],[Year_Birth]]&gt;=1900,Audit_Data[[#This Row],[Year_Birth]]&lt;=2010),"OK","Invalid")</f>
        <v>OK</v>
      </c>
      <c r="AF1306" t="str">
        <f t="shared" si="261"/>
        <v>Valid</v>
      </c>
      <c r="AG1306" t="str">
        <f t="shared" si="262"/>
        <v>Valid</v>
      </c>
      <c r="AH1306" t="str">
        <f t="shared" si="263"/>
        <v>Valid</v>
      </c>
      <c r="AI1306" t="str">
        <f t="shared" si="264"/>
        <v>Valid</v>
      </c>
      <c r="AJ1306" t="str">
        <f t="shared" si="265"/>
        <v>Valid</v>
      </c>
      <c r="AK1306" t="str">
        <f t="shared" si="272"/>
        <v xml:space="preserve">Valid </v>
      </c>
      <c r="AL1306" t="str">
        <f>IF(AND(Audit_Data[[#This Row],[Recency]]&gt;=0,Audit_Data[[#This Row],[Recency]]&lt;=100),"Valid","Invalid")</f>
        <v>Valid</v>
      </c>
      <c r="AM1306" t="str">
        <f t="shared" si="266"/>
        <v>Valid</v>
      </c>
      <c r="AN1306" t="str">
        <f t="shared" si="267"/>
        <v>Valid</v>
      </c>
      <c r="AO1306" t="str">
        <f t="shared" si="268"/>
        <v>Valid</v>
      </c>
      <c r="AP1306" t="str">
        <f t="shared" si="269"/>
        <v>Valid</v>
      </c>
      <c r="AQ1306" t="str">
        <f>IF(Audit_Data[[#This Row],[Z_CostContact]]=3,"Valid","Invalid")</f>
        <v>Valid</v>
      </c>
      <c r="AR1306" t="str">
        <f t="shared" si="270"/>
        <v>Valid</v>
      </c>
      <c r="AS1306" t="str">
        <f t="shared" si="271"/>
        <v>Valid</v>
      </c>
    </row>
    <row r="1307" spans="1:45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 t="str">
        <f t="shared" si="260"/>
        <v>Ok</v>
      </c>
      <c r="AE1307" t="str">
        <f>IF(AND(Audit_Data[[#This Row],[Year_Birth]]&gt;=1900,Audit_Data[[#This Row],[Year_Birth]]&lt;=2010),"OK","Invalid")</f>
        <v>OK</v>
      </c>
      <c r="AF1307" t="str">
        <f t="shared" si="261"/>
        <v>Valid</v>
      </c>
      <c r="AG1307" t="str">
        <f t="shared" si="262"/>
        <v>Valid</v>
      </c>
      <c r="AH1307" t="str">
        <f t="shared" si="263"/>
        <v>Valid</v>
      </c>
      <c r="AI1307" t="str">
        <f t="shared" si="264"/>
        <v>Valid</v>
      </c>
      <c r="AJ1307" t="str">
        <f t="shared" si="265"/>
        <v>Valid</v>
      </c>
      <c r="AK1307" t="str">
        <f t="shared" si="272"/>
        <v xml:space="preserve">Valid </v>
      </c>
      <c r="AL1307" t="str">
        <f>IF(AND(Audit_Data[[#This Row],[Recency]]&gt;=0,Audit_Data[[#This Row],[Recency]]&lt;=100),"Valid","Invalid")</f>
        <v>Valid</v>
      </c>
      <c r="AM1307" t="str">
        <f t="shared" si="266"/>
        <v>Valid</v>
      </c>
      <c r="AN1307" t="str">
        <f t="shared" si="267"/>
        <v>Valid</v>
      </c>
      <c r="AO1307" t="str">
        <f t="shared" si="268"/>
        <v>Valid</v>
      </c>
      <c r="AP1307" t="str">
        <f t="shared" si="269"/>
        <v>Valid</v>
      </c>
      <c r="AQ1307" t="str">
        <f>IF(Audit_Data[[#This Row],[Z_CostContact]]=3,"Valid","Invalid")</f>
        <v>Valid</v>
      </c>
      <c r="AR1307" t="str">
        <f t="shared" si="270"/>
        <v>Valid</v>
      </c>
      <c r="AS1307" t="str">
        <f t="shared" si="271"/>
        <v>Valid</v>
      </c>
    </row>
    <row r="1308" spans="1:45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 t="str">
        <f t="shared" si="260"/>
        <v>Ok</v>
      </c>
      <c r="AE1308" t="str">
        <f>IF(AND(Audit_Data[[#This Row],[Year_Birth]]&gt;=1900,Audit_Data[[#This Row],[Year_Birth]]&lt;=2010),"OK","Invalid")</f>
        <v>OK</v>
      </c>
      <c r="AF1308" t="str">
        <f t="shared" si="261"/>
        <v>Valid</v>
      </c>
      <c r="AG1308" t="str">
        <f t="shared" si="262"/>
        <v>Valid</v>
      </c>
      <c r="AH1308" t="str">
        <f t="shared" si="263"/>
        <v>Valid</v>
      </c>
      <c r="AI1308" t="str">
        <f t="shared" si="264"/>
        <v>Valid</v>
      </c>
      <c r="AJ1308" t="str">
        <f t="shared" si="265"/>
        <v>Valid</v>
      </c>
      <c r="AK1308" t="str">
        <f t="shared" si="272"/>
        <v xml:space="preserve">Valid </v>
      </c>
      <c r="AL1308" t="str">
        <f>IF(AND(Audit_Data[[#This Row],[Recency]]&gt;=0,Audit_Data[[#This Row],[Recency]]&lt;=100),"Valid","Invalid")</f>
        <v>Valid</v>
      </c>
      <c r="AM1308" t="str">
        <f t="shared" si="266"/>
        <v>Valid</v>
      </c>
      <c r="AN1308" t="str">
        <f t="shared" si="267"/>
        <v>Valid</v>
      </c>
      <c r="AO1308" t="str">
        <f t="shared" si="268"/>
        <v>Valid</v>
      </c>
      <c r="AP1308" t="str">
        <f t="shared" si="269"/>
        <v>Valid</v>
      </c>
      <c r="AQ1308" t="str">
        <f>IF(Audit_Data[[#This Row],[Z_CostContact]]=3,"Valid","Invalid")</f>
        <v>Valid</v>
      </c>
      <c r="AR1308" t="str">
        <f t="shared" si="270"/>
        <v>Valid</v>
      </c>
      <c r="AS1308" t="str">
        <f t="shared" si="271"/>
        <v>Valid</v>
      </c>
    </row>
    <row r="1309" spans="1:45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 t="str">
        <f t="shared" si="260"/>
        <v>Ok</v>
      </c>
      <c r="AE1309" t="str">
        <f>IF(AND(Audit_Data[[#This Row],[Year_Birth]]&gt;=1900,Audit_Data[[#This Row],[Year_Birth]]&lt;=2010),"OK","Invalid")</f>
        <v>OK</v>
      </c>
      <c r="AF1309" t="str">
        <f t="shared" si="261"/>
        <v>Valid</v>
      </c>
      <c r="AG1309" t="str">
        <f t="shared" si="262"/>
        <v>Valid</v>
      </c>
      <c r="AH1309" t="str">
        <f t="shared" si="263"/>
        <v>Valid</v>
      </c>
      <c r="AI1309" t="str">
        <f t="shared" si="264"/>
        <v>Valid</v>
      </c>
      <c r="AJ1309" t="str">
        <f t="shared" si="265"/>
        <v>Valid</v>
      </c>
      <c r="AK1309" t="str">
        <f t="shared" si="272"/>
        <v xml:space="preserve">Valid </v>
      </c>
      <c r="AL1309" t="str">
        <f>IF(AND(Audit_Data[[#This Row],[Recency]]&gt;=0,Audit_Data[[#This Row],[Recency]]&lt;=100),"Valid","Invalid")</f>
        <v>Valid</v>
      </c>
      <c r="AM1309" t="str">
        <f t="shared" si="266"/>
        <v>Valid</v>
      </c>
      <c r="AN1309" t="str">
        <f t="shared" si="267"/>
        <v>Valid</v>
      </c>
      <c r="AO1309" t="str">
        <f t="shared" si="268"/>
        <v>Valid</v>
      </c>
      <c r="AP1309" t="str">
        <f t="shared" si="269"/>
        <v>Valid</v>
      </c>
      <c r="AQ1309" t="str">
        <f>IF(Audit_Data[[#This Row],[Z_CostContact]]=3,"Valid","Invalid")</f>
        <v>Valid</v>
      </c>
      <c r="AR1309" t="str">
        <f t="shared" si="270"/>
        <v>Valid</v>
      </c>
      <c r="AS1309" t="str">
        <f t="shared" si="271"/>
        <v>Valid</v>
      </c>
    </row>
    <row r="1310" spans="1:45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 t="str">
        <f t="shared" si="260"/>
        <v>Ok</v>
      </c>
      <c r="AE1310" t="str">
        <f>IF(AND(Audit_Data[[#This Row],[Year_Birth]]&gt;=1900,Audit_Data[[#This Row],[Year_Birth]]&lt;=2010),"OK","Invalid")</f>
        <v>OK</v>
      </c>
      <c r="AF1310" t="str">
        <f t="shared" si="261"/>
        <v>Valid</v>
      </c>
      <c r="AG1310" t="str">
        <f t="shared" si="262"/>
        <v>Valid</v>
      </c>
      <c r="AH1310" t="str">
        <f t="shared" si="263"/>
        <v>Valid</v>
      </c>
      <c r="AI1310" t="str">
        <f t="shared" si="264"/>
        <v>Valid</v>
      </c>
      <c r="AJ1310" t="str">
        <f t="shared" si="265"/>
        <v>Valid</v>
      </c>
      <c r="AK1310" t="str">
        <f t="shared" si="272"/>
        <v xml:space="preserve">Valid </v>
      </c>
      <c r="AL1310" t="str">
        <f>IF(AND(Audit_Data[[#This Row],[Recency]]&gt;=0,Audit_Data[[#This Row],[Recency]]&lt;=100),"Valid","Invalid")</f>
        <v>Valid</v>
      </c>
      <c r="AM1310" t="str">
        <f t="shared" si="266"/>
        <v>Valid</v>
      </c>
      <c r="AN1310" t="str">
        <f t="shared" si="267"/>
        <v>Valid</v>
      </c>
      <c r="AO1310" t="str">
        <f t="shared" si="268"/>
        <v>Valid</v>
      </c>
      <c r="AP1310" t="str">
        <f t="shared" si="269"/>
        <v>Valid</v>
      </c>
      <c r="AQ1310" t="str">
        <f>IF(Audit_Data[[#This Row],[Z_CostContact]]=3,"Valid","Invalid")</f>
        <v>Valid</v>
      </c>
      <c r="AR1310" t="str">
        <f t="shared" si="270"/>
        <v>Valid</v>
      </c>
      <c r="AS1310" t="str">
        <f t="shared" si="271"/>
        <v>Valid</v>
      </c>
    </row>
    <row r="1311" spans="1:45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 t="str">
        <f t="shared" si="260"/>
        <v>Ok</v>
      </c>
      <c r="AE1311" t="str">
        <f>IF(AND(Audit_Data[[#This Row],[Year_Birth]]&gt;=1900,Audit_Data[[#This Row],[Year_Birth]]&lt;=2010),"OK","Invalid")</f>
        <v>OK</v>
      </c>
      <c r="AF1311" t="str">
        <f t="shared" si="261"/>
        <v>Valid</v>
      </c>
      <c r="AG1311" t="str">
        <f t="shared" si="262"/>
        <v>Valid</v>
      </c>
      <c r="AH1311" t="str">
        <f t="shared" si="263"/>
        <v>Valid</v>
      </c>
      <c r="AI1311" t="str">
        <f t="shared" si="264"/>
        <v>Valid</v>
      </c>
      <c r="AJ1311" t="str">
        <f t="shared" si="265"/>
        <v>Valid</v>
      </c>
      <c r="AK1311" t="str">
        <f t="shared" si="272"/>
        <v xml:space="preserve">Valid </v>
      </c>
      <c r="AL1311" t="str">
        <f>IF(AND(Audit_Data[[#This Row],[Recency]]&gt;=0,Audit_Data[[#This Row],[Recency]]&lt;=100),"Valid","Invalid")</f>
        <v>Valid</v>
      </c>
      <c r="AM1311" t="str">
        <f t="shared" si="266"/>
        <v>Valid</v>
      </c>
      <c r="AN1311" t="str">
        <f t="shared" si="267"/>
        <v>Valid</v>
      </c>
      <c r="AO1311" t="str">
        <f t="shared" si="268"/>
        <v>Valid</v>
      </c>
      <c r="AP1311" t="str">
        <f t="shared" si="269"/>
        <v>Valid</v>
      </c>
      <c r="AQ1311" t="str">
        <f>IF(Audit_Data[[#This Row],[Z_CostContact]]=3,"Valid","Invalid")</f>
        <v>Valid</v>
      </c>
      <c r="AR1311" t="str">
        <f t="shared" si="270"/>
        <v>Valid</v>
      </c>
      <c r="AS1311" t="str">
        <f t="shared" si="271"/>
        <v>Valid</v>
      </c>
    </row>
    <row r="1312" spans="1:45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 t="str">
        <f t="shared" si="260"/>
        <v>Ok</v>
      </c>
      <c r="AE1312" t="str">
        <f>IF(AND(Audit_Data[[#This Row],[Year_Birth]]&gt;=1900,Audit_Data[[#This Row],[Year_Birth]]&lt;=2010),"OK","Invalid")</f>
        <v>OK</v>
      </c>
      <c r="AF1312" t="str">
        <f t="shared" si="261"/>
        <v>Valid</v>
      </c>
      <c r="AG1312" t="str">
        <f t="shared" si="262"/>
        <v>Valid</v>
      </c>
      <c r="AH1312" t="str">
        <f t="shared" si="263"/>
        <v>Valid</v>
      </c>
      <c r="AI1312" t="str">
        <f t="shared" si="264"/>
        <v>Valid</v>
      </c>
      <c r="AJ1312" t="str">
        <f t="shared" si="265"/>
        <v>Valid</v>
      </c>
      <c r="AK1312" t="str">
        <f t="shared" si="272"/>
        <v xml:space="preserve">Valid </v>
      </c>
      <c r="AL1312" t="str">
        <f>IF(AND(Audit_Data[[#This Row],[Recency]]&gt;=0,Audit_Data[[#This Row],[Recency]]&lt;=100),"Valid","Invalid")</f>
        <v>Valid</v>
      </c>
      <c r="AM1312" t="str">
        <f t="shared" si="266"/>
        <v>Valid</v>
      </c>
      <c r="AN1312" t="str">
        <f t="shared" si="267"/>
        <v>Valid</v>
      </c>
      <c r="AO1312" t="str">
        <f t="shared" si="268"/>
        <v>Valid</v>
      </c>
      <c r="AP1312" t="str">
        <f t="shared" si="269"/>
        <v>Valid</v>
      </c>
      <c r="AQ1312" t="str">
        <f>IF(Audit_Data[[#This Row],[Z_CostContact]]=3,"Valid","Invalid")</f>
        <v>Valid</v>
      </c>
      <c r="AR1312" t="str">
        <f t="shared" si="270"/>
        <v>Valid</v>
      </c>
      <c r="AS1312" t="str">
        <f t="shared" si="271"/>
        <v>Valid</v>
      </c>
    </row>
    <row r="1313" spans="1:45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 t="str">
        <f t="shared" si="260"/>
        <v>Ok</v>
      </c>
      <c r="AE1313" t="str">
        <f>IF(AND(Audit_Data[[#This Row],[Year_Birth]]&gt;=1900,Audit_Data[[#This Row],[Year_Birth]]&lt;=2010),"OK","Invalid")</f>
        <v>OK</v>
      </c>
      <c r="AF1313" t="str">
        <f t="shared" si="261"/>
        <v>Valid</v>
      </c>
      <c r="AG1313" t="str">
        <f t="shared" si="262"/>
        <v>Valid</v>
      </c>
      <c r="AH1313" t="str">
        <f t="shared" si="263"/>
        <v>Valid</v>
      </c>
      <c r="AI1313" t="str">
        <f t="shared" si="264"/>
        <v>Valid</v>
      </c>
      <c r="AJ1313" t="str">
        <f t="shared" si="265"/>
        <v>Valid</v>
      </c>
      <c r="AK1313" t="str">
        <f t="shared" si="272"/>
        <v xml:space="preserve">Valid </v>
      </c>
      <c r="AL1313" t="str">
        <f>IF(AND(Audit_Data[[#This Row],[Recency]]&gt;=0,Audit_Data[[#This Row],[Recency]]&lt;=100),"Valid","Invalid")</f>
        <v>Valid</v>
      </c>
      <c r="AM1313" t="str">
        <f t="shared" si="266"/>
        <v>Valid</v>
      </c>
      <c r="AN1313" t="str">
        <f t="shared" si="267"/>
        <v>Valid</v>
      </c>
      <c r="AO1313" t="str">
        <f t="shared" si="268"/>
        <v>Valid</v>
      </c>
      <c r="AP1313" t="str">
        <f t="shared" si="269"/>
        <v>Valid</v>
      </c>
      <c r="AQ1313" t="str">
        <f>IF(Audit_Data[[#This Row],[Z_CostContact]]=3,"Valid","Invalid")</f>
        <v>Valid</v>
      </c>
      <c r="AR1313" t="str">
        <f t="shared" si="270"/>
        <v>Valid</v>
      </c>
      <c r="AS1313" t="str">
        <f t="shared" si="271"/>
        <v>Valid</v>
      </c>
    </row>
    <row r="1314" spans="1:45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 t="str">
        <f t="shared" si="260"/>
        <v>Ok</v>
      </c>
      <c r="AE1314" t="str">
        <f>IF(AND(Audit_Data[[#This Row],[Year_Birth]]&gt;=1900,Audit_Data[[#This Row],[Year_Birth]]&lt;=2010),"OK","Invalid")</f>
        <v>OK</v>
      </c>
      <c r="AF1314" t="str">
        <f t="shared" si="261"/>
        <v>Valid</v>
      </c>
      <c r="AG1314" t="str">
        <f t="shared" si="262"/>
        <v>Valid</v>
      </c>
      <c r="AH1314" t="str">
        <f t="shared" si="263"/>
        <v>Valid</v>
      </c>
      <c r="AI1314" t="str">
        <f t="shared" si="264"/>
        <v>Valid</v>
      </c>
      <c r="AJ1314" t="str">
        <f t="shared" si="265"/>
        <v>Valid</v>
      </c>
      <c r="AK1314" t="str">
        <f t="shared" si="272"/>
        <v xml:space="preserve">Valid </v>
      </c>
      <c r="AL1314" t="str">
        <f>IF(AND(Audit_Data[[#This Row],[Recency]]&gt;=0,Audit_Data[[#This Row],[Recency]]&lt;=100),"Valid","Invalid")</f>
        <v>Valid</v>
      </c>
      <c r="AM1314" t="str">
        <f t="shared" si="266"/>
        <v>Valid</v>
      </c>
      <c r="AN1314" t="str">
        <f t="shared" si="267"/>
        <v>Valid</v>
      </c>
      <c r="AO1314" t="str">
        <f t="shared" si="268"/>
        <v>Valid</v>
      </c>
      <c r="AP1314" t="str">
        <f t="shared" si="269"/>
        <v>Valid</v>
      </c>
      <c r="AQ1314" t="str">
        <f>IF(Audit_Data[[#This Row],[Z_CostContact]]=3,"Valid","Invalid")</f>
        <v>Valid</v>
      </c>
      <c r="AR1314" t="str">
        <f t="shared" si="270"/>
        <v>Valid</v>
      </c>
      <c r="AS1314" t="str">
        <f t="shared" si="271"/>
        <v>Valid</v>
      </c>
    </row>
    <row r="1315" spans="1:45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 t="str">
        <f t="shared" si="260"/>
        <v>Ok</v>
      </c>
      <c r="AE1315" t="str">
        <f>IF(AND(Audit_Data[[#This Row],[Year_Birth]]&gt;=1900,Audit_Data[[#This Row],[Year_Birth]]&lt;=2010),"OK","Invalid")</f>
        <v>OK</v>
      </c>
      <c r="AF1315" t="str">
        <f t="shared" si="261"/>
        <v>Valid</v>
      </c>
      <c r="AG1315" t="str">
        <f t="shared" si="262"/>
        <v>Valid</v>
      </c>
      <c r="AH1315" t="str">
        <f t="shared" si="263"/>
        <v>Valid</v>
      </c>
      <c r="AI1315" t="str">
        <f t="shared" si="264"/>
        <v>Valid</v>
      </c>
      <c r="AJ1315" t="str">
        <f t="shared" si="265"/>
        <v>Valid</v>
      </c>
      <c r="AK1315" t="str">
        <f t="shared" si="272"/>
        <v xml:space="preserve">Valid </v>
      </c>
      <c r="AL1315" t="str">
        <f>IF(AND(Audit_Data[[#This Row],[Recency]]&gt;=0,Audit_Data[[#This Row],[Recency]]&lt;=100),"Valid","Invalid")</f>
        <v>Valid</v>
      </c>
      <c r="AM1315" t="str">
        <f t="shared" si="266"/>
        <v>Valid</v>
      </c>
      <c r="AN1315" t="str">
        <f t="shared" si="267"/>
        <v>Valid</v>
      </c>
      <c r="AO1315" t="str">
        <f t="shared" si="268"/>
        <v>Valid</v>
      </c>
      <c r="AP1315" t="str">
        <f t="shared" si="269"/>
        <v>Valid</v>
      </c>
      <c r="AQ1315" t="str">
        <f>IF(Audit_Data[[#This Row],[Z_CostContact]]=3,"Valid","Invalid")</f>
        <v>Valid</v>
      </c>
      <c r="AR1315" t="str">
        <f t="shared" si="270"/>
        <v>Valid</v>
      </c>
      <c r="AS1315" t="str">
        <f t="shared" si="271"/>
        <v>Valid</v>
      </c>
    </row>
    <row r="1316" spans="1:45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 t="str">
        <f t="shared" si="260"/>
        <v>Ok</v>
      </c>
      <c r="AE1316" t="str">
        <f>IF(AND(Audit_Data[[#This Row],[Year_Birth]]&gt;=1900,Audit_Data[[#This Row],[Year_Birth]]&lt;=2010),"OK","Invalid")</f>
        <v>OK</v>
      </c>
      <c r="AF1316" t="str">
        <f t="shared" si="261"/>
        <v>Valid</v>
      </c>
      <c r="AG1316" t="str">
        <f t="shared" si="262"/>
        <v>Valid</v>
      </c>
      <c r="AH1316" t="str">
        <f t="shared" si="263"/>
        <v>Valid</v>
      </c>
      <c r="AI1316" t="str">
        <f t="shared" si="264"/>
        <v>Valid</v>
      </c>
      <c r="AJ1316" t="str">
        <f t="shared" si="265"/>
        <v>Valid</v>
      </c>
      <c r="AK1316" t="str">
        <f t="shared" si="272"/>
        <v xml:space="preserve">Valid </v>
      </c>
      <c r="AL1316" t="str">
        <f>IF(AND(Audit_Data[[#This Row],[Recency]]&gt;=0,Audit_Data[[#This Row],[Recency]]&lt;=100),"Valid","Invalid")</f>
        <v>Valid</v>
      </c>
      <c r="AM1316" t="str">
        <f t="shared" si="266"/>
        <v>Valid</v>
      </c>
      <c r="AN1316" t="str">
        <f t="shared" si="267"/>
        <v>Valid</v>
      </c>
      <c r="AO1316" t="str">
        <f t="shared" si="268"/>
        <v>Valid</v>
      </c>
      <c r="AP1316" t="str">
        <f t="shared" si="269"/>
        <v>Valid</v>
      </c>
      <c r="AQ1316" t="str">
        <f>IF(Audit_Data[[#This Row],[Z_CostContact]]=3,"Valid","Invalid")</f>
        <v>Valid</v>
      </c>
      <c r="AR1316" t="str">
        <f t="shared" si="270"/>
        <v>Valid</v>
      </c>
      <c r="AS1316" t="str">
        <f t="shared" si="271"/>
        <v>Valid</v>
      </c>
    </row>
    <row r="1317" spans="1:45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 t="str">
        <f t="shared" si="260"/>
        <v>Ok</v>
      </c>
      <c r="AE1317" t="str">
        <f>IF(AND(Audit_Data[[#This Row],[Year_Birth]]&gt;=1900,Audit_Data[[#This Row],[Year_Birth]]&lt;=2010),"OK","Invalid")</f>
        <v>OK</v>
      </c>
      <c r="AF1317" t="str">
        <f t="shared" si="261"/>
        <v>Valid</v>
      </c>
      <c r="AG1317" t="str">
        <f t="shared" si="262"/>
        <v>Valid</v>
      </c>
      <c r="AH1317" t="str">
        <f t="shared" si="263"/>
        <v>Valid</v>
      </c>
      <c r="AI1317" t="str">
        <f t="shared" si="264"/>
        <v>Valid</v>
      </c>
      <c r="AJ1317" t="str">
        <f t="shared" si="265"/>
        <v>Valid</v>
      </c>
      <c r="AK1317" t="str">
        <f t="shared" si="272"/>
        <v xml:space="preserve">Valid </v>
      </c>
      <c r="AL1317" t="str">
        <f>IF(AND(Audit_Data[[#This Row],[Recency]]&gt;=0,Audit_Data[[#This Row],[Recency]]&lt;=100),"Valid","Invalid")</f>
        <v>Valid</v>
      </c>
      <c r="AM1317" t="str">
        <f t="shared" si="266"/>
        <v>Valid</v>
      </c>
      <c r="AN1317" t="str">
        <f t="shared" si="267"/>
        <v>Valid</v>
      </c>
      <c r="AO1317" t="str">
        <f t="shared" si="268"/>
        <v>Valid</v>
      </c>
      <c r="AP1317" t="str">
        <f t="shared" si="269"/>
        <v>Valid</v>
      </c>
      <c r="AQ1317" t="str">
        <f>IF(Audit_Data[[#This Row],[Z_CostContact]]=3,"Valid","Invalid")</f>
        <v>Valid</v>
      </c>
      <c r="AR1317" t="str">
        <f t="shared" si="270"/>
        <v>Valid</v>
      </c>
      <c r="AS1317" t="str">
        <f t="shared" si="271"/>
        <v>Valid</v>
      </c>
    </row>
    <row r="1318" spans="1:45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 t="str">
        <f t="shared" si="260"/>
        <v>Ok</v>
      </c>
      <c r="AE1318" t="str">
        <f>IF(AND(Audit_Data[[#This Row],[Year_Birth]]&gt;=1900,Audit_Data[[#This Row],[Year_Birth]]&lt;=2010),"OK","Invalid")</f>
        <v>OK</v>
      </c>
      <c r="AF1318" t="str">
        <f t="shared" si="261"/>
        <v>Valid</v>
      </c>
      <c r="AG1318" t="str">
        <f t="shared" si="262"/>
        <v>Valid</v>
      </c>
      <c r="AH1318" t="str">
        <f t="shared" si="263"/>
        <v>Valid</v>
      </c>
      <c r="AI1318" t="str">
        <f t="shared" si="264"/>
        <v>Valid</v>
      </c>
      <c r="AJ1318" t="str">
        <f t="shared" si="265"/>
        <v>Valid</v>
      </c>
      <c r="AK1318" t="str">
        <f t="shared" si="272"/>
        <v xml:space="preserve">Valid </v>
      </c>
      <c r="AL1318" t="str">
        <f>IF(AND(Audit_Data[[#This Row],[Recency]]&gt;=0,Audit_Data[[#This Row],[Recency]]&lt;=100),"Valid","Invalid")</f>
        <v>Valid</v>
      </c>
      <c r="AM1318" t="str">
        <f t="shared" si="266"/>
        <v>Valid</v>
      </c>
      <c r="AN1318" t="str">
        <f t="shared" si="267"/>
        <v>Valid</v>
      </c>
      <c r="AO1318" t="str">
        <f t="shared" si="268"/>
        <v>Valid</v>
      </c>
      <c r="AP1318" t="str">
        <f t="shared" si="269"/>
        <v>Valid</v>
      </c>
      <c r="AQ1318" t="str">
        <f>IF(Audit_Data[[#This Row],[Z_CostContact]]=3,"Valid","Invalid")</f>
        <v>Valid</v>
      </c>
      <c r="AR1318" t="str">
        <f t="shared" si="270"/>
        <v>Valid</v>
      </c>
      <c r="AS1318" t="str">
        <f t="shared" si="271"/>
        <v>Valid</v>
      </c>
    </row>
    <row r="1319" spans="1:45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 t="str">
        <f t="shared" si="260"/>
        <v>Ok</v>
      </c>
      <c r="AE1319" t="str">
        <f>IF(AND(Audit_Data[[#This Row],[Year_Birth]]&gt;=1900,Audit_Data[[#This Row],[Year_Birth]]&lt;=2010),"OK","Invalid")</f>
        <v>OK</v>
      </c>
      <c r="AF1319" t="str">
        <f t="shared" si="261"/>
        <v>Valid</v>
      </c>
      <c r="AG1319" t="str">
        <f t="shared" si="262"/>
        <v>Valid</v>
      </c>
      <c r="AH1319" t="str">
        <f t="shared" si="263"/>
        <v>Valid</v>
      </c>
      <c r="AI1319" t="str">
        <f t="shared" si="264"/>
        <v>Valid</v>
      </c>
      <c r="AJ1319" t="str">
        <f t="shared" si="265"/>
        <v>Valid</v>
      </c>
      <c r="AK1319" t="str">
        <f t="shared" si="272"/>
        <v xml:space="preserve">Valid </v>
      </c>
      <c r="AL1319" t="str">
        <f>IF(AND(Audit_Data[[#This Row],[Recency]]&gt;=0,Audit_Data[[#This Row],[Recency]]&lt;=100),"Valid","Invalid")</f>
        <v>Valid</v>
      </c>
      <c r="AM1319" t="str">
        <f t="shared" si="266"/>
        <v>Valid</v>
      </c>
      <c r="AN1319" t="str">
        <f t="shared" si="267"/>
        <v>Valid</v>
      </c>
      <c r="AO1319" t="str">
        <f t="shared" si="268"/>
        <v>Valid</v>
      </c>
      <c r="AP1319" t="str">
        <f t="shared" si="269"/>
        <v>Valid</v>
      </c>
      <c r="AQ1319" t="str">
        <f>IF(Audit_Data[[#This Row],[Z_CostContact]]=3,"Valid","Invalid")</f>
        <v>Valid</v>
      </c>
      <c r="AR1319" t="str">
        <f t="shared" si="270"/>
        <v>Valid</v>
      </c>
      <c r="AS1319" t="str">
        <f t="shared" si="271"/>
        <v>Valid</v>
      </c>
    </row>
    <row r="1320" spans="1:45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 t="str">
        <f t="shared" si="260"/>
        <v>Ok</v>
      </c>
      <c r="AE1320" t="str">
        <f>IF(AND(Audit_Data[[#This Row],[Year_Birth]]&gt;=1900,Audit_Data[[#This Row],[Year_Birth]]&lt;=2010),"OK","Invalid")</f>
        <v>OK</v>
      </c>
      <c r="AF1320" t="str">
        <f t="shared" si="261"/>
        <v>Valid</v>
      </c>
      <c r="AG1320" t="str">
        <f t="shared" si="262"/>
        <v>Valid</v>
      </c>
      <c r="AH1320" t="str">
        <f t="shared" si="263"/>
        <v>Valid</v>
      </c>
      <c r="AI1320" t="str">
        <f t="shared" si="264"/>
        <v>Valid</v>
      </c>
      <c r="AJ1320" t="str">
        <f t="shared" si="265"/>
        <v>Valid</v>
      </c>
      <c r="AK1320" t="str">
        <f t="shared" si="272"/>
        <v xml:space="preserve">Valid </v>
      </c>
      <c r="AL1320" t="str">
        <f>IF(AND(Audit_Data[[#This Row],[Recency]]&gt;=0,Audit_Data[[#This Row],[Recency]]&lt;=100),"Valid","Invalid")</f>
        <v>Valid</v>
      </c>
      <c r="AM1320" t="str">
        <f t="shared" si="266"/>
        <v>Valid</v>
      </c>
      <c r="AN1320" t="str">
        <f t="shared" si="267"/>
        <v>Valid</v>
      </c>
      <c r="AO1320" t="str">
        <f t="shared" si="268"/>
        <v>Valid</v>
      </c>
      <c r="AP1320" t="str">
        <f t="shared" si="269"/>
        <v>Valid</v>
      </c>
      <c r="AQ1320" t="str">
        <f>IF(Audit_Data[[#This Row],[Z_CostContact]]=3,"Valid","Invalid")</f>
        <v>Valid</v>
      </c>
      <c r="AR1320" t="str">
        <f t="shared" si="270"/>
        <v>Valid</v>
      </c>
      <c r="AS1320" t="str">
        <f t="shared" si="271"/>
        <v>Valid</v>
      </c>
    </row>
    <row r="1321" spans="1:45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 t="str">
        <f t="shared" si="260"/>
        <v>Ok</v>
      </c>
      <c r="AE1321" t="str">
        <f>IF(AND(Audit_Data[[#This Row],[Year_Birth]]&gt;=1900,Audit_Data[[#This Row],[Year_Birth]]&lt;=2010),"OK","Invalid")</f>
        <v>OK</v>
      </c>
      <c r="AF1321" t="str">
        <f t="shared" si="261"/>
        <v>Valid</v>
      </c>
      <c r="AG1321" t="str">
        <f t="shared" si="262"/>
        <v>Valid</v>
      </c>
      <c r="AH1321" t="str">
        <f t="shared" si="263"/>
        <v>Valid</v>
      </c>
      <c r="AI1321" t="str">
        <f t="shared" si="264"/>
        <v>Valid</v>
      </c>
      <c r="AJ1321" t="str">
        <f t="shared" si="265"/>
        <v>Valid</v>
      </c>
      <c r="AK1321" t="str">
        <f t="shared" si="272"/>
        <v xml:space="preserve">Valid </v>
      </c>
      <c r="AL1321" t="str">
        <f>IF(AND(Audit_Data[[#This Row],[Recency]]&gt;=0,Audit_Data[[#This Row],[Recency]]&lt;=100),"Valid","Invalid")</f>
        <v>Valid</v>
      </c>
      <c r="AM1321" t="str">
        <f t="shared" si="266"/>
        <v>Valid</v>
      </c>
      <c r="AN1321" t="str">
        <f t="shared" si="267"/>
        <v>Valid</v>
      </c>
      <c r="AO1321" t="str">
        <f t="shared" si="268"/>
        <v>Valid</v>
      </c>
      <c r="AP1321" t="str">
        <f t="shared" si="269"/>
        <v>Valid</v>
      </c>
      <c r="AQ1321" t="str">
        <f>IF(Audit_Data[[#This Row],[Z_CostContact]]=3,"Valid","Invalid")</f>
        <v>Valid</v>
      </c>
      <c r="AR1321" t="str">
        <f t="shared" si="270"/>
        <v>Valid</v>
      </c>
      <c r="AS1321" t="str">
        <f t="shared" si="271"/>
        <v>Valid</v>
      </c>
    </row>
    <row r="1322" spans="1:45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 t="str">
        <f t="shared" si="260"/>
        <v>Ok</v>
      </c>
      <c r="AE1322" t="str">
        <f>IF(AND(Audit_Data[[#This Row],[Year_Birth]]&gt;=1900,Audit_Data[[#This Row],[Year_Birth]]&lt;=2010),"OK","Invalid")</f>
        <v>OK</v>
      </c>
      <c r="AF1322" t="str">
        <f t="shared" si="261"/>
        <v>Valid</v>
      </c>
      <c r="AG1322" t="str">
        <f t="shared" si="262"/>
        <v>Valid</v>
      </c>
      <c r="AH1322" t="str">
        <f t="shared" si="263"/>
        <v>Valid</v>
      </c>
      <c r="AI1322" t="str">
        <f t="shared" si="264"/>
        <v>Valid</v>
      </c>
      <c r="AJ1322" t="str">
        <f t="shared" si="265"/>
        <v>Valid</v>
      </c>
      <c r="AK1322" t="str">
        <f t="shared" si="272"/>
        <v xml:space="preserve">Valid </v>
      </c>
      <c r="AL1322" t="str">
        <f>IF(AND(Audit_Data[[#This Row],[Recency]]&gt;=0,Audit_Data[[#This Row],[Recency]]&lt;=100),"Valid","Invalid")</f>
        <v>Valid</v>
      </c>
      <c r="AM1322" t="str">
        <f t="shared" si="266"/>
        <v>Valid</v>
      </c>
      <c r="AN1322" t="str">
        <f t="shared" si="267"/>
        <v>Valid</v>
      </c>
      <c r="AO1322" t="str">
        <f t="shared" si="268"/>
        <v>Valid</v>
      </c>
      <c r="AP1322" t="str">
        <f t="shared" si="269"/>
        <v>Valid</v>
      </c>
      <c r="AQ1322" t="str">
        <f>IF(Audit_Data[[#This Row],[Z_CostContact]]=3,"Valid","Invalid")</f>
        <v>Valid</v>
      </c>
      <c r="AR1322" t="str">
        <f t="shared" si="270"/>
        <v>Valid</v>
      </c>
      <c r="AS1322" t="str">
        <f t="shared" si="271"/>
        <v>Valid</v>
      </c>
    </row>
    <row r="1323" spans="1:45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 t="str">
        <f t="shared" si="260"/>
        <v>Ok</v>
      </c>
      <c r="AE1323" t="str">
        <f>IF(AND(Audit_Data[[#This Row],[Year_Birth]]&gt;=1900,Audit_Data[[#This Row],[Year_Birth]]&lt;=2010),"OK","Invalid")</f>
        <v>OK</v>
      </c>
      <c r="AF1323" t="str">
        <f t="shared" si="261"/>
        <v>Valid</v>
      </c>
      <c r="AG1323" t="str">
        <f t="shared" si="262"/>
        <v>Valid</v>
      </c>
      <c r="AH1323" t="str">
        <f t="shared" si="263"/>
        <v>Valid</v>
      </c>
      <c r="AI1323" t="str">
        <f t="shared" si="264"/>
        <v>Valid</v>
      </c>
      <c r="AJ1323" t="str">
        <f t="shared" si="265"/>
        <v>Valid</v>
      </c>
      <c r="AK1323" t="str">
        <f t="shared" si="272"/>
        <v xml:space="preserve">Valid </v>
      </c>
      <c r="AL1323" t="str">
        <f>IF(AND(Audit_Data[[#This Row],[Recency]]&gt;=0,Audit_Data[[#This Row],[Recency]]&lt;=100),"Valid","Invalid")</f>
        <v>Valid</v>
      </c>
      <c r="AM1323" t="str">
        <f t="shared" si="266"/>
        <v>Valid</v>
      </c>
      <c r="AN1323" t="str">
        <f t="shared" si="267"/>
        <v>Valid</v>
      </c>
      <c r="AO1323" t="str">
        <f t="shared" si="268"/>
        <v>Valid</v>
      </c>
      <c r="AP1323" t="str">
        <f t="shared" si="269"/>
        <v>Valid</v>
      </c>
      <c r="AQ1323" t="str">
        <f>IF(Audit_Data[[#This Row],[Z_CostContact]]=3,"Valid","Invalid")</f>
        <v>Valid</v>
      </c>
      <c r="AR1323" t="str">
        <f t="shared" si="270"/>
        <v>Valid</v>
      </c>
      <c r="AS1323" t="str">
        <f t="shared" si="271"/>
        <v>Valid</v>
      </c>
    </row>
    <row r="1324" spans="1:45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 t="str">
        <f t="shared" si="260"/>
        <v>Ok</v>
      </c>
      <c r="AE1324" t="str">
        <f>IF(AND(Audit_Data[[#This Row],[Year_Birth]]&gt;=1900,Audit_Data[[#This Row],[Year_Birth]]&lt;=2010),"OK","Invalid")</f>
        <v>OK</v>
      </c>
      <c r="AF1324" t="str">
        <f t="shared" si="261"/>
        <v>Valid</v>
      </c>
      <c r="AG1324" t="str">
        <f t="shared" si="262"/>
        <v>Valid</v>
      </c>
      <c r="AH1324" t="str">
        <f t="shared" si="263"/>
        <v>Valid</v>
      </c>
      <c r="AI1324" t="str">
        <f t="shared" si="264"/>
        <v>Valid</v>
      </c>
      <c r="AJ1324" t="str">
        <f t="shared" si="265"/>
        <v>Valid</v>
      </c>
      <c r="AK1324" t="str">
        <f t="shared" si="272"/>
        <v xml:space="preserve">Valid </v>
      </c>
      <c r="AL1324" t="str">
        <f>IF(AND(Audit_Data[[#This Row],[Recency]]&gt;=0,Audit_Data[[#This Row],[Recency]]&lt;=100),"Valid","Invalid")</f>
        <v>Valid</v>
      </c>
      <c r="AM1324" t="str">
        <f t="shared" si="266"/>
        <v>Valid</v>
      </c>
      <c r="AN1324" t="str">
        <f t="shared" si="267"/>
        <v>Valid</v>
      </c>
      <c r="AO1324" t="str">
        <f t="shared" si="268"/>
        <v>Valid</v>
      </c>
      <c r="AP1324" t="str">
        <f t="shared" si="269"/>
        <v>Valid</v>
      </c>
      <c r="AQ1324" t="str">
        <f>IF(Audit_Data[[#This Row],[Z_CostContact]]=3,"Valid","Invalid")</f>
        <v>Valid</v>
      </c>
      <c r="AR1324" t="str">
        <f t="shared" si="270"/>
        <v>Valid</v>
      </c>
      <c r="AS1324" t="str">
        <f t="shared" si="271"/>
        <v>Valid</v>
      </c>
    </row>
    <row r="1325" spans="1:45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 t="str">
        <f t="shared" si="260"/>
        <v>Ok</v>
      </c>
      <c r="AE1325" t="str">
        <f>IF(AND(Audit_Data[[#This Row],[Year_Birth]]&gt;=1900,Audit_Data[[#This Row],[Year_Birth]]&lt;=2010),"OK","Invalid")</f>
        <v>OK</v>
      </c>
      <c r="AF1325" t="str">
        <f t="shared" si="261"/>
        <v>Valid</v>
      </c>
      <c r="AG1325" t="str">
        <f t="shared" si="262"/>
        <v>Valid</v>
      </c>
      <c r="AH1325" t="str">
        <f t="shared" si="263"/>
        <v>Valid</v>
      </c>
      <c r="AI1325" t="str">
        <f t="shared" si="264"/>
        <v>Valid</v>
      </c>
      <c r="AJ1325" t="str">
        <f t="shared" si="265"/>
        <v>Valid</v>
      </c>
      <c r="AK1325" t="str">
        <f t="shared" si="272"/>
        <v xml:space="preserve">Valid </v>
      </c>
      <c r="AL1325" t="str">
        <f>IF(AND(Audit_Data[[#This Row],[Recency]]&gt;=0,Audit_Data[[#This Row],[Recency]]&lt;=100),"Valid","Invalid")</f>
        <v>Valid</v>
      </c>
      <c r="AM1325" t="str">
        <f t="shared" si="266"/>
        <v>Valid</v>
      </c>
      <c r="AN1325" t="str">
        <f t="shared" si="267"/>
        <v>Valid</v>
      </c>
      <c r="AO1325" t="str">
        <f t="shared" si="268"/>
        <v>Valid</v>
      </c>
      <c r="AP1325" t="str">
        <f t="shared" si="269"/>
        <v>Valid</v>
      </c>
      <c r="AQ1325" t="str">
        <f>IF(Audit_Data[[#This Row],[Z_CostContact]]=3,"Valid","Invalid")</f>
        <v>Valid</v>
      </c>
      <c r="AR1325" t="str">
        <f t="shared" si="270"/>
        <v>Valid</v>
      </c>
      <c r="AS1325" t="str">
        <f t="shared" si="271"/>
        <v>Valid</v>
      </c>
    </row>
    <row r="1326" spans="1:45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 t="str">
        <f t="shared" si="260"/>
        <v>Ok</v>
      </c>
      <c r="AE1326" t="str">
        <f>IF(AND(Audit_Data[[#This Row],[Year_Birth]]&gt;=1900,Audit_Data[[#This Row],[Year_Birth]]&lt;=2010),"OK","Invalid")</f>
        <v>OK</v>
      </c>
      <c r="AF1326" t="str">
        <f t="shared" si="261"/>
        <v>Valid</v>
      </c>
      <c r="AG1326" t="str">
        <f t="shared" si="262"/>
        <v>Valid</v>
      </c>
      <c r="AH1326" t="str">
        <f t="shared" si="263"/>
        <v>Valid</v>
      </c>
      <c r="AI1326" t="str">
        <f t="shared" si="264"/>
        <v>Valid</v>
      </c>
      <c r="AJ1326" t="str">
        <f t="shared" si="265"/>
        <v>Valid</v>
      </c>
      <c r="AK1326" t="str">
        <f t="shared" si="272"/>
        <v xml:space="preserve">Valid </v>
      </c>
      <c r="AL1326" t="str">
        <f>IF(AND(Audit_Data[[#This Row],[Recency]]&gt;=0,Audit_Data[[#This Row],[Recency]]&lt;=100),"Valid","Invalid")</f>
        <v>Valid</v>
      </c>
      <c r="AM1326" t="str">
        <f t="shared" si="266"/>
        <v>Valid</v>
      </c>
      <c r="AN1326" t="str">
        <f t="shared" si="267"/>
        <v>Valid</v>
      </c>
      <c r="AO1326" t="str">
        <f t="shared" si="268"/>
        <v>Valid</v>
      </c>
      <c r="AP1326" t="str">
        <f t="shared" si="269"/>
        <v>Valid</v>
      </c>
      <c r="AQ1326" t="str">
        <f>IF(Audit_Data[[#This Row],[Z_CostContact]]=3,"Valid","Invalid")</f>
        <v>Valid</v>
      </c>
      <c r="AR1326" t="str">
        <f t="shared" si="270"/>
        <v>Valid</v>
      </c>
      <c r="AS1326" t="str">
        <f t="shared" si="271"/>
        <v>Valid</v>
      </c>
    </row>
    <row r="1327" spans="1:45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 t="str">
        <f t="shared" si="260"/>
        <v>Ok</v>
      </c>
      <c r="AE1327" t="str">
        <f>IF(AND(Audit_Data[[#This Row],[Year_Birth]]&gt;=1900,Audit_Data[[#This Row],[Year_Birth]]&lt;=2010),"OK","Invalid")</f>
        <v>OK</v>
      </c>
      <c r="AF1327" t="str">
        <f t="shared" si="261"/>
        <v>Valid</v>
      </c>
      <c r="AG1327" t="str">
        <f t="shared" si="262"/>
        <v>Valid</v>
      </c>
      <c r="AH1327" t="str">
        <f t="shared" si="263"/>
        <v>Valid</v>
      </c>
      <c r="AI1327" t="str">
        <f t="shared" si="264"/>
        <v>Valid</v>
      </c>
      <c r="AJ1327" t="str">
        <f t="shared" si="265"/>
        <v>Valid</v>
      </c>
      <c r="AK1327" t="str">
        <f t="shared" si="272"/>
        <v xml:space="preserve">Valid </v>
      </c>
      <c r="AL1327" t="str">
        <f>IF(AND(Audit_Data[[#This Row],[Recency]]&gt;=0,Audit_Data[[#This Row],[Recency]]&lt;=100),"Valid","Invalid")</f>
        <v>Valid</v>
      </c>
      <c r="AM1327" t="str">
        <f t="shared" si="266"/>
        <v>Valid</v>
      </c>
      <c r="AN1327" t="str">
        <f t="shared" si="267"/>
        <v>Valid</v>
      </c>
      <c r="AO1327" t="str">
        <f t="shared" si="268"/>
        <v>Valid</v>
      </c>
      <c r="AP1327" t="str">
        <f t="shared" si="269"/>
        <v>Valid</v>
      </c>
      <c r="AQ1327" t="str">
        <f>IF(Audit_Data[[#This Row],[Z_CostContact]]=3,"Valid","Invalid")</f>
        <v>Valid</v>
      </c>
      <c r="AR1327" t="str">
        <f t="shared" si="270"/>
        <v>Valid</v>
      </c>
      <c r="AS1327" t="str">
        <f t="shared" si="271"/>
        <v>Valid</v>
      </c>
    </row>
    <row r="1328" spans="1:45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 t="str">
        <f t="shared" si="260"/>
        <v>Ok</v>
      </c>
      <c r="AE1328" t="str">
        <f>IF(AND(Audit_Data[[#This Row],[Year_Birth]]&gt;=1900,Audit_Data[[#This Row],[Year_Birth]]&lt;=2010),"OK","Invalid")</f>
        <v>OK</v>
      </c>
      <c r="AF1328" t="str">
        <f t="shared" si="261"/>
        <v>Valid</v>
      </c>
      <c r="AG1328" t="str">
        <f t="shared" si="262"/>
        <v>Valid</v>
      </c>
      <c r="AH1328" t="str">
        <f t="shared" si="263"/>
        <v>Valid</v>
      </c>
      <c r="AI1328" t="str">
        <f t="shared" si="264"/>
        <v>Valid</v>
      </c>
      <c r="AJ1328" t="str">
        <f t="shared" si="265"/>
        <v>Valid</v>
      </c>
      <c r="AK1328" t="str">
        <f t="shared" si="272"/>
        <v xml:space="preserve">Valid </v>
      </c>
      <c r="AL1328" t="str">
        <f>IF(AND(Audit_Data[[#This Row],[Recency]]&gt;=0,Audit_Data[[#This Row],[Recency]]&lt;=100),"Valid","Invalid")</f>
        <v>Valid</v>
      </c>
      <c r="AM1328" t="str">
        <f t="shared" si="266"/>
        <v>Valid</v>
      </c>
      <c r="AN1328" t="str">
        <f t="shared" si="267"/>
        <v>Valid</v>
      </c>
      <c r="AO1328" t="str">
        <f t="shared" si="268"/>
        <v>Valid</v>
      </c>
      <c r="AP1328" t="str">
        <f t="shared" si="269"/>
        <v>Valid</v>
      </c>
      <c r="AQ1328" t="str">
        <f>IF(Audit_Data[[#This Row],[Z_CostContact]]=3,"Valid","Invalid")</f>
        <v>Valid</v>
      </c>
      <c r="AR1328" t="str">
        <f t="shared" si="270"/>
        <v>Valid</v>
      </c>
      <c r="AS1328" t="str">
        <f t="shared" si="271"/>
        <v>Valid</v>
      </c>
    </row>
    <row r="1329" spans="1:45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 t="str">
        <f t="shared" si="260"/>
        <v>Ok</v>
      </c>
      <c r="AE1329" t="str">
        <f>IF(AND(Audit_Data[[#This Row],[Year_Birth]]&gt;=1900,Audit_Data[[#This Row],[Year_Birth]]&lt;=2010),"OK","Invalid")</f>
        <v>OK</v>
      </c>
      <c r="AF1329" t="str">
        <f t="shared" si="261"/>
        <v>Valid</v>
      </c>
      <c r="AG1329" t="str">
        <f t="shared" si="262"/>
        <v>Valid</v>
      </c>
      <c r="AH1329" t="str">
        <f t="shared" si="263"/>
        <v>Valid</v>
      </c>
      <c r="AI1329" t="str">
        <f t="shared" si="264"/>
        <v>Valid</v>
      </c>
      <c r="AJ1329" t="str">
        <f t="shared" si="265"/>
        <v>Valid</v>
      </c>
      <c r="AK1329" t="str">
        <f t="shared" si="272"/>
        <v xml:space="preserve">Valid </v>
      </c>
      <c r="AL1329" t="str">
        <f>IF(AND(Audit_Data[[#This Row],[Recency]]&gt;=0,Audit_Data[[#This Row],[Recency]]&lt;=100),"Valid","Invalid")</f>
        <v>Valid</v>
      </c>
      <c r="AM1329" t="str">
        <f t="shared" si="266"/>
        <v>Valid</v>
      </c>
      <c r="AN1329" t="str">
        <f t="shared" si="267"/>
        <v>Valid</v>
      </c>
      <c r="AO1329" t="str">
        <f t="shared" si="268"/>
        <v>Valid</v>
      </c>
      <c r="AP1329" t="str">
        <f t="shared" si="269"/>
        <v>Valid</v>
      </c>
      <c r="AQ1329" t="str">
        <f>IF(Audit_Data[[#This Row],[Z_CostContact]]=3,"Valid","Invalid")</f>
        <v>Valid</v>
      </c>
      <c r="AR1329" t="str">
        <f t="shared" si="270"/>
        <v>Valid</v>
      </c>
      <c r="AS1329" t="str">
        <f t="shared" si="271"/>
        <v>Valid</v>
      </c>
    </row>
    <row r="1330" spans="1:45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 t="str">
        <f t="shared" si="260"/>
        <v>Ok</v>
      </c>
      <c r="AE1330" t="str">
        <f>IF(AND(Audit_Data[[#This Row],[Year_Birth]]&gt;=1900,Audit_Data[[#This Row],[Year_Birth]]&lt;=2010),"OK","Invalid")</f>
        <v>OK</v>
      </c>
      <c r="AF1330" t="str">
        <f t="shared" si="261"/>
        <v>Valid</v>
      </c>
      <c r="AG1330" t="str">
        <f t="shared" si="262"/>
        <v>Valid</v>
      </c>
      <c r="AH1330" t="str">
        <f t="shared" si="263"/>
        <v>Valid</v>
      </c>
      <c r="AI1330" t="str">
        <f t="shared" si="264"/>
        <v>Valid</v>
      </c>
      <c r="AJ1330" t="str">
        <f t="shared" si="265"/>
        <v>Valid</v>
      </c>
      <c r="AK1330" t="str">
        <f t="shared" si="272"/>
        <v xml:space="preserve">Valid </v>
      </c>
      <c r="AL1330" t="str">
        <f>IF(AND(Audit_Data[[#This Row],[Recency]]&gt;=0,Audit_Data[[#This Row],[Recency]]&lt;=100),"Valid","Invalid")</f>
        <v>Valid</v>
      </c>
      <c r="AM1330" t="str">
        <f t="shared" si="266"/>
        <v>Valid</v>
      </c>
      <c r="AN1330" t="str">
        <f t="shared" si="267"/>
        <v>Valid</v>
      </c>
      <c r="AO1330" t="str">
        <f t="shared" si="268"/>
        <v>Valid</v>
      </c>
      <c r="AP1330" t="str">
        <f t="shared" si="269"/>
        <v>Valid</v>
      </c>
      <c r="AQ1330" t="str">
        <f>IF(Audit_Data[[#This Row],[Z_CostContact]]=3,"Valid","Invalid")</f>
        <v>Valid</v>
      </c>
      <c r="AR1330" t="str">
        <f t="shared" si="270"/>
        <v>Valid</v>
      </c>
      <c r="AS1330" t="str">
        <f t="shared" si="271"/>
        <v>Valid</v>
      </c>
    </row>
    <row r="1331" spans="1:45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 t="str">
        <f t="shared" si="260"/>
        <v>Ok</v>
      </c>
      <c r="AE1331" t="str">
        <f>IF(AND(Audit_Data[[#This Row],[Year_Birth]]&gt;=1900,Audit_Data[[#This Row],[Year_Birth]]&lt;=2010),"OK","Invalid")</f>
        <v>OK</v>
      </c>
      <c r="AF1331" t="str">
        <f t="shared" si="261"/>
        <v>Valid</v>
      </c>
      <c r="AG1331" t="str">
        <f t="shared" si="262"/>
        <v>Valid</v>
      </c>
      <c r="AH1331" t="str">
        <f t="shared" si="263"/>
        <v>Valid</v>
      </c>
      <c r="AI1331" t="str">
        <f t="shared" si="264"/>
        <v>Valid</v>
      </c>
      <c r="AJ1331" t="str">
        <f t="shared" si="265"/>
        <v>Valid</v>
      </c>
      <c r="AK1331" t="str">
        <f t="shared" si="272"/>
        <v xml:space="preserve">Valid </v>
      </c>
      <c r="AL1331" t="str">
        <f>IF(AND(Audit_Data[[#This Row],[Recency]]&gt;=0,Audit_Data[[#This Row],[Recency]]&lt;=100),"Valid","Invalid")</f>
        <v>Valid</v>
      </c>
      <c r="AM1331" t="str">
        <f t="shared" si="266"/>
        <v>Valid</v>
      </c>
      <c r="AN1331" t="str">
        <f t="shared" si="267"/>
        <v>Valid</v>
      </c>
      <c r="AO1331" t="str">
        <f t="shared" si="268"/>
        <v>Valid</v>
      </c>
      <c r="AP1331" t="str">
        <f t="shared" si="269"/>
        <v>Valid</v>
      </c>
      <c r="AQ1331" t="str">
        <f>IF(Audit_Data[[#This Row],[Z_CostContact]]=3,"Valid","Invalid")</f>
        <v>Valid</v>
      </c>
      <c r="AR1331" t="str">
        <f t="shared" si="270"/>
        <v>Valid</v>
      </c>
      <c r="AS1331" t="str">
        <f t="shared" si="271"/>
        <v>Valid</v>
      </c>
    </row>
    <row r="1332" spans="1:45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 t="str">
        <f t="shared" si="260"/>
        <v>Ok</v>
      </c>
      <c r="AE1332" t="str">
        <f>IF(AND(Audit_Data[[#This Row],[Year_Birth]]&gt;=1900,Audit_Data[[#This Row],[Year_Birth]]&lt;=2010),"OK","Invalid")</f>
        <v>OK</v>
      </c>
      <c r="AF1332" t="str">
        <f t="shared" si="261"/>
        <v>Valid</v>
      </c>
      <c r="AG1332" t="str">
        <f t="shared" si="262"/>
        <v>Valid</v>
      </c>
      <c r="AH1332" t="str">
        <f t="shared" si="263"/>
        <v>Valid</v>
      </c>
      <c r="AI1332" t="str">
        <f t="shared" si="264"/>
        <v>Valid</v>
      </c>
      <c r="AJ1332" t="str">
        <f t="shared" si="265"/>
        <v>Valid</v>
      </c>
      <c r="AK1332" t="str">
        <f t="shared" si="272"/>
        <v xml:space="preserve">Valid </v>
      </c>
      <c r="AL1332" t="str">
        <f>IF(AND(Audit_Data[[#This Row],[Recency]]&gt;=0,Audit_Data[[#This Row],[Recency]]&lt;=100),"Valid","Invalid")</f>
        <v>Valid</v>
      </c>
      <c r="AM1332" t="str">
        <f t="shared" si="266"/>
        <v>Valid</v>
      </c>
      <c r="AN1332" t="str">
        <f t="shared" si="267"/>
        <v>Valid</v>
      </c>
      <c r="AO1332" t="str">
        <f t="shared" si="268"/>
        <v>Valid</v>
      </c>
      <c r="AP1332" t="str">
        <f t="shared" si="269"/>
        <v>Valid</v>
      </c>
      <c r="AQ1332" t="str">
        <f>IF(Audit_Data[[#This Row],[Z_CostContact]]=3,"Valid","Invalid")</f>
        <v>Valid</v>
      </c>
      <c r="AR1332" t="str">
        <f t="shared" si="270"/>
        <v>Valid</v>
      </c>
      <c r="AS1332" t="str">
        <f t="shared" si="271"/>
        <v>Valid</v>
      </c>
    </row>
    <row r="1333" spans="1:45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 t="str">
        <f t="shared" si="260"/>
        <v>Ok</v>
      </c>
      <c r="AE1333" t="str">
        <f>IF(AND(Audit_Data[[#This Row],[Year_Birth]]&gt;=1900,Audit_Data[[#This Row],[Year_Birth]]&lt;=2010),"OK","Invalid")</f>
        <v>OK</v>
      </c>
      <c r="AF1333" t="str">
        <f t="shared" si="261"/>
        <v>Valid</v>
      </c>
      <c r="AG1333" t="str">
        <f t="shared" si="262"/>
        <v>Valid</v>
      </c>
      <c r="AH1333" t="str">
        <f t="shared" si="263"/>
        <v>Valid</v>
      </c>
      <c r="AI1333" t="str">
        <f t="shared" si="264"/>
        <v>Valid</v>
      </c>
      <c r="AJ1333" t="str">
        <f t="shared" si="265"/>
        <v>Valid</v>
      </c>
      <c r="AK1333" t="str">
        <f t="shared" si="272"/>
        <v xml:space="preserve">Valid </v>
      </c>
      <c r="AL1333" t="str">
        <f>IF(AND(Audit_Data[[#This Row],[Recency]]&gt;=0,Audit_Data[[#This Row],[Recency]]&lt;=100),"Valid","Invalid")</f>
        <v>Valid</v>
      </c>
      <c r="AM1333" t="str">
        <f t="shared" si="266"/>
        <v>Valid</v>
      </c>
      <c r="AN1333" t="str">
        <f t="shared" si="267"/>
        <v>Valid</v>
      </c>
      <c r="AO1333" t="str">
        <f t="shared" si="268"/>
        <v>Valid</v>
      </c>
      <c r="AP1333" t="str">
        <f t="shared" si="269"/>
        <v>Valid</v>
      </c>
      <c r="AQ1333" t="str">
        <f>IF(Audit_Data[[#This Row],[Z_CostContact]]=3,"Valid","Invalid")</f>
        <v>Valid</v>
      </c>
      <c r="AR1333" t="str">
        <f t="shared" si="270"/>
        <v>Valid</v>
      </c>
      <c r="AS1333" t="str">
        <f t="shared" si="271"/>
        <v>Valid</v>
      </c>
    </row>
    <row r="1334" spans="1:45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 t="str">
        <f t="shared" si="260"/>
        <v>Ok</v>
      </c>
      <c r="AE1334" t="str">
        <f>IF(AND(Audit_Data[[#This Row],[Year_Birth]]&gt;=1900,Audit_Data[[#This Row],[Year_Birth]]&lt;=2010),"OK","Invalid")</f>
        <v>OK</v>
      </c>
      <c r="AF1334" t="str">
        <f t="shared" si="261"/>
        <v>Valid</v>
      </c>
      <c r="AG1334" t="str">
        <f t="shared" si="262"/>
        <v>Valid</v>
      </c>
      <c r="AH1334" t="str">
        <f t="shared" si="263"/>
        <v>Valid</v>
      </c>
      <c r="AI1334" t="str">
        <f t="shared" si="264"/>
        <v>Valid</v>
      </c>
      <c r="AJ1334" t="str">
        <f t="shared" si="265"/>
        <v>Valid</v>
      </c>
      <c r="AK1334" t="str">
        <f t="shared" si="272"/>
        <v xml:space="preserve">Valid </v>
      </c>
      <c r="AL1334" t="str">
        <f>IF(AND(Audit_Data[[#This Row],[Recency]]&gt;=0,Audit_Data[[#This Row],[Recency]]&lt;=100),"Valid","Invalid")</f>
        <v>Valid</v>
      </c>
      <c r="AM1334" t="str">
        <f t="shared" si="266"/>
        <v>Valid</v>
      </c>
      <c r="AN1334" t="str">
        <f t="shared" si="267"/>
        <v>Valid</v>
      </c>
      <c r="AO1334" t="str">
        <f t="shared" si="268"/>
        <v>Valid</v>
      </c>
      <c r="AP1334" t="str">
        <f t="shared" si="269"/>
        <v>Valid</v>
      </c>
      <c r="AQ1334" t="str">
        <f>IF(Audit_Data[[#This Row],[Z_CostContact]]=3,"Valid","Invalid")</f>
        <v>Valid</v>
      </c>
      <c r="AR1334" t="str">
        <f t="shared" si="270"/>
        <v>Valid</v>
      </c>
      <c r="AS1334" t="str">
        <f t="shared" si="271"/>
        <v>Valid</v>
      </c>
    </row>
    <row r="1335" spans="1:45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 t="str">
        <f t="shared" si="260"/>
        <v>Ok</v>
      </c>
      <c r="AE1335" t="str">
        <f>IF(AND(Audit_Data[[#This Row],[Year_Birth]]&gt;=1900,Audit_Data[[#This Row],[Year_Birth]]&lt;=2010),"OK","Invalid")</f>
        <v>OK</v>
      </c>
      <c r="AF1335" t="str">
        <f t="shared" si="261"/>
        <v>Valid</v>
      </c>
      <c r="AG1335" t="str">
        <f t="shared" si="262"/>
        <v>Valid</v>
      </c>
      <c r="AH1335" t="str">
        <f t="shared" si="263"/>
        <v>Valid</v>
      </c>
      <c r="AI1335" t="str">
        <f t="shared" si="264"/>
        <v>Valid</v>
      </c>
      <c r="AJ1335" t="str">
        <f t="shared" si="265"/>
        <v>Valid</v>
      </c>
      <c r="AK1335" t="str">
        <f t="shared" si="272"/>
        <v xml:space="preserve">Valid </v>
      </c>
      <c r="AL1335" t="str">
        <f>IF(AND(Audit_Data[[#This Row],[Recency]]&gt;=0,Audit_Data[[#This Row],[Recency]]&lt;=100),"Valid","Invalid")</f>
        <v>Valid</v>
      </c>
      <c r="AM1335" t="str">
        <f t="shared" si="266"/>
        <v>Valid</v>
      </c>
      <c r="AN1335" t="str">
        <f t="shared" si="267"/>
        <v>Valid</v>
      </c>
      <c r="AO1335" t="str">
        <f t="shared" si="268"/>
        <v>Valid</v>
      </c>
      <c r="AP1335" t="str">
        <f t="shared" si="269"/>
        <v>Valid</v>
      </c>
      <c r="AQ1335" t="str">
        <f>IF(Audit_Data[[#This Row],[Z_CostContact]]=3,"Valid","Invalid")</f>
        <v>Valid</v>
      </c>
      <c r="AR1335" t="str">
        <f t="shared" si="270"/>
        <v>Valid</v>
      </c>
      <c r="AS1335" t="str">
        <f t="shared" si="271"/>
        <v>Valid</v>
      </c>
    </row>
    <row r="1336" spans="1:45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 t="str">
        <f t="shared" si="260"/>
        <v>Ok</v>
      </c>
      <c r="AE1336" t="str">
        <f>IF(AND(Audit_Data[[#This Row],[Year_Birth]]&gt;=1900,Audit_Data[[#This Row],[Year_Birth]]&lt;=2010),"OK","Invalid")</f>
        <v>OK</v>
      </c>
      <c r="AF1336" t="str">
        <f t="shared" si="261"/>
        <v>Valid</v>
      </c>
      <c r="AG1336" t="str">
        <f t="shared" si="262"/>
        <v>Valid</v>
      </c>
      <c r="AH1336" t="str">
        <f t="shared" si="263"/>
        <v>Valid</v>
      </c>
      <c r="AI1336" t="str">
        <f t="shared" si="264"/>
        <v>Valid</v>
      </c>
      <c r="AJ1336" t="str">
        <f t="shared" si="265"/>
        <v>Valid</v>
      </c>
      <c r="AK1336" t="str">
        <f t="shared" si="272"/>
        <v xml:space="preserve">Valid </v>
      </c>
      <c r="AL1336" t="str">
        <f>IF(AND(Audit_Data[[#This Row],[Recency]]&gt;=0,Audit_Data[[#This Row],[Recency]]&lt;=100),"Valid","Invalid")</f>
        <v>Valid</v>
      </c>
      <c r="AM1336" t="str">
        <f t="shared" si="266"/>
        <v>Valid</v>
      </c>
      <c r="AN1336" t="str">
        <f t="shared" si="267"/>
        <v>Valid</v>
      </c>
      <c r="AO1336" t="str">
        <f t="shared" si="268"/>
        <v>Valid</v>
      </c>
      <c r="AP1336" t="str">
        <f t="shared" si="269"/>
        <v>Valid</v>
      </c>
      <c r="AQ1336" t="str">
        <f>IF(Audit_Data[[#This Row],[Z_CostContact]]=3,"Valid","Invalid")</f>
        <v>Valid</v>
      </c>
      <c r="AR1336" t="str">
        <f t="shared" si="270"/>
        <v>Valid</v>
      </c>
      <c r="AS1336" t="str">
        <f t="shared" si="271"/>
        <v>Valid</v>
      </c>
    </row>
    <row r="1337" spans="1:45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 t="str">
        <f t="shared" si="260"/>
        <v>Ok</v>
      </c>
      <c r="AE1337" t="str">
        <f>IF(AND(Audit_Data[[#This Row],[Year_Birth]]&gt;=1900,Audit_Data[[#This Row],[Year_Birth]]&lt;=2010),"OK","Invalid")</f>
        <v>OK</v>
      </c>
      <c r="AF1337" t="str">
        <f t="shared" si="261"/>
        <v>Valid</v>
      </c>
      <c r="AG1337" t="str">
        <f t="shared" si="262"/>
        <v>Valid</v>
      </c>
      <c r="AH1337" t="str">
        <f t="shared" si="263"/>
        <v>Valid</v>
      </c>
      <c r="AI1337" t="str">
        <f t="shared" si="264"/>
        <v>Valid</v>
      </c>
      <c r="AJ1337" t="str">
        <f t="shared" si="265"/>
        <v>Valid</v>
      </c>
      <c r="AK1337" t="str">
        <f t="shared" si="272"/>
        <v xml:space="preserve">Valid </v>
      </c>
      <c r="AL1337" t="str">
        <f>IF(AND(Audit_Data[[#This Row],[Recency]]&gt;=0,Audit_Data[[#This Row],[Recency]]&lt;=100),"Valid","Invalid")</f>
        <v>Valid</v>
      </c>
      <c r="AM1337" t="str">
        <f t="shared" si="266"/>
        <v>Valid</v>
      </c>
      <c r="AN1337" t="str">
        <f t="shared" si="267"/>
        <v>Valid</v>
      </c>
      <c r="AO1337" t="str">
        <f t="shared" si="268"/>
        <v>Valid</v>
      </c>
      <c r="AP1337" t="str">
        <f t="shared" si="269"/>
        <v>Valid</v>
      </c>
      <c r="AQ1337" t="str">
        <f>IF(Audit_Data[[#This Row],[Z_CostContact]]=3,"Valid","Invalid")</f>
        <v>Valid</v>
      </c>
      <c r="AR1337" t="str">
        <f t="shared" si="270"/>
        <v>Valid</v>
      </c>
      <c r="AS1337" t="str">
        <f t="shared" si="271"/>
        <v>Valid</v>
      </c>
    </row>
    <row r="1338" spans="1:45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 t="str">
        <f t="shared" si="260"/>
        <v>Ok</v>
      </c>
      <c r="AE1338" t="str">
        <f>IF(AND(Audit_Data[[#This Row],[Year_Birth]]&gt;=1900,Audit_Data[[#This Row],[Year_Birth]]&lt;=2010),"OK","Invalid")</f>
        <v>OK</v>
      </c>
      <c r="AF1338" t="str">
        <f t="shared" si="261"/>
        <v>Valid</v>
      </c>
      <c r="AG1338" t="str">
        <f t="shared" si="262"/>
        <v>Valid</v>
      </c>
      <c r="AH1338" t="str">
        <f t="shared" si="263"/>
        <v>Valid</v>
      </c>
      <c r="AI1338" t="str">
        <f t="shared" si="264"/>
        <v>Valid</v>
      </c>
      <c r="AJ1338" t="str">
        <f t="shared" si="265"/>
        <v>Valid</v>
      </c>
      <c r="AK1338" t="str">
        <f t="shared" si="272"/>
        <v xml:space="preserve">Valid </v>
      </c>
      <c r="AL1338" t="str">
        <f>IF(AND(Audit_Data[[#This Row],[Recency]]&gt;=0,Audit_Data[[#This Row],[Recency]]&lt;=100),"Valid","Invalid")</f>
        <v>Valid</v>
      </c>
      <c r="AM1338" t="str">
        <f t="shared" si="266"/>
        <v>Valid</v>
      </c>
      <c r="AN1338" t="str">
        <f t="shared" si="267"/>
        <v>Valid</v>
      </c>
      <c r="AO1338" t="str">
        <f t="shared" si="268"/>
        <v>Valid</v>
      </c>
      <c r="AP1338" t="str">
        <f t="shared" si="269"/>
        <v>Valid</v>
      </c>
      <c r="AQ1338" t="str">
        <f>IF(Audit_Data[[#This Row],[Z_CostContact]]=3,"Valid","Invalid")</f>
        <v>Valid</v>
      </c>
      <c r="AR1338" t="str">
        <f t="shared" si="270"/>
        <v>Valid</v>
      </c>
      <c r="AS1338" t="str">
        <f t="shared" si="271"/>
        <v>Valid</v>
      </c>
    </row>
    <row r="1339" spans="1:45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 t="str">
        <f t="shared" si="260"/>
        <v>Ok</v>
      </c>
      <c r="AE1339" t="str">
        <f>IF(AND(Audit_Data[[#This Row],[Year_Birth]]&gt;=1900,Audit_Data[[#This Row],[Year_Birth]]&lt;=2010),"OK","Invalid")</f>
        <v>OK</v>
      </c>
      <c r="AF1339" t="str">
        <f t="shared" si="261"/>
        <v>Valid</v>
      </c>
      <c r="AG1339" t="str">
        <f t="shared" si="262"/>
        <v>Valid</v>
      </c>
      <c r="AH1339" t="str">
        <f t="shared" si="263"/>
        <v>Valid</v>
      </c>
      <c r="AI1339" t="str">
        <f t="shared" si="264"/>
        <v>Valid</v>
      </c>
      <c r="AJ1339" t="str">
        <f t="shared" si="265"/>
        <v>Valid</v>
      </c>
      <c r="AK1339" t="str">
        <f t="shared" si="272"/>
        <v xml:space="preserve">Valid </v>
      </c>
      <c r="AL1339" t="str">
        <f>IF(AND(Audit_Data[[#This Row],[Recency]]&gt;=0,Audit_Data[[#This Row],[Recency]]&lt;=100),"Valid","Invalid")</f>
        <v>Valid</v>
      </c>
      <c r="AM1339" t="str">
        <f t="shared" si="266"/>
        <v>Valid</v>
      </c>
      <c r="AN1339" t="str">
        <f t="shared" si="267"/>
        <v>Valid</v>
      </c>
      <c r="AO1339" t="str">
        <f t="shared" si="268"/>
        <v>Valid</v>
      </c>
      <c r="AP1339" t="str">
        <f t="shared" si="269"/>
        <v>Valid</v>
      </c>
      <c r="AQ1339" t="str">
        <f>IF(Audit_Data[[#This Row],[Z_CostContact]]=3,"Valid","Invalid")</f>
        <v>Valid</v>
      </c>
      <c r="AR1339" t="str">
        <f t="shared" si="270"/>
        <v>Valid</v>
      </c>
      <c r="AS1339" t="str">
        <f t="shared" si="271"/>
        <v>Valid</v>
      </c>
    </row>
    <row r="1340" spans="1:45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 t="str">
        <f t="shared" si="260"/>
        <v>Ok</v>
      </c>
      <c r="AE1340" t="str">
        <f>IF(AND(Audit_Data[[#This Row],[Year_Birth]]&gt;=1900,Audit_Data[[#This Row],[Year_Birth]]&lt;=2010),"OK","Invalid")</f>
        <v>OK</v>
      </c>
      <c r="AF1340" t="str">
        <f t="shared" si="261"/>
        <v>Valid</v>
      </c>
      <c r="AG1340" t="str">
        <f t="shared" si="262"/>
        <v>Valid</v>
      </c>
      <c r="AH1340" t="str">
        <f t="shared" si="263"/>
        <v>Valid</v>
      </c>
      <c r="AI1340" t="str">
        <f t="shared" si="264"/>
        <v>Valid</v>
      </c>
      <c r="AJ1340" t="str">
        <f t="shared" si="265"/>
        <v>Valid</v>
      </c>
      <c r="AK1340" t="str">
        <f t="shared" si="272"/>
        <v xml:space="preserve">Valid </v>
      </c>
      <c r="AL1340" t="str">
        <f>IF(AND(Audit_Data[[#This Row],[Recency]]&gt;=0,Audit_Data[[#This Row],[Recency]]&lt;=100),"Valid","Invalid")</f>
        <v>Valid</v>
      </c>
      <c r="AM1340" t="str">
        <f t="shared" si="266"/>
        <v>Valid</v>
      </c>
      <c r="AN1340" t="str">
        <f t="shared" si="267"/>
        <v>Valid</v>
      </c>
      <c r="AO1340" t="str">
        <f t="shared" si="268"/>
        <v>Valid</v>
      </c>
      <c r="AP1340" t="str">
        <f t="shared" si="269"/>
        <v>Valid</v>
      </c>
      <c r="AQ1340" t="str">
        <f>IF(Audit_Data[[#This Row],[Z_CostContact]]=3,"Valid","Invalid")</f>
        <v>Valid</v>
      </c>
      <c r="AR1340" t="str">
        <f t="shared" si="270"/>
        <v>Valid</v>
      </c>
      <c r="AS1340" t="str">
        <f t="shared" si="271"/>
        <v>Valid</v>
      </c>
    </row>
    <row r="1341" spans="1:45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 t="str">
        <f t="shared" si="260"/>
        <v>Ok</v>
      </c>
      <c r="AE1341" t="str">
        <f>IF(AND(Audit_Data[[#This Row],[Year_Birth]]&gt;=1900,Audit_Data[[#This Row],[Year_Birth]]&lt;=2010),"OK","Invalid")</f>
        <v>OK</v>
      </c>
      <c r="AF1341" t="str">
        <f t="shared" si="261"/>
        <v>Valid</v>
      </c>
      <c r="AG1341" t="str">
        <f t="shared" si="262"/>
        <v>Valid</v>
      </c>
      <c r="AH1341" t="str">
        <f t="shared" si="263"/>
        <v>Valid</v>
      </c>
      <c r="AI1341" t="str">
        <f t="shared" si="264"/>
        <v>Valid</v>
      </c>
      <c r="AJ1341" t="str">
        <f t="shared" si="265"/>
        <v>Valid</v>
      </c>
      <c r="AK1341" t="str">
        <f t="shared" si="272"/>
        <v xml:space="preserve">Valid </v>
      </c>
      <c r="AL1341" t="str">
        <f>IF(AND(Audit_Data[[#This Row],[Recency]]&gt;=0,Audit_Data[[#This Row],[Recency]]&lt;=100),"Valid","Invalid")</f>
        <v>Valid</v>
      </c>
      <c r="AM1341" t="str">
        <f t="shared" si="266"/>
        <v>Valid</v>
      </c>
      <c r="AN1341" t="str">
        <f t="shared" si="267"/>
        <v>Valid</v>
      </c>
      <c r="AO1341" t="str">
        <f t="shared" si="268"/>
        <v>Valid</v>
      </c>
      <c r="AP1341" t="str">
        <f t="shared" si="269"/>
        <v>Valid</v>
      </c>
      <c r="AQ1341" t="str">
        <f>IF(Audit_Data[[#This Row],[Z_CostContact]]=3,"Valid","Invalid")</f>
        <v>Valid</v>
      </c>
      <c r="AR1341" t="str">
        <f t="shared" si="270"/>
        <v>Valid</v>
      </c>
      <c r="AS1341" t="str">
        <f t="shared" si="271"/>
        <v>Valid</v>
      </c>
    </row>
    <row r="1342" spans="1:45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 t="str">
        <f t="shared" si="260"/>
        <v>Ok</v>
      </c>
      <c r="AE1342" t="str">
        <f>IF(AND(Audit_Data[[#This Row],[Year_Birth]]&gt;=1900,Audit_Data[[#This Row],[Year_Birth]]&lt;=2010),"OK","Invalid")</f>
        <v>OK</v>
      </c>
      <c r="AF1342" t="str">
        <f t="shared" si="261"/>
        <v>Valid</v>
      </c>
      <c r="AG1342" t="str">
        <f t="shared" si="262"/>
        <v>Valid</v>
      </c>
      <c r="AH1342" t="str">
        <f t="shared" si="263"/>
        <v>Valid</v>
      </c>
      <c r="AI1342" t="str">
        <f t="shared" si="264"/>
        <v>Valid</v>
      </c>
      <c r="AJ1342" t="str">
        <f t="shared" si="265"/>
        <v>Valid</v>
      </c>
      <c r="AK1342" t="str">
        <f t="shared" si="272"/>
        <v xml:space="preserve">Valid </v>
      </c>
      <c r="AL1342" t="str">
        <f>IF(AND(Audit_Data[[#This Row],[Recency]]&gt;=0,Audit_Data[[#This Row],[Recency]]&lt;=100),"Valid","Invalid")</f>
        <v>Valid</v>
      </c>
      <c r="AM1342" t="str">
        <f t="shared" si="266"/>
        <v>Valid</v>
      </c>
      <c r="AN1342" t="str">
        <f t="shared" si="267"/>
        <v>Valid</v>
      </c>
      <c r="AO1342" t="str">
        <f t="shared" si="268"/>
        <v>Valid</v>
      </c>
      <c r="AP1342" t="str">
        <f t="shared" si="269"/>
        <v>Valid</v>
      </c>
      <c r="AQ1342" t="str">
        <f>IF(Audit_Data[[#This Row],[Z_CostContact]]=3,"Valid","Invalid")</f>
        <v>Valid</v>
      </c>
      <c r="AR1342" t="str">
        <f t="shared" si="270"/>
        <v>Valid</v>
      </c>
      <c r="AS1342" t="str">
        <f t="shared" si="271"/>
        <v>Valid</v>
      </c>
    </row>
    <row r="1343" spans="1:45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 t="str">
        <f t="shared" si="260"/>
        <v>Ok</v>
      </c>
      <c r="AE1343" t="str">
        <f>IF(AND(Audit_Data[[#This Row],[Year_Birth]]&gt;=1900,Audit_Data[[#This Row],[Year_Birth]]&lt;=2010),"OK","Invalid")</f>
        <v>OK</v>
      </c>
      <c r="AF1343" t="str">
        <f t="shared" si="261"/>
        <v>Valid</v>
      </c>
      <c r="AG1343" t="str">
        <f t="shared" si="262"/>
        <v>Valid</v>
      </c>
      <c r="AH1343" t="str">
        <f t="shared" si="263"/>
        <v>Valid</v>
      </c>
      <c r="AI1343" t="str">
        <f t="shared" si="264"/>
        <v>Valid</v>
      </c>
      <c r="AJ1343" t="str">
        <f t="shared" si="265"/>
        <v>Valid</v>
      </c>
      <c r="AK1343" t="str">
        <f t="shared" si="272"/>
        <v xml:space="preserve">Valid </v>
      </c>
      <c r="AL1343" t="str">
        <f>IF(AND(Audit_Data[[#This Row],[Recency]]&gt;=0,Audit_Data[[#This Row],[Recency]]&lt;=100),"Valid","Invalid")</f>
        <v>Valid</v>
      </c>
      <c r="AM1343" t="str">
        <f t="shared" si="266"/>
        <v>Valid</v>
      </c>
      <c r="AN1343" t="str">
        <f t="shared" si="267"/>
        <v>Valid</v>
      </c>
      <c r="AO1343" t="str">
        <f t="shared" si="268"/>
        <v>Valid</v>
      </c>
      <c r="AP1343" t="str">
        <f t="shared" si="269"/>
        <v>Valid</v>
      </c>
      <c r="AQ1343" t="str">
        <f>IF(Audit_Data[[#This Row],[Z_CostContact]]=3,"Valid","Invalid")</f>
        <v>Valid</v>
      </c>
      <c r="AR1343" t="str">
        <f t="shared" si="270"/>
        <v>Valid</v>
      </c>
      <c r="AS1343" t="str">
        <f t="shared" si="271"/>
        <v>Valid</v>
      </c>
    </row>
    <row r="1344" spans="1:45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 t="str">
        <f t="shared" si="260"/>
        <v>Ok</v>
      </c>
      <c r="AE1344" t="str">
        <f>IF(AND(Audit_Data[[#This Row],[Year_Birth]]&gt;=1900,Audit_Data[[#This Row],[Year_Birth]]&lt;=2010),"OK","Invalid")</f>
        <v>OK</v>
      </c>
      <c r="AF1344" t="str">
        <f t="shared" si="261"/>
        <v>Valid</v>
      </c>
      <c r="AG1344" t="str">
        <f t="shared" si="262"/>
        <v>Valid</v>
      </c>
      <c r="AH1344" t="str">
        <f t="shared" si="263"/>
        <v>Valid</v>
      </c>
      <c r="AI1344" t="str">
        <f t="shared" si="264"/>
        <v>Valid</v>
      </c>
      <c r="AJ1344" t="str">
        <f t="shared" si="265"/>
        <v>Valid</v>
      </c>
      <c r="AK1344" t="str">
        <f t="shared" si="272"/>
        <v xml:space="preserve">Valid </v>
      </c>
      <c r="AL1344" t="str">
        <f>IF(AND(Audit_Data[[#This Row],[Recency]]&gt;=0,Audit_Data[[#This Row],[Recency]]&lt;=100),"Valid","Invalid")</f>
        <v>Valid</v>
      </c>
      <c r="AM1344" t="str">
        <f t="shared" si="266"/>
        <v>Valid</v>
      </c>
      <c r="AN1344" t="str">
        <f t="shared" si="267"/>
        <v>Valid</v>
      </c>
      <c r="AO1344" t="str">
        <f t="shared" si="268"/>
        <v>Valid</v>
      </c>
      <c r="AP1344" t="str">
        <f t="shared" si="269"/>
        <v>Valid</v>
      </c>
      <c r="AQ1344" t="str">
        <f>IF(Audit_Data[[#This Row],[Z_CostContact]]=3,"Valid","Invalid")</f>
        <v>Valid</v>
      </c>
      <c r="AR1344" t="str">
        <f t="shared" si="270"/>
        <v>Valid</v>
      </c>
      <c r="AS1344" t="str">
        <f t="shared" si="271"/>
        <v>Valid</v>
      </c>
    </row>
    <row r="1345" spans="1:45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 t="str">
        <f t="shared" si="260"/>
        <v>Ok</v>
      </c>
      <c r="AE1345" t="str">
        <f>IF(AND(Audit_Data[[#This Row],[Year_Birth]]&gt;=1900,Audit_Data[[#This Row],[Year_Birth]]&lt;=2010),"OK","Invalid")</f>
        <v>OK</v>
      </c>
      <c r="AF1345" t="str">
        <f t="shared" si="261"/>
        <v>Valid</v>
      </c>
      <c r="AG1345" t="str">
        <f t="shared" si="262"/>
        <v>Valid</v>
      </c>
      <c r="AH1345" t="str">
        <f t="shared" si="263"/>
        <v>Valid</v>
      </c>
      <c r="AI1345" t="str">
        <f t="shared" si="264"/>
        <v>Valid</v>
      </c>
      <c r="AJ1345" t="str">
        <f t="shared" si="265"/>
        <v>Valid</v>
      </c>
      <c r="AK1345" t="str">
        <f t="shared" si="272"/>
        <v xml:space="preserve">Valid </v>
      </c>
      <c r="AL1345" t="str">
        <f>IF(AND(Audit_Data[[#This Row],[Recency]]&gt;=0,Audit_Data[[#This Row],[Recency]]&lt;=100),"Valid","Invalid")</f>
        <v>Valid</v>
      </c>
      <c r="AM1345" t="str">
        <f t="shared" si="266"/>
        <v>Valid</v>
      </c>
      <c r="AN1345" t="str">
        <f t="shared" si="267"/>
        <v>Valid</v>
      </c>
      <c r="AO1345" t="str">
        <f t="shared" si="268"/>
        <v>Valid</v>
      </c>
      <c r="AP1345" t="str">
        <f t="shared" si="269"/>
        <v>Valid</v>
      </c>
      <c r="AQ1345" t="str">
        <f>IF(Audit_Data[[#This Row],[Z_CostContact]]=3,"Valid","Invalid")</f>
        <v>Valid</v>
      </c>
      <c r="AR1345" t="str">
        <f t="shared" si="270"/>
        <v>Valid</v>
      </c>
      <c r="AS1345" t="str">
        <f t="shared" si="271"/>
        <v>Valid</v>
      </c>
    </row>
    <row r="1346" spans="1:45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 t="str">
        <f t="shared" ref="AD1346:AD1409" si="273">IF(COUNTIF(A:A,A1346)&gt;1,"Duplicate","Ok")</f>
        <v>Ok</v>
      </c>
      <c r="AE1346" t="str">
        <f>IF(AND(Audit_Data[[#This Row],[Year_Birth]]&gt;=1900,Audit_Data[[#This Row],[Year_Birth]]&lt;=2010),"OK","Invalid")</f>
        <v>OK</v>
      </c>
      <c r="AF1346" t="str">
        <f t="shared" ref="AF1346:AF1409" si="274">IF(OR(C1346="Graduation",C1346="phD",C1346="Master",C1346="Basic",C1346="2n Cycle"),"Valid","Invalid")</f>
        <v>Valid</v>
      </c>
      <c r="AG1346" t="str">
        <f t="shared" ref="AG1346:AG1409" si="275">IF(OR(D1346="Single",D1346="Married",D1346="Divorced",D1346="Together",D1346="Widow",D1346="Alone"),"Valid","Invalid")</f>
        <v>Valid</v>
      </c>
      <c r="AH1346" t="str">
        <f t="shared" ref="AH1346:AH1409" si="276">IF(AND(ISNUMBER(E1346),E1346&lt;&gt;""),"Valid","Invalid")</f>
        <v>Valid</v>
      </c>
      <c r="AI1346" t="str">
        <f t="shared" ref="AI1346:AI1409" si="277">IF(AND(F1346&gt;=0,F1346&lt;=2),"Valid","Invalid")</f>
        <v>Valid</v>
      </c>
      <c r="AJ1346" t="str">
        <f t="shared" ref="AJ1346:AJ1409" si="278">IF(AND(G1346&gt;=0,G1346&lt;=2),"Valid","Invalid")</f>
        <v>Valid</v>
      </c>
      <c r="AK1346" t="str">
        <f t="shared" si="272"/>
        <v xml:space="preserve">Valid </v>
      </c>
      <c r="AL1346" t="str">
        <f>IF(AND(Audit_Data[[#This Row],[Recency]]&gt;=0,Audit_Data[[#This Row],[Recency]]&lt;=100),"Valid","Invalid")</f>
        <v>Valid</v>
      </c>
      <c r="AM1346" t="str">
        <f t="shared" ref="AM1346:AM1409" si="279">IF(AND(ISNUMBER(J1346),J1346&gt;=0,ISNUMBER(K1346),K1346&gt;=0,ISNUMBER(L1346),L1346&gt;=0,ISNUMBER(M1346),M1346&gt;=0,ISNUMBER(N1346),N1346&gt;=0,ISNUMBER(O1346),O1346&gt;=0),"Valid","Invalid")</f>
        <v>Valid</v>
      </c>
      <c r="AN1346" t="str">
        <f t="shared" ref="AN1346:AN1409" si="280">IF(AND(ISNUMBER(P1346),P1346&gt;=0,ISNUMBER(Q1346),Q1346&gt;=0,ISNUMBER(R1346),R1346&gt;=0,ISNUMBER(S1346),S1346&gt;=0,ISNUMBER(T1346),T1346&gt;=0),"Valid","Invalid")</f>
        <v>Valid</v>
      </c>
      <c r="AO1346" t="str">
        <f t="shared" ref="AO1346:AO1409" si="281">IF(AND(U1346&lt;=1,V1346&lt;=1,W1346&lt;=1,X1346&lt;=1,Y1346&lt;=1),"Valid","Invalid")</f>
        <v>Valid</v>
      </c>
      <c r="AP1346" t="str">
        <f t="shared" ref="AP1346:AP1409" si="282">IF(OR(Z1346=0,Z1346=1),"Valid","Invalid")</f>
        <v>Valid</v>
      </c>
      <c r="AQ1346" t="str">
        <f>IF(Audit_Data[[#This Row],[Z_CostContact]]=3,"Valid","Invalid")</f>
        <v>Valid</v>
      </c>
      <c r="AR1346" t="str">
        <f t="shared" ref="AR1346:AR1409" si="283">IF(AB1346=11,"Valid","Invalid")</f>
        <v>Valid</v>
      </c>
      <c r="AS1346" t="str">
        <f t="shared" ref="AS1346:AS1409" si="284">IF(OR(AC1346=0,AC1346=1),"Valid","Invalid")</f>
        <v>Valid</v>
      </c>
    </row>
    <row r="1347" spans="1:45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 t="str">
        <f t="shared" si="273"/>
        <v>Ok</v>
      </c>
      <c r="AE1347" t="str">
        <f>IF(AND(Audit_Data[[#This Row],[Year_Birth]]&gt;=1900,Audit_Data[[#This Row],[Year_Birth]]&lt;=2010),"OK","Invalid")</f>
        <v>OK</v>
      </c>
      <c r="AF1347" t="str">
        <f t="shared" si="274"/>
        <v>Valid</v>
      </c>
      <c r="AG1347" t="str">
        <f t="shared" si="275"/>
        <v>Valid</v>
      </c>
      <c r="AH1347" t="str">
        <f t="shared" si="276"/>
        <v>Valid</v>
      </c>
      <c r="AI1347" t="str">
        <f t="shared" si="277"/>
        <v>Valid</v>
      </c>
      <c r="AJ1347" t="str">
        <f t="shared" si="278"/>
        <v>Valid</v>
      </c>
      <c r="AK1347" t="str">
        <f t="shared" ref="AK1347:AK1410" si="285">IF(AND(ISNUMBER(H1347),H1347&gt;=DATE(2012,1,1),H1347&lt;=DATE(2014,12,31)),"Valid ","Invalid")</f>
        <v xml:space="preserve">Valid </v>
      </c>
      <c r="AL1347" t="str">
        <f>IF(AND(Audit_Data[[#This Row],[Recency]]&gt;=0,Audit_Data[[#This Row],[Recency]]&lt;=100),"Valid","Invalid")</f>
        <v>Valid</v>
      </c>
      <c r="AM1347" t="str">
        <f t="shared" si="279"/>
        <v>Valid</v>
      </c>
      <c r="AN1347" t="str">
        <f t="shared" si="280"/>
        <v>Valid</v>
      </c>
      <c r="AO1347" t="str">
        <f t="shared" si="281"/>
        <v>Valid</v>
      </c>
      <c r="AP1347" t="str">
        <f t="shared" si="282"/>
        <v>Valid</v>
      </c>
      <c r="AQ1347" t="str">
        <f>IF(Audit_Data[[#This Row],[Z_CostContact]]=3,"Valid","Invalid")</f>
        <v>Valid</v>
      </c>
      <c r="AR1347" t="str">
        <f t="shared" si="283"/>
        <v>Valid</v>
      </c>
      <c r="AS1347" t="str">
        <f t="shared" si="284"/>
        <v>Valid</v>
      </c>
    </row>
    <row r="1348" spans="1:45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 t="str">
        <f t="shared" si="273"/>
        <v>Ok</v>
      </c>
      <c r="AE1348" t="str">
        <f>IF(AND(Audit_Data[[#This Row],[Year_Birth]]&gt;=1900,Audit_Data[[#This Row],[Year_Birth]]&lt;=2010),"OK","Invalid")</f>
        <v>OK</v>
      </c>
      <c r="AF1348" t="str">
        <f t="shared" si="274"/>
        <v>Valid</v>
      </c>
      <c r="AG1348" t="str">
        <f t="shared" si="275"/>
        <v>Valid</v>
      </c>
      <c r="AH1348" t="str">
        <f t="shared" si="276"/>
        <v>Valid</v>
      </c>
      <c r="AI1348" t="str">
        <f t="shared" si="277"/>
        <v>Valid</v>
      </c>
      <c r="AJ1348" t="str">
        <f t="shared" si="278"/>
        <v>Valid</v>
      </c>
      <c r="AK1348" t="str">
        <f t="shared" si="285"/>
        <v xml:space="preserve">Valid </v>
      </c>
      <c r="AL1348" t="str">
        <f>IF(AND(Audit_Data[[#This Row],[Recency]]&gt;=0,Audit_Data[[#This Row],[Recency]]&lt;=100),"Valid","Invalid")</f>
        <v>Valid</v>
      </c>
      <c r="AM1348" t="str">
        <f t="shared" si="279"/>
        <v>Valid</v>
      </c>
      <c r="AN1348" t="str">
        <f t="shared" si="280"/>
        <v>Valid</v>
      </c>
      <c r="AO1348" t="str">
        <f t="shared" si="281"/>
        <v>Valid</v>
      </c>
      <c r="AP1348" t="str">
        <f t="shared" si="282"/>
        <v>Valid</v>
      </c>
      <c r="AQ1348" t="str">
        <f>IF(Audit_Data[[#This Row],[Z_CostContact]]=3,"Valid","Invalid")</f>
        <v>Valid</v>
      </c>
      <c r="AR1348" t="str">
        <f t="shared" si="283"/>
        <v>Valid</v>
      </c>
      <c r="AS1348" t="str">
        <f t="shared" si="284"/>
        <v>Valid</v>
      </c>
    </row>
    <row r="1349" spans="1:45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 t="str">
        <f t="shared" si="273"/>
        <v>Ok</v>
      </c>
      <c r="AE1349" t="str">
        <f>IF(AND(Audit_Data[[#This Row],[Year_Birth]]&gt;=1900,Audit_Data[[#This Row],[Year_Birth]]&lt;=2010),"OK","Invalid")</f>
        <v>OK</v>
      </c>
      <c r="AF1349" t="str">
        <f t="shared" si="274"/>
        <v>Valid</v>
      </c>
      <c r="AG1349" t="str">
        <f t="shared" si="275"/>
        <v>Valid</v>
      </c>
      <c r="AH1349" t="str">
        <f t="shared" si="276"/>
        <v>Valid</v>
      </c>
      <c r="AI1349" t="str">
        <f t="shared" si="277"/>
        <v>Valid</v>
      </c>
      <c r="AJ1349" t="str">
        <f t="shared" si="278"/>
        <v>Valid</v>
      </c>
      <c r="AK1349" t="str">
        <f t="shared" si="285"/>
        <v xml:space="preserve">Valid </v>
      </c>
      <c r="AL1349" t="str">
        <f>IF(AND(Audit_Data[[#This Row],[Recency]]&gt;=0,Audit_Data[[#This Row],[Recency]]&lt;=100),"Valid","Invalid")</f>
        <v>Valid</v>
      </c>
      <c r="AM1349" t="str">
        <f t="shared" si="279"/>
        <v>Valid</v>
      </c>
      <c r="AN1349" t="str">
        <f t="shared" si="280"/>
        <v>Valid</v>
      </c>
      <c r="AO1349" t="str">
        <f t="shared" si="281"/>
        <v>Valid</v>
      </c>
      <c r="AP1349" t="str">
        <f t="shared" si="282"/>
        <v>Valid</v>
      </c>
      <c r="AQ1349" t="str">
        <f>IF(Audit_Data[[#This Row],[Z_CostContact]]=3,"Valid","Invalid")</f>
        <v>Valid</v>
      </c>
      <c r="AR1349" t="str">
        <f t="shared" si="283"/>
        <v>Valid</v>
      </c>
      <c r="AS1349" t="str">
        <f t="shared" si="284"/>
        <v>Valid</v>
      </c>
    </row>
    <row r="1350" spans="1:45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 t="str">
        <f t="shared" si="273"/>
        <v>Ok</v>
      </c>
      <c r="AE1350" t="str">
        <f>IF(AND(Audit_Data[[#This Row],[Year_Birth]]&gt;=1900,Audit_Data[[#This Row],[Year_Birth]]&lt;=2010),"OK","Invalid")</f>
        <v>OK</v>
      </c>
      <c r="AF1350" t="str">
        <f t="shared" si="274"/>
        <v>Valid</v>
      </c>
      <c r="AG1350" t="str">
        <f t="shared" si="275"/>
        <v>Valid</v>
      </c>
      <c r="AH1350" t="str">
        <f t="shared" si="276"/>
        <v>Valid</v>
      </c>
      <c r="AI1350" t="str">
        <f t="shared" si="277"/>
        <v>Valid</v>
      </c>
      <c r="AJ1350" t="str">
        <f t="shared" si="278"/>
        <v>Valid</v>
      </c>
      <c r="AK1350" t="str">
        <f t="shared" si="285"/>
        <v xml:space="preserve">Valid </v>
      </c>
      <c r="AL1350" t="str">
        <f>IF(AND(Audit_Data[[#This Row],[Recency]]&gt;=0,Audit_Data[[#This Row],[Recency]]&lt;=100),"Valid","Invalid")</f>
        <v>Valid</v>
      </c>
      <c r="AM1350" t="str">
        <f t="shared" si="279"/>
        <v>Valid</v>
      </c>
      <c r="AN1350" t="str">
        <f t="shared" si="280"/>
        <v>Valid</v>
      </c>
      <c r="AO1350" t="str">
        <f t="shared" si="281"/>
        <v>Valid</v>
      </c>
      <c r="AP1350" t="str">
        <f t="shared" si="282"/>
        <v>Valid</v>
      </c>
      <c r="AQ1350" t="str">
        <f>IF(Audit_Data[[#This Row],[Z_CostContact]]=3,"Valid","Invalid")</f>
        <v>Valid</v>
      </c>
      <c r="AR1350" t="str">
        <f t="shared" si="283"/>
        <v>Valid</v>
      </c>
      <c r="AS1350" t="str">
        <f t="shared" si="284"/>
        <v>Valid</v>
      </c>
    </row>
    <row r="1351" spans="1:45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 t="str">
        <f t="shared" si="273"/>
        <v>Ok</v>
      </c>
      <c r="AE1351" t="str">
        <f>IF(AND(Audit_Data[[#This Row],[Year_Birth]]&gt;=1900,Audit_Data[[#This Row],[Year_Birth]]&lt;=2010),"OK","Invalid")</f>
        <v>OK</v>
      </c>
      <c r="AF1351" t="str">
        <f t="shared" si="274"/>
        <v>Valid</v>
      </c>
      <c r="AG1351" t="str">
        <f t="shared" si="275"/>
        <v>Valid</v>
      </c>
      <c r="AH1351" t="str">
        <f t="shared" si="276"/>
        <v>Valid</v>
      </c>
      <c r="AI1351" t="str">
        <f t="shared" si="277"/>
        <v>Valid</v>
      </c>
      <c r="AJ1351" t="str">
        <f t="shared" si="278"/>
        <v>Valid</v>
      </c>
      <c r="AK1351" t="str">
        <f t="shared" si="285"/>
        <v xml:space="preserve">Valid </v>
      </c>
      <c r="AL1351" t="str">
        <f>IF(AND(Audit_Data[[#This Row],[Recency]]&gt;=0,Audit_Data[[#This Row],[Recency]]&lt;=100),"Valid","Invalid")</f>
        <v>Valid</v>
      </c>
      <c r="AM1351" t="str">
        <f t="shared" si="279"/>
        <v>Valid</v>
      </c>
      <c r="AN1351" t="str">
        <f t="shared" si="280"/>
        <v>Valid</v>
      </c>
      <c r="AO1351" t="str">
        <f t="shared" si="281"/>
        <v>Valid</v>
      </c>
      <c r="AP1351" t="str">
        <f t="shared" si="282"/>
        <v>Valid</v>
      </c>
      <c r="AQ1351" t="str">
        <f>IF(Audit_Data[[#This Row],[Z_CostContact]]=3,"Valid","Invalid")</f>
        <v>Valid</v>
      </c>
      <c r="AR1351" t="str">
        <f t="shared" si="283"/>
        <v>Valid</v>
      </c>
      <c r="AS1351" t="str">
        <f t="shared" si="284"/>
        <v>Valid</v>
      </c>
    </row>
    <row r="1352" spans="1:45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 t="str">
        <f t="shared" si="273"/>
        <v>Ok</v>
      </c>
      <c r="AE1352" t="str">
        <f>IF(AND(Audit_Data[[#This Row],[Year_Birth]]&gt;=1900,Audit_Data[[#This Row],[Year_Birth]]&lt;=2010),"OK","Invalid")</f>
        <v>OK</v>
      </c>
      <c r="AF1352" t="str">
        <f t="shared" si="274"/>
        <v>Valid</v>
      </c>
      <c r="AG1352" t="str">
        <f t="shared" si="275"/>
        <v>Valid</v>
      </c>
      <c r="AH1352" t="str">
        <f t="shared" si="276"/>
        <v>Valid</v>
      </c>
      <c r="AI1352" t="str">
        <f t="shared" si="277"/>
        <v>Valid</v>
      </c>
      <c r="AJ1352" t="str">
        <f t="shared" si="278"/>
        <v>Valid</v>
      </c>
      <c r="AK1352" t="str">
        <f t="shared" si="285"/>
        <v xml:space="preserve">Valid </v>
      </c>
      <c r="AL1352" t="str">
        <f>IF(AND(Audit_Data[[#This Row],[Recency]]&gt;=0,Audit_Data[[#This Row],[Recency]]&lt;=100),"Valid","Invalid")</f>
        <v>Valid</v>
      </c>
      <c r="AM1352" t="str">
        <f t="shared" si="279"/>
        <v>Valid</v>
      </c>
      <c r="AN1352" t="str">
        <f t="shared" si="280"/>
        <v>Valid</v>
      </c>
      <c r="AO1352" t="str">
        <f t="shared" si="281"/>
        <v>Valid</v>
      </c>
      <c r="AP1352" t="str">
        <f t="shared" si="282"/>
        <v>Valid</v>
      </c>
      <c r="AQ1352" t="str">
        <f>IF(Audit_Data[[#This Row],[Z_CostContact]]=3,"Valid","Invalid")</f>
        <v>Valid</v>
      </c>
      <c r="AR1352" t="str">
        <f t="shared" si="283"/>
        <v>Valid</v>
      </c>
      <c r="AS1352" t="str">
        <f t="shared" si="284"/>
        <v>Valid</v>
      </c>
    </row>
    <row r="1353" spans="1:45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 t="str">
        <f t="shared" si="273"/>
        <v>Ok</v>
      </c>
      <c r="AE1353" t="str">
        <f>IF(AND(Audit_Data[[#This Row],[Year_Birth]]&gt;=1900,Audit_Data[[#This Row],[Year_Birth]]&lt;=2010),"OK","Invalid")</f>
        <v>OK</v>
      </c>
      <c r="AF1353" t="str">
        <f t="shared" si="274"/>
        <v>Valid</v>
      </c>
      <c r="AG1353" t="str">
        <f t="shared" si="275"/>
        <v>Valid</v>
      </c>
      <c r="AH1353" t="str">
        <f t="shared" si="276"/>
        <v>Valid</v>
      </c>
      <c r="AI1353" t="str">
        <f t="shared" si="277"/>
        <v>Valid</v>
      </c>
      <c r="AJ1353" t="str">
        <f t="shared" si="278"/>
        <v>Valid</v>
      </c>
      <c r="AK1353" t="str">
        <f t="shared" si="285"/>
        <v xml:space="preserve">Valid </v>
      </c>
      <c r="AL1353" t="str">
        <f>IF(AND(Audit_Data[[#This Row],[Recency]]&gt;=0,Audit_Data[[#This Row],[Recency]]&lt;=100),"Valid","Invalid")</f>
        <v>Valid</v>
      </c>
      <c r="AM1353" t="str">
        <f t="shared" si="279"/>
        <v>Valid</v>
      </c>
      <c r="AN1353" t="str">
        <f t="shared" si="280"/>
        <v>Valid</v>
      </c>
      <c r="AO1353" t="str">
        <f t="shared" si="281"/>
        <v>Valid</v>
      </c>
      <c r="AP1353" t="str">
        <f t="shared" si="282"/>
        <v>Valid</v>
      </c>
      <c r="AQ1353" t="str">
        <f>IF(Audit_Data[[#This Row],[Z_CostContact]]=3,"Valid","Invalid")</f>
        <v>Valid</v>
      </c>
      <c r="AR1353" t="str">
        <f t="shared" si="283"/>
        <v>Valid</v>
      </c>
      <c r="AS1353" t="str">
        <f t="shared" si="284"/>
        <v>Valid</v>
      </c>
    </row>
    <row r="1354" spans="1:45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 t="str">
        <f t="shared" si="273"/>
        <v>Ok</v>
      </c>
      <c r="AE1354" t="str">
        <f>IF(AND(Audit_Data[[#This Row],[Year_Birth]]&gt;=1900,Audit_Data[[#This Row],[Year_Birth]]&lt;=2010),"OK","Invalid")</f>
        <v>OK</v>
      </c>
      <c r="AF1354" t="str">
        <f t="shared" si="274"/>
        <v>Valid</v>
      </c>
      <c r="AG1354" t="str">
        <f t="shared" si="275"/>
        <v>Valid</v>
      </c>
      <c r="AH1354" t="str">
        <f t="shared" si="276"/>
        <v>Valid</v>
      </c>
      <c r="AI1354" t="str">
        <f t="shared" si="277"/>
        <v>Valid</v>
      </c>
      <c r="AJ1354" t="str">
        <f t="shared" si="278"/>
        <v>Valid</v>
      </c>
      <c r="AK1354" t="str">
        <f t="shared" si="285"/>
        <v xml:space="preserve">Valid </v>
      </c>
      <c r="AL1354" t="str">
        <f>IF(AND(Audit_Data[[#This Row],[Recency]]&gt;=0,Audit_Data[[#This Row],[Recency]]&lt;=100),"Valid","Invalid")</f>
        <v>Valid</v>
      </c>
      <c r="AM1354" t="str">
        <f t="shared" si="279"/>
        <v>Valid</v>
      </c>
      <c r="AN1354" t="str">
        <f t="shared" si="280"/>
        <v>Valid</v>
      </c>
      <c r="AO1354" t="str">
        <f t="shared" si="281"/>
        <v>Valid</v>
      </c>
      <c r="AP1354" t="str">
        <f t="shared" si="282"/>
        <v>Valid</v>
      </c>
      <c r="AQ1354" t="str">
        <f>IF(Audit_Data[[#This Row],[Z_CostContact]]=3,"Valid","Invalid")</f>
        <v>Valid</v>
      </c>
      <c r="AR1354" t="str">
        <f t="shared" si="283"/>
        <v>Valid</v>
      </c>
      <c r="AS1354" t="str">
        <f t="shared" si="284"/>
        <v>Valid</v>
      </c>
    </row>
    <row r="1355" spans="1:45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 t="str">
        <f t="shared" si="273"/>
        <v>Ok</v>
      </c>
      <c r="AE1355" t="str">
        <f>IF(AND(Audit_Data[[#This Row],[Year_Birth]]&gt;=1900,Audit_Data[[#This Row],[Year_Birth]]&lt;=2010),"OK","Invalid")</f>
        <v>OK</v>
      </c>
      <c r="AF1355" t="str">
        <f t="shared" si="274"/>
        <v>Valid</v>
      </c>
      <c r="AG1355" t="str">
        <f t="shared" si="275"/>
        <v>Valid</v>
      </c>
      <c r="AH1355" t="str">
        <f t="shared" si="276"/>
        <v>Valid</v>
      </c>
      <c r="AI1355" t="str">
        <f t="shared" si="277"/>
        <v>Valid</v>
      </c>
      <c r="AJ1355" t="str">
        <f t="shared" si="278"/>
        <v>Valid</v>
      </c>
      <c r="AK1355" t="str">
        <f t="shared" si="285"/>
        <v xml:space="preserve">Valid </v>
      </c>
      <c r="AL1355" t="str">
        <f>IF(AND(Audit_Data[[#This Row],[Recency]]&gt;=0,Audit_Data[[#This Row],[Recency]]&lt;=100),"Valid","Invalid")</f>
        <v>Valid</v>
      </c>
      <c r="AM1355" t="str">
        <f t="shared" si="279"/>
        <v>Valid</v>
      </c>
      <c r="AN1355" t="str">
        <f t="shared" si="280"/>
        <v>Valid</v>
      </c>
      <c r="AO1355" t="str">
        <f t="shared" si="281"/>
        <v>Valid</v>
      </c>
      <c r="AP1355" t="str">
        <f t="shared" si="282"/>
        <v>Valid</v>
      </c>
      <c r="AQ1355" t="str">
        <f>IF(Audit_Data[[#This Row],[Z_CostContact]]=3,"Valid","Invalid")</f>
        <v>Valid</v>
      </c>
      <c r="AR1355" t="str">
        <f t="shared" si="283"/>
        <v>Valid</v>
      </c>
      <c r="AS1355" t="str">
        <f t="shared" si="284"/>
        <v>Valid</v>
      </c>
    </row>
    <row r="1356" spans="1:45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 t="str">
        <f t="shared" si="273"/>
        <v>Ok</v>
      </c>
      <c r="AE1356" t="str">
        <f>IF(AND(Audit_Data[[#This Row],[Year_Birth]]&gt;=1900,Audit_Data[[#This Row],[Year_Birth]]&lt;=2010),"OK","Invalid")</f>
        <v>OK</v>
      </c>
      <c r="AF1356" t="str">
        <f t="shared" si="274"/>
        <v>Valid</v>
      </c>
      <c r="AG1356" t="str">
        <f t="shared" si="275"/>
        <v>Valid</v>
      </c>
      <c r="AH1356" t="str">
        <f t="shared" si="276"/>
        <v>Valid</v>
      </c>
      <c r="AI1356" t="str">
        <f t="shared" si="277"/>
        <v>Valid</v>
      </c>
      <c r="AJ1356" t="str">
        <f t="shared" si="278"/>
        <v>Valid</v>
      </c>
      <c r="AK1356" t="str">
        <f t="shared" si="285"/>
        <v xml:space="preserve">Valid </v>
      </c>
      <c r="AL1356" t="str">
        <f>IF(AND(Audit_Data[[#This Row],[Recency]]&gt;=0,Audit_Data[[#This Row],[Recency]]&lt;=100),"Valid","Invalid")</f>
        <v>Valid</v>
      </c>
      <c r="AM1356" t="str">
        <f t="shared" si="279"/>
        <v>Valid</v>
      </c>
      <c r="AN1356" t="str">
        <f t="shared" si="280"/>
        <v>Valid</v>
      </c>
      <c r="AO1356" t="str">
        <f t="shared" si="281"/>
        <v>Valid</v>
      </c>
      <c r="AP1356" t="str">
        <f t="shared" si="282"/>
        <v>Valid</v>
      </c>
      <c r="AQ1356" t="str">
        <f>IF(Audit_Data[[#This Row],[Z_CostContact]]=3,"Valid","Invalid")</f>
        <v>Valid</v>
      </c>
      <c r="AR1356" t="str">
        <f t="shared" si="283"/>
        <v>Valid</v>
      </c>
      <c r="AS1356" t="str">
        <f t="shared" si="284"/>
        <v>Valid</v>
      </c>
    </row>
    <row r="1357" spans="1:45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 t="str">
        <f t="shared" si="273"/>
        <v>Ok</v>
      </c>
      <c r="AE1357" t="str">
        <f>IF(AND(Audit_Data[[#This Row],[Year_Birth]]&gt;=1900,Audit_Data[[#This Row],[Year_Birth]]&lt;=2010),"OK","Invalid")</f>
        <v>OK</v>
      </c>
      <c r="AF1357" t="str">
        <f t="shared" si="274"/>
        <v>Valid</v>
      </c>
      <c r="AG1357" t="str">
        <f t="shared" si="275"/>
        <v>Valid</v>
      </c>
      <c r="AH1357" t="str">
        <f t="shared" si="276"/>
        <v>Valid</v>
      </c>
      <c r="AI1357" t="str">
        <f t="shared" si="277"/>
        <v>Valid</v>
      </c>
      <c r="AJ1357" t="str">
        <f t="shared" si="278"/>
        <v>Valid</v>
      </c>
      <c r="AK1357" t="str">
        <f t="shared" si="285"/>
        <v xml:space="preserve">Valid </v>
      </c>
      <c r="AL1357" t="str">
        <f>IF(AND(Audit_Data[[#This Row],[Recency]]&gt;=0,Audit_Data[[#This Row],[Recency]]&lt;=100),"Valid","Invalid")</f>
        <v>Valid</v>
      </c>
      <c r="AM1357" t="str">
        <f t="shared" si="279"/>
        <v>Valid</v>
      </c>
      <c r="AN1357" t="str">
        <f t="shared" si="280"/>
        <v>Valid</v>
      </c>
      <c r="AO1357" t="str">
        <f t="shared" si="281"/>
        <v>Valid</v>
      </c>
      <c r="AP1357" t="str">
        <f t="shared" si="282"/>
        <v>Valid</v>
      </c>
      <c r="AQ1357" t="str">
        <f>IF(Audit_Data[[#This Row],[Z_CostContact]]=3,"Valid","Invalid")</f>
        <v>Valid</v>
      </c>
      <c r="AR1357" t="str">
        <f t="shared" si="283"/>
        <v>Valid</v>
      </c>
      <c r="AS1357" t="str">
        <f t="shared" si="284"/>
        <v>Valid</v>
      </c>
    </row>
    <row r="1358" spans="1:45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 t="str">
        <f t="shared" si="273"/>
        <v>Ok</v>
      </c>
      <c r="AE1358" t="str">
        <f>IF(AND(Audit_Data[[#This Row],[Year_Birth]]&gt;=1900,Audit_Data[[#This Row],[Year_Birth]]&lt;=2010),"OK","Invalid")</f>
        <v>OK</v>
      </c>
      <c r="AF1358" t="str">
        <f t="shared" si="274"/>
        <v>Valid</v>
      </c>
      <c r="AG1358" t="str">
        <f t="shared" si="275"/>
        <v>Valid</v>
      </c>
      <c r="AH1358" t="str">
        <f t="shared" si="276"/>
        <v>Valid</v>
      </c>
      <c r="AI1358" t="str">
        <f t="shared" si="277"/>
        <v>Valid</v>
      </c>
      <c r="AJ1358" t="str">
        <f t="shared" si="278"/>
        <v>Valid</v>
      </c>
      <c r="AK1358" t="str">
        <f t="shared" si="285"/>
        <v xml:space="preserve">Valid </v>
      </c>
      <c r="AL1358" t="str">
        <f>IF(AND(Audit_Data[[#This Row],[Recency]]&gt;=0,Audit_Data[[#This Row],[Recency]]&lt;=100),"Valid","Invalid")</f>
        <v>Valid</v>
      </c>
      <c r="AM1358" t="str">
        <f t="shared" si="279"/>
        <v>Valid</v>
      </c>
      <c r="AN1358" t="str">
        <f t="shared" si="280"/>
        <v>Valid</v>
      </c>
      <c r="AO1358" t="str">
        <f t="shared" si="281"/>
        <v>Valid</v>
      </c>
      <c r="AP1358" t="str">
        <f t="shared" si="282"/>
        <v>Valid</v>
      </c>
      <c r="AQ1358" t="str">
        <f>IF(Audit_Data[[#This Row],[Z_CostContact]]=3,"Valid","Invalid")</f>
        <v>Valid</v>
      </c>
      <c r="AR1358" t="str">
        <f t="shared" si="283"/>
        <v>Valid</v>
      </c>
      <c r="AS1358" t="str">
        <f t="shared" si="284"/>
        <v>Valid</v>
      </c>
    </row>
    <row r="1359" spans="1:45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 t="str">
        <f t="shared" si="273"/>
        <v>Ok</v>
      </c>
      <c r="AE1359" t="str">
        <f>IF(AND(Audit_Data[[#This Row],[Year_Birth]]&gt;=1900,Audit_Data[[#This Row],[Year_Birth]]&lt;=2010),"OK","Invalid")</f>
        <v>OK</v>
      </c>
      <c r="AF1359" t="str">
        <f t="shared" si="274"/>
        <v>Valid</v>
      </c>
      <c r="AG1359" t="str">
        <f t="shared" si="275"/>
        <v>Valid</v>
      </c>
      <c r="AH1359" t="str">
        <f t="shared" si="276"/>
        <v>Valid</v>
      </c>
      <c r="AI1359" t="str">
        <f t="shared" si="277"/>
        <v>Valid</v>
      </c>
      <c r="AJ1359" t="str">
        <f t="shared" si="278"/>
        <v>Valid</v>
      </c>
      <c r="AK1359" t="str">
        <f t="shared" si="285"/>
        <v xml:space="preserve">Valid </v>
      </c>
      <c r="AL1359" t="str">
        <f>IF(AND(Audit_Data[[#This Row],[Recency]]&gt;=0,Audit_Data[[#This Row],[Recency]]&lt;=100),"Valid","Invalid")</f>
        <v>Valid</v>
      </c>
      <c r="AM1359" t="str">
        <f t="shared" si="279"/>
        <v>Valid</v>
      </c>
      <c r="AN1359" t="str">
        <f t="shared" si="280"/>
        <v>Valid</v>
      </c>
      <c r="AO1359" t="str">
        <f t="shared" si="281"/>
        <v>Valid</v>
      </c>
      <c r="AP1359" t="str">
        <f t="shared" si="282"/>
        <v>Valid</v>
      </c>
      <c r="AQ1359" t="str">
        <f>IF(Audit_Data[[#This Row],[Z_CostContact]]=3,"Valid","Invalid")</f>
        <v>Valid</v>
      </c>
      <c r="AR1359" t="str">
        <f t="shared" si="283"/>
        <v>Valid</v>
      </c>
      <c r="AS1359" t="str">
        <f t="shared" si="284"/>
        <v>Valid</v>
      </c>
    </row>
    <row r="1360" spans="1:45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 t="str">
        <f t="shared" si="273"/>
        <v>Ok</v>
      </c>
      <c r="AE1360" t="str">
        <f>IF(AND(Audit_Data[[#This Row],[Year_Birth]]&gt;=1900,Audit_Data[[#This Row],[Year_Birth]]&lt;=2010),"OK","Invalid")</f>
        <v>OK</v>
      </c>
      <c r="AF1360" t="str">
        <f t="shared" si="274"/>
        <v>Valid</v>
      </c>
      <c r="AG1360" t="str">
        <f t="shared" si="275"/>
        <v>Valid</v>
      </c>
      <c r="AH1360" t="str">
        <f t="shared" si="276"/>
        <v>Valid</v>
      </c>
      <c r="AI1360" t="str">
        <f t="shared" si="277"/>
        <v>Valid</v>
      </c>
      <c r="AJ1360" t="str">
        <f t="shared" si="278"/>
        <v>Valid</v>
      </c>
      <c r="AK1360" t="str">
        <f t="shared" si="285"/>
        <v xml:space="preserve">Valid </v>
      </c>
      <c r="AL1360" t="str">
        <f>IF(AND(Audit_Data[[#This Row],[Recency]]&gt;=0,Audit_Data[[#This Row],[Recency]]&lt;=100),"Valid","Invalid")</f>
        <v>Valid</v>
      </c>
      <c r="AM1360" t="str">
        <f t="shared" si="279"/>
        <v>Valid</v>
      </c>
      <c r="AN1360" t="str">
        <f t="shared" si="280"/>
        <v>Valid</v>
      </c>
      <c r="AO1360" t="str">
        <f t="shared" si="281"/>
        <v>Valid</v>
      </c>
      <c r="AP1360" t="str">
        <f t="shared" si="282"/>
        <v>Valid</v>
      </c>
      <c r="AQ1360" t="str">
        <f>IF(Audit_Data[[#This Row],[Z_CostContact]]=3,"Valid","Invalid")</f>
        <v>Valid</v>
      </c>
      <c r="AR1360" t="str">
        <f t="shared" si="283"/>
        <v>Valid</v>
      </c>
      <c r="AS1360" t="str">
        <f t="shared" si="284"/>
        <v>Valid</v>
      </c>
    </row>
    <row r="1361" spans="1:45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 t="str">
        <f t="shared" si="273"/>
        <v>Ok</v>
      </c>
      <c r="AE1361" t="str">
        <f>IF(AND(Audit_Data[[#This Row],[Year_Birth]]&gt;=1900,Audit_Data[[#This Row],[Year_Birth]]&lt;=2010),"OK","Invalid")</f>
        <v>OK</v>
      </c>
      <c r="AF1361" t="str">
        <f t="shared" si="274"/>
        <v>Valid</v>
      </c>
      <c r="AG1361" t="str">
        <f t="shared" si="275"/>
        <v>Valid</v>
      </c>
      <c r="AH1361" t="str">
        <f t="shared" si="276"/>
        <v>Valid</v>
      </c>
      <c r="AI1361" t="str">
        <f t="shared" si="277"/>
        <v>Valid</v>
      </c>
      <c r="AJ1361" t="str">
        <f t="shared" si="278"/>
        <v>Valid</v>
      </c>
      <c r="AK1361" t="str">
        <f t="shared" si="285"/>
        <v xml:space="preserve">Valid </v>
      </c>
      <c r="AL1361" t="str">
        <f>IF(AND(Audit_Data[[#This Row],[Recency]]&gt;=0,Audit_Data[[#This Row],[Recency]]&lt;=100),"Valid","Invalid")</f>
        <v>Valid</v>
      </c>
      <c r="AM1361" t="str">
        <f t="shared" si="279"/>
        <v>Valid</v>
      </c>
      <c r="AN1361" t="str">
        <f t="shared" si="280"/>
        <v>Valid</v>
      </c>
      <c r="AO1361" t="str">
        <f t="shared" si="281"/>
        <v>Valid</v>
      </c>
      <c r="AP1361" t="str">
        <f t="shared" si="282"/>
        <v>Valid</v>
      </c>
      <c r="AQ1361" t="str">
        <f>IF(Audit_Data[[#This Row],[Z_CostContact]]=3,"Valid","Invalid")</f>
        <v>Valid</v>
      </c>
      <c r="AR1361" t="str">
        <f t="shared" si="283"/>
        <v>Valid</v>
      </c>
      <c r="AS1361" t="str">
        <f t="shared" si="284"/>
        <v>Valid</v>
      </c>
    </row>
    <row r="1362" spans="1:45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 t="str">
        <f t="shared" si="273"/>
        <v>Ok</v>
      </c>
      <c r="AE1362" t="str">
        <f>IF(AND(Audit_Data[[#This Row],[Year_Birth]]&gt;=1900,Audit_Data[[#This Row],[Year_Birth]]&lt;=2010),"OK","Invalid")</f>
        <v>OK</v>
      </c>
      <c r="AF1362" t="str">
        <f t="shared" si="274"/>
        <v>Valid</v>
      </c>
      <c r="AG1362" t="str">
        <f t="shared" si="275"/>
        <v>Valid</v>
      </c>
      <c r="AH1362" t="str">
        <f t="shared" si="276"/>
        <v>Valid</v>
      </c>
      <c r="AI1362" t="str">
        <f t="shared" si="277"/>
        <v>Valid</v>
      </c>
      <c r="AJ1362" t="str">
        <f t="shared" si="278"/>
        <v>Valid</v>
      </c>
      <c r="AK1362" t="str">
        <f t="shared" si="285"/>
        <v xml:space="preserve">Valid </v>
      </c>
      <c r="AL1362" t="str">
        <f>IF(AND(Audit_Data[[#This Row],[Recency]]&gt;=0,Audit_Data[[#This Row],[Recency]]&lt;=100),"Valid","Invalid")</f>
        <v>Valid</v>
      </c>
      <c r="AM1362" t="str">
        <f t="shared" si="279"/>
        <v>Valid</v>
      </c>
      <c r="AN1362" t="str">
        <f t="shared" si="280"/>
        <v>Valid</v>
      </c>
      <c r="AO1362" t="str">
        <f t="shared" si="281"/>
        <v>Valid</v>
      </c>
      <c r="AP1362" t="str">
        <f t="shared" si="282"/>
        <v>Valid</v>
      </c>
      <c r="AQ1362" t="str">
        <f>IF(Audit_Data[[#This Row],[Z_CostContact]]=3,"Valid","Invalid")</f>
        <v>Valid</v>
      </c>
      <c r="AR1362" t="str">
        <f t="shared" si="283"/>
        <v>Valid</v>
      </c>
      <c r="AS1362" t="str">
        <f t="shared" si="284"/>
        <v>Valid</v>
      </c>
    </row>
    <row r="1363" spans="1:45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 t="str">
        <f t="shared" si="273"/>
        <v>Ok</v>
      </c>
      <c r="AE1363" t="str">
        <f>IF(AND(Audit_Data[[#This Row],[Year_Birth]]&gt;=1900,Audit_Data[[#This Row],[Year_Birth]]&lt;=2010),"OK","Invalid")</f>
        <v>OK</v>
      </c>
      <c r="AF1363" t="str">
        <f t="shared" si="274"/>
        <v>Valid</v>
      </c>
      <c r="AG1363" t="str">
        <f t="shared" si="275"/>
        <v>Valid</v>
      </c>
      <c r="AH1363" t="str">
        <f t="shared" si="276"/>
        <v>Valid</v>
      </c>
      <c r="AI1363" t="str">
        <f t="shared" si="277"/>
        <v>Valid</v>
      </c>
      <c r="AJ1363" t="str">
        <f t="shared" si="278"/>
        <v>Valid</v>
      </c>
      <c r="AK1363" t="str">
        <f t="shared" si="285"/>
        <v xml:space="preserve">Valid </v>
      </c>
      <c r="AL1363" t="str">
        <f>IF(AND(Audit_Data[[#This Row],[Recency]]&gt;=0,Audit_Data[[#This Row],[Recency]]&lt;=100),"Valid","Invalid")</f>
        <v>Valid</v>
      </c>
      <c r="AM1363" t="str">
        <f t="shared" si="279"/>
        <v>Valid</v>
      </c>
      <c r="AN1363" t="str">
        <f t="shared" si="280"/>
        <v>Valid</v>
      </c>
      <c r="AO1363" t="str">
        <f t="shared" si="281"/>
        <v>Valid</v>
      </c>
      <c r="AP1363" t="str">
        <f t="shared" si="282"/>
        <v>Valid</v>
      </c>
      <c r="AQ1363" t="str">
        <f>IF(Audit_Data[[#This Row],[Z_CostContact]]=3,"Valid","Invalid")</f>
        <v>Valid</v>
      </c>
      <c r="AR1363" t="str">
        <f t="shared" si="283"/>
        <v>Valid</v>
      </c>
      <c r="AS1363" t="str">
        <f t="shared" si="284"/>
        <v>Valid</v>
      </c>
    </row>
    <row r="1364" spans="1:45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 t="str">
        <f t="shared" si="273"/>
        <v>Ok</v>
      </c>
      <c r="AE1364" t="str">
        <f>IF(AND(Audit_Data[[#This Row],[Year_Birth]]&gt;=1900,Audit_Data[[#This Row],[Year_Birth]]&lt;=2010),"OK","Invalid")</f>
        <v>OK</v>
      </c>
      <c r="AF1364" t="str">
        <f t="shared" si="274"/>
        <v>Valid</v>
      </c>
      <c r="AG1364" t="str">
        <f t="shared" si="275"/>
        <v>Valid</v>
      </c>
      <c r="AH1364" t="str">
        <f t="shared" si="276"/>
        <v>Valid</v>
      </c>
      <c r="AI1364" t="str">
        <f t="shared" si="277"/>
        <v>Valid</v>
      </c>
      <c r="AJ1364" t="str">
        <f t="shared" si="278"/>
        <v>Valid</v>
      </c>
      <c r="AK1364" t="str">
        <f t="shared" si="285"/>
        <v xml:space="preserve">Valid </v>
      </c>
      <c r="AL1364" t="str">
        <f>IF(AND(Audit_Data[[#This Row],[Recency]]&gt;=0,Audit_Data[[#This Row],[Recency]]&lt;=100),"Valid","Invalid")</f>
        <v>Valid</v>
      </c>
      <c r="AM1364" t="str">
        <f t="shared" si="279"/>
        <v>Valid</v>
      </c>
      <c r="AN1364" t="str">
        <f t="shared" si="280"/>
        <v>Valid</v>
      </c>
      <c r="AO1364" t="str">
        <f t="shared" si="281"/>
        <v>Valid</v>
      </c>
      <c r="AP1364" t="str">
        <f t="shared" si="282"/>
        <v>Valid</v>
      </c>
      <c r="AQ1364" t="str">
        <f>IF(Audit_Data[[#This Row],[Z_CostContact]]=3,"Valid","Invalid")</f>
        <v>Valid</v>
      </c>
      <c r="AR1364" t="str">
        <f t="shared" si="283"/>
        <v>Valid</v>
      </c>
      <c r="AS1364" t="str">
        <f t="shared" si="284"/>
        <v>Valid</v>
      </c>
    </row>
    <row r="1365" spans="1:45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 t="str">
        <f t="shared" si="273"/>
        <v>Ok</v>
      </c>
      <c r="AE1365" t="str">
        <f>IF(AND(Audit_Data[[#This Row],[Year_Birth]]&gt;=1900,Audit_Data[[#This Row],[Year_Birth]]&lt;=2010),"OK","Invalid")</f>
        <v>OK</v>
      </c>
      <c r="AF1365" t="str">
        <f t="shared" si="274"/>
        <v>Valid</v>
      </c>
      <c r="AG1365" t="str">
        <f t="shared" si="275"/>
        <v>Valid</v>
      </c>
      <c r="AH1365" t="str">
        <f t="shared" si="276"/>
        <v>Valid</v>
      </c>
      <c r="AI1365" t="str">
        <f t="shared" si="277"/>
        <v>Valid</v>
      </c>
      <c r="AJ1365" t="str">
        <f t="shared" si="278"/>
        <v>Valid</v>
      </c>
      <c r="AK1365" t="str">
        <f t="shared" si="285"/>
        <v xml:space="preserve">Valid </v>
      </c>
      <c r="AL1365" t="str">
        <f>IF(AND(Audit_Data[[#This Row],[Recency]]&gt;=0,Audit_Data[[#This Row],[Recency]]&lt;=100),"Valid","Invalid")</f>
        <v>Valid</v>
      </c>
      <c r="AM1365" t="str">
        <f t="shared" si="279"/>
        <v>Valid</v>
      </c>
      <c r="AN1365" t="str">
        <f t="shared" si="280"/>
        <v>Valid</v>
      </c>
      <c r="AO1365" t="str">
        <f t="shared" si="281"/>
        <v>Valid</v>
      </c>
      <c r="AP1365" t="str">
        <f t="shared" si="282"/>
        <v>Valid</v>
      </c>
      <c r="AQ1365" t="str">
        <f>IF(Audit_Data[[#This Row],[Z_CostContact]]=3,"Valid","Invalid")</f>
        <v>Valid</v>
      </c>
      <c r="AR1365" t="str">
        <f t="shared" si="283"/>
        <v>Valid</v>
      </c>
      <c r="AS1365" t="str">
        <f t="shared" si="284"/>
        <v>Valid</v>
      </c>
    </row>
    <row r="1366" spans="1:45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 t="str">
        <f t="shared" si="273"/>
        <v>Ok</v>
      </c>
      <c r="AE1366" t="str">
        <f>IF(AND(Audit_Data[[#This Row],[Year_Birth]]&gt;=1900,Audit_Data[[#This Row],[Year_Birth]]&lt;=2010),"OK","Invalid")</f>
        <v>OK</v>
      </c>
      <c r="AF1366" t="str">
        <f t="shared" si="274"/>
        <v>Valid</v>
      </c>
      <c r="AG1366" t="str">
        <f t="shared" si="275"/>
        <v>Valid</v>
      </c>
      <c r="AH1366" t="str">
        <f t="shared" si="276"/>
        <v>Valid</v>
      </c>
      <c r="AI1366" t="str">
        <f t="shared" si="277"/>
        <v>Valid</v>
      </c>
      <c r="AJ1366" t="str">
        <f t="shared" si="278"/>
        <v>Valid</v>
      </c>
      <c r="AK1366" t="str">
        <f t="shared" si="285"/>
        <v xml:space="preserve">Valid </v>
      </c>
      <c r="AL1366" t="str">
        <f>IF(AND(Audit_Data[[#This Row],[Recency]]&gt;=0,Audit_Data[[#This Row],[Recency]]&lt;=100),"Valid","Invalid")</f>
        <v>Valid</v>
      </c>
      <c r="AM1366" t="str">
        <f t="shared" si="279"/>
        <v>Valid</v>
      </c>
      <c r="AN1366" t="str">
        <f t="shared" si="280"/>
        <v>Valid</v>
      </c>
      <c r="AO1366" t="str">
        <f t="shared" si="281"/>
        <v>Valid</v>
      </c>
      <c r="AP1366" t="str">
        <f t="shared" si="282"/>
        <v>Valid</v>
      </c>
      <c r="AQ1366" t="str">
        <f>IF(Audit_Data[[#This Row],[Z_CostContact]]=3,"Valid","Invalid")</f>
        <v>Valid</v>
      </c>
      <c r="AR1366" t="str">
        <f t="shared" si="283"/>
        <v>Valid</v>
      </c>
      <c r="AS1366" t="str">
        <f t="shared" si="284"/>
        <v>Valid</v>
      </c>
    </row>
    <row r="1367" spans="1:45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 t="str">
        <f t="shared" si="273"/>
        <v>Ok</v>
      </c>
      <c r="AE1367" t="str">
        <f>IF(AND(Audit_Data[[#This Row],[Year_Birth]]&gt;=1900,Audit_Data[[#This Row],[Year_Birth]]&lt;=2010),"OK","Invalid")</f>
        <v>OK</v>
      </c>
      <c r="AF1367" t="str">
        <f t="shared" si="274"/>
        <v>Valid</v>
      </c>
      <c r="AG1367" t="str">
        <f t="shared" si="275"/>
        <v>Valid</v>
      </c>
      <c r="AH1367" t="str">
        <f t="shared" si="276"/>
        <v>Valid</v>
      </c>
      <c r="AI1367" t="str">
        <f t="shared" si="277"/>
        <v>Valid</v>
      </c>
      <c r="AJ1367" t="str">
        <f t="shared" si="278"/>
        <v>Valid</v>
      </c>
      <c r="AK1367" t="str">
        <f t="shared" si="285"/>
        <v xml:space="preserve">Valid </v>
      </c>
      <c r="AL1367" t="str">
        <f>IF(AND(Audit_Data[[#This Row],[Recency]]&gt;=0,Audit_Data[[#This Row],[Recency]]&lt;=100),"Valid","Invalid")</f>
        <v>Valid</v>
      </c>
      <c r="AM1367" t="str">
        <f t="shared" si="279"/>
        <v>Valid</v>
      </c>
      <c r="AN1367" t="str">
        <f t="shared" si="280"/>
        <v>Valid</v>
      </c>
      <c r="AO1367" t="str">
        <f t="shared" si="281"/>
        <v>Valid</v>
      </c>
      <c r="AP1367" t="str">
        <f t="shared" si="282"/>
        <v>Valid</v>
      </c>
      <c r="AQ1367" t="str">
        <f>IF(Audit_Data[[#This Row],[Z_CostContact]]=3,"Valid","Invalid")</f>
        <v>Valid</v>
      </c>
      <c r="AR1367" t="str">
        <f t="shared" si="283"/>
        <v>Valid</v>
      </c>
      <c r="AS1367" t="str">
        <f t="shared" si="284"/>
        <v>Valid</v>
      </c>
    </row>
    <row r="1368" spans="1:45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 t="str">
        <f t="shared" si="273"/>
        <v>Ok</v>
      </c>
      <c r="AE1368" t="str">
        <f>IF(AND(Audit_Data[[#This Row],[Year_Birth]]&gt;=1900,Audit_Data[[#This Row],[Year_Birth]]&lt;=2010),"OK","Invalid")</f>
        <v>OK</v>
      </c>
      <c r="AF1368" t="str">
        <f t="shared" si="274"/>
        <v>Valid</v>
      </c>
      <c r="AG1368" t="str">
        <f t="shared" si="275"/>
        <v>Valid</v>
      </c>
      <c r="AH1368" t="str">
        <f t="shared" si="276"/>
        <v>Valid</v>
      </c>
      <c r="AI1368" t="str">
        <f t="shared" si="277"/>
        <v>Valid</v>
      </c>
      <c r="AJ1368" t="str">
        <f t="shared" si="278"/>
        <v>Valid</v>
      </c>
      <c r="AK1368" t="str">
        <f t="shared" si="285"/>
        <v xml:space="preserve">Valid </v>
      </c>
      <c r="AL1368" t="str">
        <f>IF(AND(Audit_Data[[#This Row],[Recency]]&gt;=0,Audit_Data[[#This Row],[Recency]]&lt;=100),"Valid","Invalid")</f>
        <v>Valid</v>
      </c>
      <c r="AM1368" t="str">
        <f t="shared" si="279"/>
        <v>Valid</v>
      </c>
      <c r="AN1368" t="str">
        <f t="shared" si="280"/>
        <v>Valid</v>
      </c>
      <c r="AO1368" t="str">
        <f t="shared" si="281"/>
        <v>Valid</v>
      </c>
      <c r="AP1368" t="str">
        <f t="shared" si="282"/>
        <v>Valid</v>
      </c>
      <c r="AQ1368" t="str">
        <f>IF(Audit_Data[[#This Row],[Z_CostContact]]=3,"Valid","Invalid")</f>
        <v>Valid</v>
      </c>
      <c r="AR1368" t="str">
        <f t="shared" si="283"/>
        <v>Valid</v>
      </c>
      <c r="AS1368" t="str">
        <f t="shared" si="284"/>
        <v>Valid</v>
      </c>
    </row>
    <row r="1369" spans="1:45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 t="str">
        <f t="shared" si="273"/>
        <v>Ok</v>
      </c>
      <c r="AE1369" t="str">
        <f>IF(AND(Audit_Data[[#This Row],[Year_Birth]]&gt;=1900,Audit_Data[[#This Row],[Year_Birth]]&lt;=2010),"OK","Invalid")</f>
        <v>OK</v>
      </c>
      <c r="AF1369" t="str">
        <f t="shared" si="274"/>
        <v>Valid</v>
      </c>
      <c r="AG1369" t="str">
        <f t="shared" si="275"/>
        <v>Valid</v>
      </c>
      <c r="AH1369" t="str">
        <f t="shared" si="276"/>
        <v>Valid</v>
      </c>
      <c r="AI1369" t="str">
        <f t="shared" si="277"/>
        <v>Valid</v>
      </c>
      <c r="AJ1369" t="str">
        <f t="shared" si="278"/>
        <v>Valid</v>
      </c>
      <c r="AK1369" t="str">
        <f t="shared" si="285"/>
        <v xml:space="preserve">Valid </v>
      </c>
      <c r="AL1369" t="str">
        <f>IF(AND(Audit_Data[[#This Row],[Recency]]&gt;=0,Audit_Data[[#This Row],[Recency]]&lt;=100),"Valid","Invalid")</f>
        <v>Valid</v>
      </c>
      <c r="AM1369" t="str">
        <f t="shared" si="279"/>
        <v>Valid</v>
      </c>
      <c r="AN1369" t="str">
        <f t="shared" si="280"/>
        <v>Valid</v>
      </c>
      <c r="AO1369" t="str">
        <f t="shared" si="281"/>
        <v>Valid</v>
      </c>
      <c r="AP1369" t="str">
        <f t="shared" si="282"/>
        <v>Valid</v>
      </c>
      <c r="AQ1369" t="str">
        <f>IF(Audit_Data[[#This Row],[Z_CostContact]]=3,"Valid","Invalid")</f>
        <v>Valid</v>
      </c>
      <c r="AR1369" t="str">
        <f t="shared" si="283"/>
        <v>Valid</v>
      </c>
      <c r="AS1369" t="str">
        <f t="shared" si="284"/>
        <v>Valid</v>
      </c>
    </row>
    <row r="1370" spans="1:45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 t="str">
        <f t="shared" si="273"/>
        <v>Ok</v>
      </c>
      <c r="AE1370" t="str">
        <f>IF(AND(Audit_Data[[#This Row],[Year_Birth]]&gt;=1900,Audit_Data[[#This Row],[Year_Birth]]&lt;=2010),"OK","Invalid")</f>
        <v>OK</v>
      </c>
      <c r="AF1370" t="str">
        <f t="shared" si="274"/>
        <v>Valid</v>
      </c>
      <c r="AG1370" t="str">
        <f t="shared" si="275"/>
        <v>Valid</v>
      </c>
      <c r="AH1370" t="str">
        <f t="shared" si="276"/>
        <v>Valid</v>
      </c>
      <c r="AI1370" t="str">
        <f t="shared" si="277"/>
        <v>Valid</v>
      </c>
      <c r="AJ1370" t="str">
        <f t="shared" si="278"/>
        <v>Valid</v>
      </c>
      <c r="AK1370" t="str">
        <f t="shared" si="285"/>
        <v xml:space="preserve">Valid </v>
      </c>
      <c r="AL1370" t="str">
        <f>IF(AND(Audit_Data[[#This Row],[Recency]]&gt;=0,Audit_Data[[#This Row],[Recency]]&lt;=100),"Valid","Invalid")</f>
        <v>Valid</v>
      </c>
      <c r="AM1370" t="str">
        <f t="shared" si="279"/>
        <v>Valid</v>
      </c>
      <c r="AN1370" t="str">
        <f t="shared" si="280"/>
        <v>Valid</v>
      </c>
      <c r="AO1370" t="str">
        <f t="shared" si="281"/>
        <v>Valid</v>
      </c>
      <c r="AP1370" t="str">
        <f t="shared" si="282"/>
        <v>Valid</v>
      </c>
      <c r="AQ1370" t="str">
        <f>IF(Audit_Data[[#This Row],[Z_CostContact]]=3,"Valid","Invalid")</f>
        <v>Valid</v>
      </c>
      <c r="AR1370" t="str">
        <f t="shared" si="283"/>
        <v>Valid</v>
      </c>
      <c r="AS1370" t="str">
        <f t="shared" si="284"/>
        <v>Valid</v>
      </c>
    </row>
    <row r="1371" spans="1:45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 t="str">
        <f t="shared" si="273"/>
        <v>Ok</v>
      </c>
      <c r="AE1371" t="str">
        <f>IF(AND(Audit_Data[[#This Row],[Year_Birth]]&gt;=1900,Audit_Data[[#This Row],[Year_Birth]]&lt;=2010),"OK","Invalid")</f>
        <v>OK</v>
      </c>
      <c r="AF1371" t="str">
        <f t="shared" si="274"/>
        <v>Valid</v>
      </c>
      <c r="AG1371" t="str">
        <f t="shared" si="275"/>
        <v>Valid</v>
      </c>
      <c r="AH1371" t="str">
        <f t="shared" si="276"/>
        <v>Valid</v>
      </c>
      <c r="AI1371" t="str">
        <f t="shared" si="277"/>
        <v>Valid</v>
      </c>
      <c r="AJ1371" t="str">
        <f t="shared" si="278"/>
        <v>Valid</v>
      </c>
      <c r="AK1371" t="str">
        <f t="shared" si="285"/>
        <v xml:space="preserve">Valid </v>
      </c>
      <c r="AL1371" t="str">
        <f>IF(AND(Audit_Data[[#This Row],[Recency]]&gt;=0,Audit_Data[[#This Row],[Recency]]&lt;=100),"Valid","Invalid")</f>
        <v>Valid</v>
      </c>
      <c r="AM1371" t="str">
        <f t="shared" si="279"/>
        <v>Valid</v>
      </c>
      <c r="AN1371" t="str">
        <f t="shared" si="280"/>
        <v>Valid</v>
      </c>
      <c r="AO1371" t="str">
        <f t="shared" si="281"/>
        <v>Valid</v>
      </c>
      <c r="AP1371" t="str">
        <f t="shared" si="282"/>
        <v>Valid</v>
      </c>
      <c r="AQ1371" t="str">
        <f>IF(Audit_Data[[#This Row],[Z_CostContact]]=3,"Valid","Invalid")</f>
        <v>Valid</v>
      </c>
      <c r="AR1371" t="str">
        <f t="shared" si="283"/>
        <v>Valid</v>
      </c>
      <c r="AS1371" t="str">
        <f t="shared" si="284"/>
        <v>Valid</v>
      </c>
    </row>
    <row r="1372" spans="1:45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 t="str">
        <f t="shared" si="273"/>
        <v>Ok</v>
      </c>
      <c r="AE1372" t="str">
        <f>IF(AND(Audit_Data[[#This Row],[Year_Birth]]&gt;=1900,Audit_Data[[#This Row],[Year_Birth]]&lt;=2010),"OK","Invalid")</f>
        <v>OK</v>
      </c>
      <c r="AF1372" t="str">
        <f t="shared" si="274"/>
        <v>Valid</v>
      </c>
      <c r="AG1372" t="str">
        <f t="shared" si="275"/>
        <v>Valid</v>
      </c>
      <c r="AH1372" t="str">
        <f t="shared" si="276"/>
        <v>Valid</v>
      </c>
      <c r="AI1372" t="str">
        <f t="shared" si="277"/>
        <v>Valid</v>
      </c>
      <c r="AJ1372" t="str">
        <f t="shared" si="278"/>
        <v>Valid</v>
      </c>
      <c r="AK1372" t="str">
        <f t="shared" si="285"/>
        <v xml:space="preserve">Valid </v>
      </c>
      <c r="AL1372" t="str">
        <f>IF(AND(Audit_Data[[#This Row],[Recency]]&gt;=0,Audit_Data[[#This Row],[Recency]]&lt;=100),"Valid","Invalid")</f>
        <v>Valid</v>
      </c>
      <c r="AM1372" t="str">
        <f t="shared" si="279"/>
        <v>Valid</v>
      </c>
      <c r="AN1372" t="str">
        <f t="shared" si="280"/>
        <v>Valid</v>
      </c>
      <c r="AO1372" t="str">
        <f t="shared" si="281"/>
        <v>Valid</v>
      </c>
      <c r="AP1372" t="str">
        <f t="shared" si="282"/>
        <v>Valid</v>
      </c>
      <c r="AQ1372" t="str">
        <f>IF(Audit_Data[[#This Row],[Z_CostContact]]=3,"Valid","Invalid")</f>
        <v>Valid</v>
      </c>
      <c r="AR1372" t="str">
        <f t="shared" si="283"/>
        <v>Valid</v>
      </c>
      <c r="AS1372" t="str">
        <f t="shared" si="284"/>
        <v>Valid</v>
      </c>
    </row>
    <row r="1373" spans="1:45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 t="str">
        <f t="shared" si="273"/>
        <v>Ok</v>
      </c>
      <c r="AE1373" t="str">
        <f>IF(AND(Audit_Data[[#This Row],[Year_Birth]]&gt;=1900,Audit_Data[[#This Row],[Year_Birth]]&lt;=2010),"OK","Invalid")</f>
        <v>OK</v>
      </c>
      <c r="AF1373" t="str">
        <f t="shared" si="274"/>
        <v>Valid</v>
      </c>
      <c r="AG1373" t="str">
        <f t="shared" si="275"/>
        <v>Valid</v>
      </c>
      <c r="AH1373" t="str">
        <f t="shared" si="276"/>
        <v>Valid</v>
      </c>
      <c r="AI1373" t="str">
        <f t="shared" si="277"/>
        <v>Valid</v>
      </c>
      <c r="AJ1373" t="str">
        <f t="shared" si="278"/>
        <v>Valid</v>
      </c>
      <c r="AK1373" t="str">
        <f t="shared" si="285"/>
        <v xml:space="preserve">Valid </v>
      </c>
      <c r="AL1373" t="str">
        <f>IF(AND(Audit_Data[[#This Row],[Recency]]&gt;=0,Audit_Data[[#This Row],[Recency]]&lt;=100),"Valid","Invalid")</f>
        <v>Valid</v>
      </c>
      <c r="AM1373" t="str">
        <f t="shared" si="279"/>
        <v>Valid</v>
      </c>
      <c r="AN1373" t="str">
        <f t="shared" si="280"/>
        <v>Valid</v>
      </c>
      <c r="AO1373" t="str">
        <f t="shared" si="281"/>
        <v>Valid</v>
      </c>
      <c r="AP1373" t="str">
        <f t="shared" si="282"/>
        <v>Valid</v>
      </c>
      <c r="AQ1373" t="str">
        <f>IF(Audit_Data[[#This Row],[Z_CostContact]]=3,"Valid","Invalid")</f>
        <v>Valid</v>
      </c>
      <c r="AR1373" t="str">
        <f t="shared" si="283"/>
        <v>Valid</v>
      </c>
      <c r="AS1373" t="str">
        <f t="shared" si="284"/>
        <v>Valid</v>
      </c>
    </row>
    <row r="1374" spans="1:45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 t="str">
        <f t="shared" si="273"/>
        <v>Ok</v>
      </c>
      <c r="AE1374" t="str">
        <f>IF(AND(Audit_Data[[#This Row],[Year_Birth]]&gt;=1900,Audit_Data[[#This Row],[Year_Birth]]&lt;=2010),"OK","Invalid")</f>
        <v>OK</v>
      </c>
      <c r="AF1374" t="str">
        <f t="shared" si="274"/>
        <v>Valid</v>
      </c>
      <c r="AG1374" t="str">
        <f t="shared" si="275"/>
        <v>Valid</v>
      </c>
      <c r="AH1374" t="str">
        <f t="shared" si="276"/>
        <v>Valid</v>
      </c>
      <c r="AI1374" t="str">
        <f t="shared" si="277"/>
        <v>Valid</v>
      </c>
      <c r="AJ1374" t="str">
        <f t="shared" si="278"/>
        <v>Valid</v>
      </c>
      <c r="AK1374" t="str">
        <f t="shared" si="285"/>
        <v xml:space="preserve">Valid </v>
      </c>
      <c r="AL1374" t="str">
        <f>IF(AND(Audit_Data[[#This Row],[Recency]]&gt;=0,Audit_Data[[#This Row],[Recency]]&lt;=100),"Valid","Invalid")</f>
        <v>Valid</v>
      </c>
      <c r="AM1374" t="str">
        <f t="shared" si="279"/>
        <v>Valid</v>
      </c>
      <c r="AN1374" t="str">
        <f t="shared" si="280"/>
        <v>Valid</v>
      </c>
      <c r="AO1374" t="str">
        <f t="shared" si="281"/>
        <v>Valid</v>
      </c>
      <c r="AP1374" t="str">
        <f t="shared" si="282"/>
        <v>Valid</v>
      </c>
      <c r="AQ1374" t="str">
        <f>IF(Audit_Data[[#This Row],[Z_CostContact]]=3,"Valid","Invalid")</f>
        <v>Valid</v>
      </c>
      <c r="AR1374" t="str">
        <f t="shared" si="283"/>
        <v>Valid</v>
      </c>
      <c r="AS1374" t="str">
        <f t="shared" si="284"/>
        <v>Valid</v>
      </c>
    </row>
    <row r="1375" spans="1:45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 t="str">
        <f t="shared" si="273"/>
        <v>Ok</v>
      </c>
      <c r="AE1375" t="str">
        <f>IF(AND(Audit_Data[[#This Row],[Year_Birth]]&gt;=1900,Audit_Data[[#This Row],[Year_Birth]]&lt;=2010),"OK","Invalid")</f>
        <v>OK</v>
      </c>
      <c r="AF1375" t="str">
        <f t="shared" si="274"/>
        <v>Valid</v>
      </c>
      <c r="AG1375" t="str">
        <f t="shared" si="275"/>
        <v>Valid</v>
      </c>
      <c r="AH1375" t="str">
        <f t="shared" si="276"/>
        <v>Valid</v>
      </c>
      <c r="AI1375" t="str">
        <f t="shared" si="277"/>
        <v>Valid</v>
      </c>
      <c r="AJ1375" t="str">
        <f t="shared" si="278"/>
        <v>Valid</v>
      </c>
      <c r="AK1375" t="str">
        <f t="shared" si="285"/>
        <v xml:space="preserve">Valid </v>
      </c>
      <c r="AL1375" t="str">
        <f>IF(AND(Audit_Data[[#This Row],[Recency]]&gt;=0,Audit_Data[[#This Row],[Recency]]&lt;=100),"Valid","Invalid")</f>
        <v>Valid</v>
      </c>
      <c r="AM1375" t="str">
        <f t="shared" si="279"/>
        <v>Valid</v>
      </c>
      <c r="AN1375" t="str">
        <f t="shared" si="280"/>
        <v>Valid</v>
      </c>
      <c r="AO1375" t="str">
        <f t="shared" si="281"/>
        <v>Valid</v>
      </c>
      <c r="AP1375" t="str">
        <f t="shared" si="282"/>
        <v>Valid</v>
      </c>
      <c r="AQ1375" t="str">
        <f>IF(Audit_Data[[#This Row],[Z_CostContact]]=3,"Valid","Invalid")</f>
        <v>Valid</v>
      </c>
      <c r="AR1375" t="str">
        <f t="shared" si="283"/>
        <v>Valid</v>
      </c>
      <c r="AS1375" t="str">
        <f t="shared" si="284"/>
        <v>Valid</v>
      </c>
    </row>
    <row r="1376" spans="1:45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 t="str">
        <f t="shared" si="273"/>
        <v>Ok</v>
      </c>
      <c r="AE1376" t="str">
        <f>IF(AND(Audit_Data[[#This Row],[Year_Birth]]&gt;=1900,Audit_Data[[#This Row],[Year_Birth]]&lt;=2010),"OK","Invalid")</f>
        <v>OK</v>
      </c>
      <c r="AF1376" t="str">
        <f t="shared" si="274"/>
        <v>Valid</v>
      </c>
      <c r="AG1376" t="str">
        <f t="shared" si="275"/>
        <v>Valid</v>
      </c>
      <c r="AH1376" t="str">
        <f t="shared" si="276"/>
        <v>Valid</v>
      </c>
      <c r="AI1376" t="str">
        <f t="shared" si="277"/>
        <v>Valid</v>
      </c>
      <c r="AJ1376" t="str">
        <f t="shared" si="278"/>
        <v>Valid</v>
      </c>
      <c r="AK1376" t="str">
        <f t="shared" si="285"/>
        <v xml:space="preserve">Valid </v>
      </c>
      <c r="AL1376" t="str">
        <f>IF(AND(Audit_Data[[#This Row],[Recency]]&gt;=0,Audit_Data[[#This Row],[Recency]]&lt;=100),"Valid","Invalid")</f>
        <v>Valid</v>
      </c>
      <c r="AM1376" t="str">
        <f t="shared" si="279"/>
        <v>Valid</v>
      </c>
      <c r="AN1376" t="str">
        <f t="shared" si="280"/>
        <v>Valid</v>
      </c>
      <c r="AO1376" t="str">
        <f t="shared" si="281"/>
        <v>Valid</v>
      </c>
      <c r="AP1376" t="str">
        <f t="shared" si="282"/>
        <v>Valid</v>
      </c>
      <c r="AQ1376" t="str">
        <f>IF(Audit_Data[[#This Row],[Z_CostContact]]=3,"Valid","Invalid")</f>
        <v>Valid</v>
      </c>
      <c r="AR1376" t="str">
        <f t="shared" si="283"/>
        <v>Valid</v>
      </c>
      <c r="AS1376" t="str">
        <f t="shared" si="284"/>
        <v>Valid</v>
      </c>
    </row>
    <row r="1377" spans="1:45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 t="str">
        <f t="shared" si="273"/>
        <v>Ok</v>
      </c>
      <c r="AE1377" t="str">
        <f>IF(AND(Audit_Data[[#This Row],[Year_Birth]]&gt;=1900,Audit_Data[[#This Row],[Year_Birth]]&lt;=2010),"OK","Invalid")</f>
        <v>OK</v>
      </c>
      <c r="AF1377" t="str">
        <f t="shared" si="274"/>
        <v>Valid</v>
      </c>
      <c r="AG1377" t="str">
        <f t="shared" si="275"/>
        <v>Valid</v>
      </c>
      <c r="AH1377" t="str">
        <f t="shared" si="276"/>
        <v>Valid</v>
      </c>
      <c r="AI1377" t="str">
        <f t="shared" si="277"/>
        <v>Valid</v>
      </c>
      <c r="AJ1377" t="str">
        <f t="shared" si="278"/>
        <v>Valid</v>
      </c>
      <c r="AK1377" t="str">
        <f t="shared" si="285"/>
        <v xml:space="preserve">Valid </v>
      </c>
      <c r="AL1377" t="str">
        <f>IF(AND(Audit_Data[[#This Row],[Recency]]&gt;=0,Audit_Data[[#This Row],[Recency]]&lt;=100),"Valid","Invalid")</f>
        <v>Valid</v>
      </c>
      <c r="AM1377" t="str">
        <f t="shared" si="279"/>
        <v>Valid</v>
      </c>
      <c r="AN1377" t="str">
        <f t="shared" si="280"/>
        <v>Valid</v>
      </c>
      <c r="AO1377" t="str">
        <f t="shared" si="281"/>
        <v>Valid</v>
      </c>
      <c r="AP1377" t="str">
        <f t="shared" si="282"/>
        <v>Valid</v>
      </c>
      <c r="AQ1377" t="str">
        <f>IF(Audit_Data[[#This Row],[Z_CostContact]]=3,"Valid","Invalid")</f>
        <v>Valid</v>
      </c>
      <c r="AR1377" t="str">
        <f t="shared" si="283"/>
        <v>Valid</v>
      </c>
      <c r="AS1377" t="str">
        <f t="shared" si="284"/>
        <v>Valid</v>
      </c>
    </row>
    <row r="1378" spans="1:45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 t="str">
        <f t="shared" si="273"/>
        <v>Ok</v>
      </c>
      <c r="AE1378" t="str">
        <f>IF(AND(Audit_Data[[#This Row],[Year_Birth]]&gt;=1900,Audit_Data[[#This Row],[Year_Birth]]&lt;=2010),"OK","Invalid")</f>
        <v>OK</v>
      </c>
      <c r="AF1378" t="str">
        <f t="shared" si="274"/>
        <v>Valid</v>
      </c>
      <c r="AG1378" t="str">
        <f t="shared" si="275"/>
        <v>Valid</v>
      </c>
      <c r="AH1378" t="str">
        <f t="shared" si="276"/>
        <v>Valid</v>
      </c>
      <c r="AI1378" t="str">
        <f t="shared" si="277"/>
        <v>Valid</v>
      </c>
      <c r="AJ1378" t="str">
        <f t="shared" si="278"/>
        <v>Valid</v>
      </c>
      <c r="AK1378" t="str">
        <f t="shared" si="285"/>
        <v xml:space="preserve">Valid </v>
      </c>
      <c r="AL1378" t="str">
        <f>IF(AND(Audit_Data[[#This Row],[Recency]]&gt;=0,Audit_Data[[#This Row],[Recency]]&lt;=100),"Valid","Invalid")</f>
        <v>Valid</v>
      </c>
      <c r="AM1378" t="str">
        <f t="shared" si="279"/>
        <v>Valid</v>
      </c>
      <c r="AN1378" t="str">
        <f t="shared" si="280"/>
        <v>Valid</v>
      </c>
      <c r="AO1378" t="str">
        <f t="shared" si="281"/>
        <v>Valid</v>
      </c>
      <c r="AP1378" t="str">
        <f t="shared" si="282"/>
        <v>Valid</v>
      </c>
      <c r="AQ1378" t="str">
        <f>IF(Audit_Data[[#This Row],[Z_CostContact]]=3,"Valid","Invalid")</f>
        <v>Valid</v>
      </c>
      <c r="AR1378" t="str">
        <f t="shared" si="283"/>
        <v>Valid</v>
      </c>
      <c r="AS1378" t="str">
        <f t="shared" si="284"/>
        <v>Valid</v>
      </c>
    </row>
    <row r="1379" spans="1:45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 t="str">
        <f t="shared" si="273"/>
        <v>Ok</v>
      </c>
      <c r="AE1379" t="str">
        <f>IF(AND(Audit_Data[[#This Row],[Year_Birth]]&gt;=1900,Audit_Data[[#This Row],[Year_Birth]]&lt;=2010),"OK","Invalid")</f>
        <v>OK</v>
      </c>
      <c r="AF1379" t="str">
        <f t="shared" si="274"/>
        <v>Valid</v>
      </c>
      <c r="AG1379" t="str">
        <f t="shared" si="275"/>
        <v>Valid</v>
      </c>
      <c r="AH1379" t="str">
        <f t="shared" si="276"/>
        <v>Valid</v>
      </c>
      <c r="AI1379" t="str">
        <f t="shared" si="277"/>
        <v>Valid</v>
      </c>
      <c r="AJ1379" t="str">
        <f t="shared" si="278"/>
        <v>Valid</v>
      </c>
      <c r="AK1379" t="str">
        <f t="shared" si="285"/>
        <v xml:space="preserve">Valid </v>
      </c>
      <c r="AL1379" t="str">
        <f>IF(AND(Audit_Data[[#This Row],[Recency]]&gt;=0,Audit_Data[[#This Row],[Recency]]&lt;=100),"Valid","Invalid")</f>
        <v>Valid</v>
      </c>
      <c r="AM1379" t="str">
        <f t="shared" si="279"/>
        <v>Valid</v>
      </c>
      <c r="AN1379" t="str">
        <f t="shared" si="280"/>
        <v>Valid</v>
      </c>
      <c r="AO1379" t="str">
        <f t="shared" si="281"/>
        <v>Valid</v>
      </c>
      <c r="AP1379" t="str">
        <f t="shared" si="282"/>
        <v>Valid</v>
      </c>
      <c r="AQ1379" t="str">
        <f>IF(Audit_Data[[#This Row],[Z_CostContact]]=3,"Valid","Invalid")</f>
        <v>Valid</v>
      </c>
      <c r="AR1379" t="str">
        <f t="shared" si="283"/>
        <v>Valid</v>
      </c>
      <c r="AS1379" t="str">
        <f t="shared" si="284"/>
        <v>Valid</v>
      </c>
    </row>
    <row r="1380" spans="1:45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 t="str">
        <f t="shared" si="273"/>
        <v>Ok</v>
      </c>
      <c r="AE1380" t="str">
        <f>IF(AND(Audit_Data[[#This Row],[Year_Birth]]&gt;=1900,Audit_Data[[#This Row],[Year_Birth]]&lt;=2010),"OK","Invalid")</f>
        <v>OK</v>
      </c>
      <c r="AF1380" t="str">
        <f t="shared" si="274"/>
        <v>Valid</v>
      </c>
      <c r="AG1380" t="str">
        <f t="shared" si="275"/>
        <v>Valid</v>
      </c>
      <c r="AH1380" t="str">
        <f t="shared" si="276"/>
        <v>Valid</v>
      </c>
      <c r="AI1380" t="str">
        <f t="shared" si="277"/>
        <v>Valid</v>
      </c>
      <c r="AJ1380" t="str">
        <f t="shared" si="278"/>
        <v>Valid</v>
      </c>
      <c r="AK1380" t="str">
        <f t="shared" si="285"/>
        <v xml:space="preserve">Valid </v>
      </c>
      <c r="AL1380" t="str">
        <f>IF(AND(Audit_Data[[#This Row],[Recency]]&gt;=0,Audit_Data[[#This Row],[Recency]]&lt;=100),"Valid","Invalid")</f>
        <v>Valid</v>
      </c>
      <c r="AM1380" t="str">
        <f t="shared" si="279"/>
        <v>Valid</v>
      </c>
      <c r="AN1380" t="str">
        <f t="shared" si="280"/>
        <v>Valid</v>
      </c>
      <c r="AO1380" t="str">
        <f t="shared" si="281"/>
        <v>Valid</v>
      </c>
      <c r="AP1380" t="str">
        <f t="shared" si="282"/>
        <v>Valid</v>
      </c>
      <c r="AQ1380" t="str">
        <f>IF(Audit_Data[[#This Row],[Z_CostContact]]=3,"Valid","Invalid")</f>
        <v>Valid</v>
      </c>
      <c r="AR1380" t="str">
        <f t="shared" si="283"/>
        <v>Valid</v>
      </c>
      <c r="AS1380" t="str">
        <f t="shared" si="284"/>
        <v>Valid</v>
      </c>
    </row>
    <row r="1381" spans="1:45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 t="str">
        <f t="shared" si="273"/>
        <v>Ok</v>
      </c>
      <c r="AE1381" t="str">
        <f>IF(AND(Audit_Data[[#This Row],[Year_Birth]]&gt;=1900,Audit_Data[[#This Row],[Year_Birth]]&lt;=2010),"OK","Invalid")</f>
        <v>OK</v>
      </c>
      <c r="AF1381" t="str">
        <f t="shared" si="274"/>
        <v>Valid</v>
      </c>
      <c r="AG1381" t="str">
        <f t="shared" si="275"/>
        <v>Valid</v>
      </c>
      <c r="AH1381" t="str">
        <f t="shared" si="276"/>
        <v>Invalid</v>
      </c>
      <c r="AI1381" t="str">
        <f t="shared" si="277"/>
        <v>Valid</v>
      </c>
      <c r="AJ1381" t="str">
        <f t="shared" si="278"/>
        <v>Valid</v>
      </c>
      <c r="AK1381" t="str">
        <f t="shared" si="285"/>
        <v xml:space="preserve">Valid </v>
      </c>
      <c r="AL1381" t="str">
        <f>IF(AND(Audit_Data[[#This Row],[Recency]]&gt;=0,Audit_Data[[#This Row],[Recency]]&lt;=100),"Valid","Invalid")</f>
        <v>Valid</v>
      </c>
      <c r="AM1381" t="str">
        <f t="shared" si="279"/>
        <v>Valid</v>
      </c>
      <c r="AN1381" t="str">
        <f t="shared" si="280"/>
        <v>Valid</v>
      </c>
      <c r="AO1381" t="str">
        <f t="shared" si="281"/>
        <v>Valid</v>
      </c>
      <c r="AP1381" t="str">
        <f t="shared" si="282"/>
        <v>Valid</v>
      </c>
      <c r="AQ1381" t="str">
        <f>IF(Audit_Data[[#This Row],[Z_CostContact]]=3,"Valid","Invalid")</f>
        <v>Valid</v>
      </c>
      <c r="AR1381" t="str">
        <f t="shared" si="283"/>
        <v>Valid</v>
      </c>
      <c r="AS1381" t="str">
        <f t="shared" si="284"/>
        <v>Valid</v>
      </c>
    </row>
    <row r="1382" spans="1:45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 t="str">
        <f t="shared" si="273"/>
        <v>Ok</v>
      </c>
      <c r="AE1382" t="str">
        <f>IF(AND(Audit_Data[[#This Row],[Year_Birth]]&gt;=1900,Audit_Data[[#This Row],[Year_Birth]]&lt;=2010),"OK","Invalid")</f>
        <v>OK</v>
      </c>
      <c r="AF1382" t="str">
        <f t="shared" si="274"/>
        <v>Valid</v>
      </c>
      <c r="AG1382" t="str">
        <f t="shared" si="275"/>
        <v>Valid</v>
      </c>
      <c r="AH1382" t="str">
        <f t="shared" si="276"/>
        <v>Valid</v>
      </c>
      <c r="AI1382" t="str">
        <f t="shared" si="277"/>
        <v>Valid</v>
      </c>
      <c r="AJ1382" t="str">
        <f t="shared" si="278"/>
        <v>Valid</v>
      </c>
      <c r="AK1382" t="str">
        <f t="shared" si="285"/>
        <v xml:space="preserve">Valid </v>
      </c>
      <c r="AL1382" t="str">
        <f>IF(AND(Audit_Data[[#This Row],[Recency]]&gt;=0,Audit_Data[[#This Row],[Recency]]&lt;=100),"Valid","Invalid")</f>
        <v>Valid</v>
      </c>
      <c r="AM1382" t="str">
        <f t="shared" si="279"/>
        <v>Valid</v>
      </c>
      <c r="AN1382" t="str">
        <f t="shared" si="280"/>
        <v>Valid</v>
      </c>
      <c r="AO1382" t="str">
        <f t="shared" si="281"/>
        <v>Valid</v>
      </c>
      <c r="AP1382" t="str">
        <f t="shared" si="282"/>
        <v>Valid</v>
      </c>
      <c r="AQ1382" t="str">
        <f>IF(Audit_Data[[#This Row],[Z_CostContact]]=3,"Valid","Invalid")</f>
        <v>Valid</v>
      </c>
      <c r="AR1382" t="str">
        <f t="shared" si="283"/>
        <v>Valid</v>
      </c>
      <c r="AS1382" t="str">
        <f t="shared" si="284"/>
        <v>Valid</v>
      </c>
    </row>
    <row r="1383" spans="1:45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 t="str">
        <f t="shared" si="273"/>
        <v>Ok</v>
      </c>
      <c r="AE1383" t="str">
        <f>IF(AND(Audit_Data[[#This Row],[Year_Birth]]&gt;=1900,Audit_Data[[#This Row],[Year_Birth]]&lt;=2010),"OK","Invalid")</f>
        <v>OK</v>
      </c>
      <c r="AF1383" t="str">
        <f t="shared" si="274"/>
        <v>Valid</v>
      </c>
      <c r="AG1383" t="str">
        <f t="shared" si="275"/>
        <v>Valid</v>
      </c>
      <c r="AH1383" t="str">
        <f t="shared" si="276"/>
        <v>Valid</v>
      </c>
      <c r="AI1383" t="str">
        <f t="shared" si="277"/>
        <v>Valid</v>
      </c>
      <c r="AJ1383" t="str">
        <f t="shared" si="278"/>
        <v>Valid</v>
      </c>
      <c r="AK1383" t="str">
        <f t="shared" si="285"/>
        <v xml:space="preserve">Valid </v>
      </c>
      <c r="AL1383" t="str">
        <f>IF(AND(Audit_Data[[#This Row],[Recency]]&gt;=0,Audit_Data[[#This Row],[Recency]]&lt;=100),"Valid","Invalid")</f>
        <v>Valid</v>
      </c>
      <c r="AM1383" t="str">
        <f t="shared" si="279"/>
        <v>Valid</v>
      </c>
      <c r="AN1383" t="str">
        <f t="shared" si="280"/>
        <v>Valid</v>
      </c>
      <c r="AO1383" t="str">
        <f t="shared" si="281"/>
        <v>Valid</v>
      </c>
      <c r="AP1383" t="str">
        <f t="shared" si="282"/>
        <v>Valid</v>
      </c>
      <c r="AQ1383" t="str">
        <f>IF(Audit_Data[[#This Row],[Z_CostContact]]=3,"Valid","Invalid")</f>
        <v>Valid</v>
      </c>
      <c r="AR1383" t="str">
        <f t="shared" si="283"/>
        <v>Valid</v>
      </c>
      <c r="AS1383" t="str">
        <f t="shared" si="284"/>
        <v>Valid</v>
      </c>
    </row>
    <row r="1384" spans="1:45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 t="str">
        <f t="shared" si="273"/>
        <v>Ok</v>
      </c>
      <c r="AE1384" t="str">
        <f>IF(AND(Audit_Data[[#This Row],[Year_Birth]]&gt;=1900,Audit_Data[[#This Row],[Year_Birth]]&lt;=2010),"OK","Invalid")</f>
        <v>OK</v>
      </c>
      <c r="AF1384" t="str">
        <f t="shared" si="274"/>
        <v>Valid</v>
      </c>
      <c r="AG1384" t="str">
        <f t="shared" si="275"/>
        <v>Valid</v>
      </c>
      <c r="AH1384" t="str">
        <f t="shared" si="276"/>
        <v>Invalid</v>
      </c>
      <c r="AI1384" t="str">
        <f t="shared" si="277"/>
        <v>Valid</v>
      </c>
      <c r="AJ1384" t="str">
        <f t="shared" si="278"/>
        <v>Valid</v>
      </c>
      <c r="AK1384" t="str">
        <f t="shared" si="285"/>
        <v xml:space="preserve">Valid </v>
      </c>
      <c r="AL1384" t="str">
        <f>IF(AND(Audit_Data[[#This Row],[Recency]]&gt;=0,Audit_Data[[#This Row],[Recency]]&lt;=100),"Valid","Invalid")</f>
        <v>Valid</v>
      </c>
      <c r="AM1384" t="str">
        <f t="shared" si="279"/>
        <v>Valid</v>
      </c>
      <c r="AN1384" t="str">
        <f t="shared" si="280"/>
        <v>Valid</v>
      </c>
      <c r="AO1384" t="str">
        <f t="shared" si="281"/>
        <v>Valid</v>
      </c>
      <c r="AP1384" t="str">
        <f t="shared" si="282"/>
        <v>Valid</v>
      </c>
      <c r="AQ1384" t="str">
        <f>IF(Audit_Data[[#This Row],[Z_CostContact]]=3,"Valid","Invalid")</f>
        <v>Valid</v>
      </c>
      <c r="AR1384" t="str">
        <f t="shared" si="283"/>
        <v>Valid</v>
      </c>
      <c r="AS1384" t="str">
        <f t="shared" si="284"/>
        <v>Valid</v>
      </c>
    </row>
    <row r="1385" spans="1:45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 t="str">
        <f t="shared" si="273"/>
        <v>Ok</v>
      </c>
      <c r="AE1385" t="str">
        <f>IF(AND(Audit_Data[[#This Row],[Year_Birth]]&gt;=1900,Audit_Data[[#This Row],[Year_Birth]]&lt;=2010),"OK","Invalid")</f>
        <v>OK</v>
      </c>
      <c r="AF1385" t="str">
        <f t="shared" si="274"/>
        <v>Valid</v>
      </c>
      <c r="AG1385" t="str">
        <f t="shared" si="275"/>
        <v>Valid</v>
      </c>
      <c r="AH1385" t="str">
        <f t="shared" si="276"/>
        <v>Invalid</v>
      </c>
      <c r="AI1385" t="str">
        <f t="shared" si="277"/>
        <v>Valid</v>
      </c>
      <c r="AJ1385" t="str">
        <f t="shared" si="278"/>
        <v>Valid</v>
      </c>
      <c r="AK1385" t="str">
        <f t="shared" si="285"/>
        <v xml:space="preserve">Valid </v>
      </c>
      <c r="AL1385" t="str">
        <f>IF(AND(Audit_Data[[#This Row],[Recency]]&gt;=0,Audit_Data[[#This Row],[Recency]]&lt;=100),"Valid","Invalid")</f>
        <v>Valid</v>
      </c>
      <c r="AM1385" t="str">
        <f t="shared" si="279"/>
        <v>Valid</v>
      </c>
      <c r="AN1385" t="str">
        <f t="shared" si="280"/>
        <v>Valid</v>
      </c>
      <c r="AO1385" t="str">
        <f t="shared" si="281"/>
        <v>Valid</v>
      </c>
      <c r="AP1385" t="str">
        <f t="shared" si="282"/>
        <v>Valid</v>
      </c>
      <c r="AQ1385" t="str">
        <f>IF(Audit_Data[[#This Row],[Z_CostContact]]=3,"Valid","Invalid")</f>
        <v>Valid</v>
      </c>
      <c r="AR1385" t="str">
        <f t="shared" si="283"/>
        <v>Valid</v>
      </c>
      <c r="AS1385" t="str">
        <f t="shared" si="284"/>
        <v>Valid</v>
      </c>
    </row>
    <row r="1386" spans="1:45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 t="str">
        <f t="shared" si="273"/>
        <v>Ok</v>
      </c>
      <c r="AE1386" t="str">
        <f>IF(AND(Audit_Data[[#This Row],[Year_Birth]]&gt;=1900,Audit_Data[[#This Row],[Year_Birth]]&lt;=2010),"OK","Invalid")</f>
        <v>OK</v>
      </c>
      <c r="AF1386" t="str">
        <f t="shared" si="274"/>
        <v>Valid</v>
      </c>
      <c r="AG1386" t="str">
        <f t="shared" si="275"/>
        <v>Valid</v>
      </c>
      <c r="AH1386" t="str">
        <f t="shared" si="276"/>
        <v>Valid</v>
      </c>
      <c r="AI1386" t="str">
        <f t="shared" si="277"/>
        <v>Valid</v>
      </c>
      <c r="AJ1386" t="str">
        <f t="shared" si="278"/>
        <v>Valid</v>
      </c>
      <c r="AK1386" t="str">
        <f t="shared" si="285"/>
        <v xml:space="preserve">Valid </v>
      </c>
      <c r="AL1386" t="str">
        <f>IF(AND(Audit_Data[[#This Row],[Recency]]&gt;=0,Audit_Data[[#This Row],[Recency]]&lt;=100),"Valid","Invalid")</f>
        <v>Valid</v>
      </c>
      <c r="AM1386" t="str">
        <f t="shared" si="279"/>
        <v>Valid</v>
      </c>
      <c r="AN1386" t="str">
        <f t="shared" si="280"/>
        <v>Valid</v>
      </c>
      <c r="AO1386" t="str">
        <f t="shared" si="281"/>
        <v>Valid</v>
      </c>
      <c r="AP1386" t="str">
        <f t="shared" si="282"/>
        <v>Valid</v>
      </c>
      <c r="AQ1386" t="str">
        <f>IF(Audit_Data[[#This Row],[Z_CostContact]]=3,"Valid","Invalid")</f>
        <v>Valid</v>
      </c>
      <c r="AR1386" t="str">
        <f t="shared" si="283"/>
        <v>Valid</v>
      </c>
      <c r="AS1386" t="str">
        <f t="shared" si="284"/>
        <v>Valid</v>
      </c>
    </row>
    <row r="1387" spans="1:45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 t="str">
        <f t="shared" si="273"/>
        <v>Ok</v>
      </c>
      <c r="AE1387" t="str">
        <f>IF(AND(Audit_Data[[#This Row],[Year_Birth]]&gt;=1900,Audit_Data[[#This Row],[Year_Birth]]&lt;=2010),"OK","Invalid")</f>
        <v>OK</v>
      </c>
      <c r="AF1387" t="str">
        <f t="shared" si="274"/>
        <v>Valid</v>
      </c>
      <c r="AG1387" t="str">
        <f t="shared" si="275"/>
        <v>Valid</v>
      </c>
      <c r="AH1387" t="str">
        <f t="shared" si="276"/>
        <v>Valid</v>
      </c>
      <c r="AI1387" t="str">
        <f t="shared" si="277"/>
        <v>Valid</v>
      </c>
      <c r="AJ1387" t="str">
        <f t="shared" si="278"/>
        <v>Valid</v>
      </c>
      <c r="AK1387" t="str">
        <f t="shared" si="285"/>
        <v xml:space="preserve">Valid </v>
      </c>
      <c r="AL1387" t="str">
        <f>IF(AND(Audit_Data[[#This Row],[Recency]]&gt;=0,Audit_Data[[#This Row],[Recency]]&lt;=100),"Valid","Invalid")</f>
        <v>Valid</v>
      </c>
      <c r="AM1387" t="str">
        <f t="shared" si="279"/>
        <v>Valid</v>
      </c>
      <c r="AN1387" t="str">
        <f t="shared" si="280"/>
        <v>Valid</v>
      </c>
      <c r="AO1387" t="str">
        <f t="shared" si="281"/>
        <v>Valid</v>
      </c>
      <c r="AP1387" t="str">
        <f t="shared" si="282"/>
        <v>Valid</v>
      </c>
      <c r="AQ1387" t="str">
        <f>IF(Audit_Data[[#This Row],[Z_CostContact]]=3,"Valid","Invalid")</f>
        <v>Valid</v>
      </c>
      <c r="AR1387" t="str">
        <f t="shared" si="283"/>
        <v>Valid</v>
      </c>
      <c r="AS1387" t="str">
        <f t="shared" si="284"/>
        <v>Valid</v>
      </c>
    </row>
    <row r="1388" spans="1:45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 t="str">
        <f t="shared" si="273"/>
        <v>Ok</v>
      </c>
      <c r="AE1388" t="str">
        <f>IF(AND(Audit_Data[[#This Row],[Year_Birth]]&gt;=1900,Audit_Data[[#This Row],[Year_Birth]]&lt;=2010),"OK","Invalid")</f>
        <v>OK</v>
      </c>
      <c r="AF1388" t="str">
        <f t="shared" si="274"/>
        <v>Valid</v>
      </c>
      <c r="AG1388" t="str">
        <f t="shared" si="275"/>
        <v>Valid</v>
      </c>
      <c r="AH1388" t="str">
        <f t="shared" si="276"/>
        <v>Invalid</v>
      </c>
      <c r="AI1388" t="str">
        <f t="shared" si="277"/>
        <v>Valid</v>
      </c>
      <c r="AJ1388" t="str">
        <f t="shared" si="278"/>
        <v>Valid</v>
      </c>
      <c r="AK1388" t="str">
        <f t="shared" si="285"/>
        <v xml:space="preserve">Valid </v>
      </c>
      <c r="AL1388" t="str">
        <f>IF(AND(Audit_Data[[#This Row],[Recency]]&gt;=0,Audit_Data[[#This Row],[Recency]]&lt;=100),"Valid","Invalid")</f>
        <v>Valid</v>
      </c>
      <c r="AM1388" t="str">
        <f t="shared" si="279"/>
        <v>Valid</v>
      </c>
      <c r="AN1388" t="str">
        <f t="shared" si="280"/>
        <v>Valid</v>
      </c>
      <c r="AO1388" t="str">
        <f t="shared" si="281"/>
        <v>Valid</v>
      </c>
      <c r="AP1388" t="str">
        <f t="shared" si="282"/>
        <v>Valid</v>
      </c>
      <c r="AQ1388" t="str">
        <f>IF(Audit_Data[[#This Row],[Z_CostContact]]=3,"Valid","Invalid")</f>
        <v>Valid</v>
      </c>
      <c r="AR1388" t="str">
        <f t="shared" si="283"/>
        <v>Valid</v>
      </c>
      <c r="AS1388" t="str">
        <f t="shared" si="284"/>
        <v>Valid</v>
      </c>
    </row>
    <row r="1389" spans="1:45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 t="str">
        <f t="shared" si="273"/>
        <v>Ok</v>
      </c>
      <c r="AE1389" t="str">
        <f>IF(AND(Audit_Data[[#This Row],[Year_Birth]]&gt;=1900,Audit_Data[[#This Row],[Year_Birth]]&lt;=2010),"OK","Invalid")</f>
        <v>OK</v>
      </c>
      <c r="AF1389" t="str">
        <f t="shared" si="274"/>
        <v>Valid</v>
      </c>
      <c r="AG1389" t="str">
        <f t="shared" si="275"/>
        <v>Valid</v>
      </c>
      <c r="AH1389" t="str">
        <f t="shared" si="276"/>
        <v>Valid</v>
      </c>
      <c r="AI1389" t="str">
        <f t="shared" si="277"/>
        <v>Valid</v>
      </c>
      <c r="AJ1389" t="str">
        <f t="shared" si="278"/>
        <v>Valid</v>
      </c>
      <c r="AK1389" t="str">
        <f t="shared" si="285"/>
        <v xml:space="preserve">Valid </v>
      </c>
      <c r="AL1389" t="str">
        <f>IF(AND(Audit_Data[[#This Row],[Recency]]&gt;=0,Audit_Data[[#This Row],[Recency]]&lt;=100),"Valid","Invalid")</f>
        <v>Valid</v>
      </c>
      <c r="AM1389" t="str">
        <f t="shared" si="279"/>
        <v>Valid</v>
      </c>
      <c r="AN1389" t="str">
        <f t="shared" si="280"/>
        <v>Valid</v>
      </c>
      <c r="AO1389" t="str">
        <f t="shared" si="281"/>
        <v>Valid</v>
      </c>
      <c r="AP1389" t="str">
        <f t="shared" si="282"/>
        <v>Valid</v>
      </c>
      <c r="AQ1389" t="str">
        <f>IF(Audit_Data[[#This Row],[Z_CostContact]]=3,"Valid","Invalid")</f>
        <v>Valid</v>
      </c>
      <c r="AR1389" t="str">
        <f t="shared" si="283"/>
        <v>Valid</v>
      </c>
      <c r="AS1389" t="str">
        <f t="shared" si="284"/>
        <v>Valid</v>
      </c>
    </row>
    <row r="1390" spans="1:45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 t="str">
        <f t="shared" si="273"/>
        <v>Ok</v>
      </c>
      <c r="AE1390" t="str">
        <f>IF(AND(Audit_Data[[#This Row],[Year_Birth]]&gt;=1900,Audit_Data[[#This Row],[Year_Birth]]&lt;=2010),"OK","Invalid")</f>
        <v>OK</v>
      </c>
      <c r="AF1390" t="str">
        <f t="shared" si="274"/>
        <v>Valid</v>
      </c>
      <c r="AG1390" t="str">
        <f t="shared" si="275"/>
        <v>Valid</v>
      </c>
      <c r="AH1390" t="str">
        <f t="shared" si="276"/>
        <v>Valid</v>
      </c>
      <c r="AI1390" t="str">
        <f t="shared" si="277"/>
        <v>Valid</v>
      </c>
      <c r="AJ1390" t="str">
        <f t="shared" si="278"/>
        <v>Valid</v>
      </c>
      <c r="AK1390" t="str">
        <f t="shared" si="285"/>
        <v xml:space="preserve">Valid </v>
      </c>
      <c r="AL1390" t="str">
        <f>IF(AND(Audit_Data[[#This Row],[Recency]]&gt;=0,Audit_Data[[#This Row],[Recency]]&lt;=100),"Valid","Invalid")</f>
        <v>Valid</v>
      </c>
      <c r="AM1390" t="str">
        <f t="shared" si="279"/>
        <v>Valid</v>
      </c>
      <c r="AN1390" t="str">
        <f t="shared" si="280"/>
        <v>Valid</v>
      </c>
      <c r="AO1390" t="str">
        <f t="shared" si="281"/>
        <v>Valid</v>
      </c>
      <c r="AP1390" t="str">
        <f t="shared" si="282"/>
        <v>Valid</v>
      </c>
      <c r="AQ1390" t="str">
        <f>IF(Audit_Data[[#This Row],[Z_CostContact]]=3,"Valid","Invalid")</f>
        <v>Valid</v>
      </c>
      <c r="AR1390" t="str">
        <f t="shared" si="283"/>
        <v>Valid</v>
      </c>
      <c r="AS1390" t="str">
        <f t="shared" si="284"/>
        <v>Valid</v>
      </c>
    </row>
    <row r="1391" spans="1:45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 t="str">
        <f t="shared" si="273"/>
        <v>Ok</v>
      </c>
      <c r="AE1391" t="str">
        <f>IF(AND(Audit_Data[[#This Row],[Year_Birth]]&gt;=1900,Audit_Data[[#This Row],[Year_Birth]]&lt;=2010),"OK","Invalid")</f>
        <v>OK</v>
      </c>
      <c r="AF1391" t="str">
        <f t="shared" si="274"/>
        <v>Valid</v>
      </c>
      <c r="AG1391" t="str">
        <f t="shared" si="275"/>
        <v>Valid</v>
      </c>
      <c r="AH1391" t="str">
        <f t="shared" si="276"/>
        <v>Valid</v>
      </c>
      <c r="AI1391" t="str">
        <f t="shared" si="277"/>
        <v>Valid</v>
      </c>
      <c r="AJ1391" t="str">
        <f t="shared" si="278"/>
        <v>Valid</v>
      </c>
      <c r="AK1391" t="str">
        <f t="shared" si="285"/>
        <v xml:space="preserve">Valid </v>
      </c>
      <c r="AL1391" t="str">
        <f>IF(AND(Audit_Data[[#This Row],[Recency]]&gt;=0,Audit_Data[[#This Row],[Recency]]&lt;=100),"Valid","Invalid")</f>
        <v>Valid</v>
      </c>
      <c r="AM1391" t="str">
        <f t="shared" si="279"/>
        <v>Valid</v>
      </c>
      <c r="AN1391" t="str">
        <f t="shared" si="280"/>
        <v>Valid</v>
      </c>
      <c r="AO1391" t="str">
        <f t="shared" si="281"/>
        <v>Valid</v>
      </c>
      <c r="AP1391" t="str">
        <f t="shared" si="282"/>
        <v>Valid</v>
      </c>
      <c r="AQ1391" t="str">
        <f>IF(Audit_Data[[#This Row],[Z_CostContact]]=3,"Valid","Invalid")</f>
        <v>Valid</v>
      </c>
      <c r="AR1391" t="str">
        <f t="shared" si="283"/>
        <v>Valid</v>
      </c>
      <c r="AS1391" t="str">
        <f t="shared" si="284"/>
        <v>Valid</v>
      </c>
    </row>
    <row r="1392" spans="1:45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 t="str">
        <f t="shared" si="273"/>
        <v>Ok</v>
      </c>
      <c r="AE1392" t="str">
        <f>IF(AND(Audit_Data[[#This Row],[Year_Birth]]&gt;=1900,Audit_Data[[#This Row],[Year_Birth]]&lt;=2010),"OK","Invalid")</f>
        <v>OK</v>
      </c>
      <c r="AF1392" t="str">
        <f t="shared" si="274"/>
        <v>Valid</v>
      </c>
      <c r="AG1392" t="str">
        <f t="shared" si="275"/>
        <v>Valid</v>
      </c>
      <c r="AH1392" t="str">
        <f t="shared" si="276"/>
        <v>Valid</v>
      </c>
      <c r="AI1392" t="str">
        <f t="shared" si="277"/>
        <v>Valid</v>
      </c>
      <c r="AJ1392" t="str">
        <f t="shared" si="278"/>
        <v>Valid</v>
      </c>
      <c r="AK1392" t="str">
        <f t="shared" si="285"/>
        <v xml:space="preserve">Valid </v>
      </c>
      <c r="AL1392" t="str">
        <f>IF(AND(Audit_Data[[#This Row],[Recency]]&gt;=0,Audit_Data[[#This Row],[Recency]]&lt;=100),"Valid","Invalid")</f>
        <v>Valid</v>
      </c>
      <c r="AM1392" t="str">
        <f t="shared" si="279"/>
        <v>Valid</v>
      </c>
      <c r="AN1392" t="str">
        <f t="shared" si="280"/>
        <v>Valid</v>
      </c>
      <c r="AO1392" t="str">
        <f t="shared" si="281"/>
        <v>Valid</v>
      </c>
      <c r="AP1392" t="str">
        <f t="shared" si="282"/>
        <v>Valid</v>
      </c>
      <c r="AQ1392" t="str">
        <f>IF(Audit_Data[[#This Row],[Z_CostContact]]=3,"Valid","Invalid")</f>
        <v>Valid</v>
      </c>
      <c r="AR1392" t="str">
        <f t="shared" si="283"/>
        <v>Valid</v>
      </c>
      <c r="AS1392" t="str">
        <f t="shared" si="284"/>
        <v>Valid</v>
      </c>
    </row>
    <row r="1393" spans="1:45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 t="str">
        <f t="shared" si="273"/>
        <v>Ok</v>
      </c>
      <c r="AE1393" t="str">
        <f>IF(AND(Audit_Data[[#This Row],[Year_Birth]]&gt;=1900,Audit_Data[[#This Row],[Year_Birth]]&lt;=2010),"OK","Invalid")</f>
        <v>OK</v>
      </c>
      <c r="AF1393" t="str">
        <f t="shared" si="274"/>
        <v>Valid</v>
      </c>
      <c r="AG1393" t="str">
        <f t="shared" si="275"/>
        <v>Valid</v>
      </c>
      <c r="AH1393" t="str">
        <f t="shared" si="276"/>
        <v>Valid</v>
      </c>
      <c r="AI1393" t="str">
        <f t="shared" si="277"/>
        <v>Valid</v>
      </c>
      <c r="AJ1393" t="str">
        <f t="shared" si="278"/>
        <v>Valid</v>
      </c>
      <c r="AK1393" t="str">
        <f t="shared" si="285"/>
        <v xml:space="preserve">Valid </v>
      </c>
      <c r="AL1393" t="str">
        <f>IF(AND(Audit_Data[[#This Row],[Recency]]&gt;=0,Audit_Data[[#This Row],[Recency]]&lt;=100),"Valid","Invalid")</f>
        <v>Valid</v>
      </c>
      <c r="AM1393" t="str">
        <f t="shared" si="279"/>
        <v>Valid</v>
      </c>
      <c r="AN1393" t="str">
        <f t="shared" si="280"/>
        <v>Valid</v>
      </c>
      <c r="AO1393" t="str">
        <f t="shared" si="281"/>
        <v>Valid</v>
      </c>
      <c r="AP1393" t="str">
        <f t="shared" si="282"/>
        <v>Valid</v>
      </c>
      <c r="AQ1393" t="str">
        <f>IF(Audit_Data[[#This Row],[Z_CostContact]]=3,"Valid","Invalid")</f>
        <v>Valid</v>
      </c>
      <c r="AR1393" t="str">
        <f t="shared" si="283"/>
        <v>Valid</v>
      </c>
      <c r="AS1393" t="str">
        <f t="shared" si="284"/>
        <v>Valid</v>
      </c>
    </row>
    <row r="1394" spans="1:45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 t="str">
        <f t="shared" si="273"/>
        <v>Ok</v>
      </c>
      <c r="AE1394" t="str">
        <f>IF(AND(Audit_Data[[#This Row],[Year_Birth]]&gt;=1900,Audit_Data[[#This Row],[Year_Birth]]&lt;=2010),"OK","Invalid")</f>
        <v>OK</v>
      </c>
      <c r="AF1394" t="str">
        <f t="shared" si="274"/>
        <v>Valid</v>
      </c>
      <c r="AG1394" t="str">
        <f t="shared" si="275"/>
        <v>Valid</v>
      </c>
      <c r="AH1394" t="str">
        <f t="shared" si="276"/>
        <v>Valid</v>
      </c>
      <c r="AI1394" t="str">
        <f t="shared" si="277"/>
        <v>Valid</v>
      </c>
      <c r="AJ1394" t="str">
        <f t="shared" si="278"/>
        <v>Valid</v>
      </c>
      <c r="AK1394" t="str">
        <f t="shared" si="285"/>
        <v xml:space="preserve">Valid </v>
      </c>
      <c r="AL1394" t="str">
        <f>IF(AND(Audit_Data[[#This Row],[Recency]]&gt;=0,Audit_Data[[#This Row],[Recency]]&lt;=100),"Valid","Invalid")</f>
        <v>Valid</v>
      </c>
      <c r="AM1394" t="str">
        <f t="shared" si="279"/>
        <v>Valid</v>
      </c>
      <c r="AN1394" t="str">
        <f t="shared" si="280"/>
        <v>Valid</v>
      </c>
      <c r="AO1394" t="str">
        <f t="shared" si="281"/>
        <v>Valid</v>
      </c>
      <c r="AP1394" t="str">
        <f t="shared" si="282"/>
        <v>Valid</v>
      </c>
      <c r="AQ1394" t="str">
        <f>IF(Audit_Data[[#This Row],[Z_CostContact]]=3,"Valid","Invalid")</f>
        <v>Valid</v>
      </c>
      <c r="AR1394" t="str">
        <f t="shared" si="283"/>
        <v>Valid</v>
      </c>
      <c r="AS1394" t="str">
        <f t="shared" si="284"/>
        <v>Valid</v>
      </c>
    </row>
    <row r="1395" spans="1:45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 t="str">
        <f t="shared" si="273"/>
        <v>Ok</v>
      </c>
      <c r="AE1395" t="str">
        <f>IF(AND(Audit_Data[[#This Row],[Year_Birth]]&gt;=1900,Audit_Data[[#This Row],[Year_Birth]]&lt;=2010),"OK","Invalid")</f>
        <v>OK</v>
      </c>
      <c r="AF1395" t="str">
        <f t="shared" si="274"/>
        <v>Valid</v>
      </c>
      <c r="AG1395" t="str">
        <f t="shared" si="275"/>
        <v>Valid</v>
      </c>
      <c r="AH1395" t="str">
        <f t="shared" si="276"/>
        <v>Valid</v>
      </c>
      <c r="AI1395" t="str">
        <f t="shared" si="277"/>
        <v>Valid</v>
      </c>
      <c r="AJ1395" t="str">
        <f t="shared" si="278"/>
        <v>Valid</v>
      </c>
      <c r="AK1395" t="str">
        <f t="shared" si="285"/>
        <v xml:space="preserve">Valid </v>
      </c>
      <c r="AL1395" t="str">
        <f>IF(AND(Audit_Data[[#This Row],[Recency]]&gt;=0,Audit_Data[[#This Row],[Recency]]&lt;=100),"Valid","Invalid")</f>
        <v>Valid</v>
      </c>
      <c r="AM1395" t="str">
        <f t="shared" si="279"/>
        <v>Valid</v>
      </c>
      <c r="AN1395" t="str">
        <f t="shared" si="280"/>
        <v>Valid</v>
      </c>
      <c r="AO1395" t="str">
        <f t="shared" si="281"/>
        <v>Valid</v>
      </c>
      <c r="AP1395" t="str">
        <f t="shared" si="282"/>
        <v>Valid</v>
      </c>
      <c r="AQ1395" t="str">
        <f>IF(Audit_Data[[#This Row],[Z_CostContact]]=3,"Valid","Invalid")</f>
        <v>Valid</v>
      </c>
      <c r="AR1395" t="str">
        <f t="shared" si="283"/>
        <v>Valid</v>
      </c>
      <c r="AS1395" t="str">
        <f t="shared" si="284"/>
        <v>Valid</v>
      </c>
    </row>
    <row r="1396" spans="1:45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 t="str">
        <f t="shared" si="273"/>
        <v>Ok</v>
      </c>
      <c r="AE1396" t="str">
        <f>IF(AND(Audit_Data[[#This Row],[Year_Birth]]&gt;=1900,Audit_Data[[#This Row],[Year_Birth]]&lt;=2010),"OK","Invalid")</f>
        <v>OK</v>
      </c>
      <c r="AF1396" t="str">
        <f t="shared" si="274"/>
        <v>Valid</v>
      </c>
      <c r="AG1396" t="str">
        <f t="shared" si="275"/>
        <v>Valid</v>
      </c>
      <c r="AH1396" t="str">
        <f t="shared" si="276"/>
        <v>Valid</v>
      </c>
      <c r="AI1396" t="str">
        <f t="shared" si="277"/>
        <v>Valid</v>
      </c>
      <c r="AJ1396" t="str">
        <f t="shared" si="278"/>
        <v>Valid</v>
      </c>
      <c r="AK1396" t="str">
        <f t="shared" si="285"/>
        <v xml:space="preserve">Valid </v>
      </c>
      <c r="AL1396" t="str">
        <f>IF(AND(Audit_Data[[#This Row],[Recency]]&gt;=0,Audit_Data[[#This Row],[Recency]]&lt;=100),"Valid","Invalid")</f>
        <v>Valid</v>
      </c>
      <c r="AM1396" t="str">
        <f t="shared" si="279"/>
        <v>Valid</v>
      </c>
      <c r="AN1396" t="str">
        <f t="shared" si="280"/>
        <v>Valid</v>
      </c>
      <c r="AO1396" t="str">
        <f t="shared" si="281"/>
        <v>Valid</v>
      </c>
      <c r="AP1396" t="str">
        <f t="shared" si="282"/>
        <v>Valid</v>
      </c>
      <c r="AQ1396" t="str">
        <f>IF(Audit_Data[[#This Row],[Z_CostContact]]=3,"Valid","Invalid")</f>
        <v>Valid</v>
      </c>
      <c r="AR1396" t="str">
        <f t="shared" si="283"/>
        <v>Valid</v>
      </c>
      <c r="AS1396" t="str">
        <f t="shared" si="284"/>
        <v>Valid</v>
      </c>
    </row>
    <row r="1397" spans="1:45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 t="str">
        <f t="shared" si="273"/>
        <v>Ok</v>
      </c>
      <c r="AE1397" t="str">
        <f>IF(AND(Audit_Data[[#This Row],[Year_Birth]]&gt;=1900,Audit_Data[[#This Row],[Year_Birth]]&lt;=2010),"OK","Invalid")</f>
        <v>OK</v>
      </c>
      <c r="AF1397" t="str">
        <f t="shared" si="274"/>
        <v>Valid</v>
      </c>
      <c r="AG1397" t="str">
        <f t="shared" si="275"/>
        <v>Valid</v>
      </c>
      <c r="AH1397" t="str">
        <f t="shared" si="276"/>
        <v>Valid</v>
      </c>
      <c r="AI1397" t="str">
        <f t="shared" si="277"/>
        <v>Valid</v>
      </c>
      <c r="AJ1397" t="str">
        <f t="shared" si="278"/>
        <v>Valid</v>
      </c>
      <c r="AK1397" t="str">
        <f t="shared" si="285"/>
        <v xml:space="preserve">Valid </v>
      </c>
      <c r="AL1397" t="str">
        <f>IF(AND(Audit_Data[[#This Row],[Recency]]&gt;=0,Audit_Data[[#This Row],[Recency]]&lt;=100),"Valid","Invalid")</f>
        <v>Valid</v>
      </c>
      <c r="AM1397" t="str">
        <f t="shared" si="279"/>
        <v>Valid</v>
      </c>
      <c r="AN1397" t="str">
        <f t="shared" si="280"/>
        <v>Valid</v>
      </c>
      <c r="AO1397" t="str">
        <f t="shared" si="281"/>
        <v>Valid</v>
      </c>
      <c r="AP1397" t="str">
        <f t="shared" si="282"/>
        <v>Valid</v>
      </c>
      <c r="AQ1397" t="str">
        <f>IF(Audit_Data[[#This Row],[Z_CostContact]]=3,"Valid","Invalid")</f>
        <v>Valid</v>
      </c>
      <c r="AR1397" t="str">
        <f t="shared" si="283"/>
        <v>Valid</v>
      </c>
      <c r="AS1397" t="str">
        <f t="shared" si="284"/>
        <v>Valid</v>
      </c>
    </row>
    <row r="1398" spans="1:45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 t="str">
        <f t="shared" si="273"/>
        <v>Ok</v>
      </c>
      <c r="AE1398" t="str">
        <f>IF(AND(Audit_Data[[#This Row],[Year_Birth]]&gt;=1900,Audit_Data[[#This Row],[Year_Birth]]&lt;=2010),"OK","Invalid")</f>
        <v>OK</v>
      </c>
      <c r="AF1398" t="str">
        <f t="shared" si="274"/>
        <v>Valid</v>
      </c>
      <c r="AG1398" t="str">
        <f t="shared" si="275"/>
        <v>Valid</v>
      </c>
      <c r="AH1398" t="str">
        <f t="shared" si="276"/>
        <v>Valid</v>
      </c>
      <c r="AI1398" t="str">
        <f t="shared" si="277"/>
        <v>Valid</v>
      </c>
      <c r="AJ1398" t="str">
        <f t="shared" si="278"/>
        <v>Valid</v>
      </c>
      <c r="AK1398" t="str">
        <f t="shared" si="285"/>
        <v xml:space="preserve">Valid </v>
      </c>
      <c r="AL1398" t="str">
        <f>IF(AND(Audit_Data[[#This Row],[Recency]]&gt;=0,Audit_Data[[#This Row],[Recency]]&lt;=100),"Valid","Invalid")</f>
        <v>Valid</v>
      </c>
      <c r="AM1398" t="str">
        <f t="shared" si="279"/>
        <v>Valid</v>
      </c>
      <c r="AN1398" t="str">
        <f t="shared" si="280"/>
        <v>Valid</v>
      </c>
      <c r="AO1398" t="str">
        <f t="shared" si="281"/>
        <v>Valid</v>
      </c>
      <c r="AP1398" t="str">
        <f t="shared" si="282"/>
        <v>Valid</v>
      </c>
      <c r="AQ1398" t="str">
        <f>IF(Audit_Data[[#This Row],[Z_CostContact]]=3,"Valid","Invalid")</f>
        <v>Valid</v>
      </c>
      <c r="AR1398" t="str">
        <f t="shared" si="283"/>
        <v>Valid</v>
      </c>
      <c r="AS1398" t="str">
        <f t="shared" si="284"/>
        <v>Valid</v>
      </c>
    </row>
    <row r="1399" spans="1:45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 t="str">
        <f t="shared" si="273"/>
        <v>Ok</v>
      </c>
      <c r="AE1399" t="str">
        <f>IF(AND(Audit_Data[[#This Row],[Year_Birth]]&gt;=1900,Audit_Data[[#This Row],[Year_Birth]]&lt;=2010),"OK","Invalid")</f>
        <v>OK</v>
      </c>
      <c r="AF1399" t="str">
        <f t="shared" si="274"/>
        <v>Valid</v>
      </c>
      <c r="AG1399" t="str">
        <f t="shared" si="275"/>
        <v>Valid</v>
      </c>
      <c r="AH1399" t="str">
        <f t="shared" si="276"/>
        <v>Valid</v>
      </c>
      <c r="AI1399" t="str">
        <f t="shared" si="277"/>
        <v>Valid</v>
      </c>
      <c r="AJ1399" t="str">
        <f t="shared" si="278"/>
        <v>Valid</v>
      </c>
      <c r="AK1399" t="str">
        <f t="shared" si="285"/>
        <v xml:space="preserve">Valid </v>
      </c>
      <c r="AL1399" t="str">
        <f>IF(AND(Audit_Data[[#This Row],[Recency]]&gt;=0,Audit_Data[[#This Row],[Recency]]&lt;=100),"Valid","Invalid")</f>
        <v>Valid</v>
      </c>
      <c r="AM1399" t="str">
        <f t="shared" si="279"/>
        <v>Valid</v>
      </c>
      <c r="AN1399" t="str">
        <f t="shared" si="280"/>
        <v>Valid</v>
      </c>
      <c r="AO1399" t="str">
        <f t="shared" si="281"/>
        <v>Valid</v>
      </c>
      <c r="AP1399" t="str">
        <f t="shared" si="282"/>
        <v>Valid</v>
      </c>
      <c r="AQ1399" t="str">
        <f>IF(Audit_Data[[#This Row],[Z_CostContact]]=3,"Valid","Invalid")</f>
        <v>Valid</v>
      </c>
      <c r="AR1399" t="str">
        <f t="shared" si="283"/>
        <v>Valid</v>
      </c>
      <c r="AS1399" t="str">
        <f t="shared" si="284"/>
        <v>Valid</v>
      </c>
    </row>
    <row r="1400" spans="1:45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 t="str">
        <f t="shared" si="273"/>
        <v>Ok</v>
      </c>
      <c r="AE1400" t="str">
        <f>IF(AND(Audit_Data[[#This Row],[Year_Birth]]&gt;=1900,Audit_Data[[#This Row],[Year_Birth]]&lt;=2010),"OK","Invalid")</f>
        <v>OK</v>
      </c>
      <c r="AF1400" t="str">
        <f t="shared" si="274"/>
        <v>Valid</v>
      </c>
      <c r="AG1400" t="str">
        <f t="shared" si="275"/>
        <v>Valid</v>
      </c>
      <c r="AH1400" t="str">
        <f t="shared" si="276"/>
        <v>Valid</v>
      </c>
      <c r="AI1400" t="str">
        <f t="shared" si="277"/>
        <v>Valid</v>
      </c>
      <c r="AJ1400" t="str">
        <f t="shared" si="278"/>
        <v>Valid</v>
      </c>
      <c r="AK1400" t="str">
        <f t="shared" si="285"/>
        <v xml:space="preserve">Valid </v>
      </c>
      <c r="AL1400" t="str">
        <f>IF(AND(Audit_Data[[#This Row],[Recency]]&gt;=0,Audit_Data[[#This Row],[Recency]]&lt;=100),"Valid","Invalid")</f>
        <v>Valid</v>
      </c>
      <c r="AM1400" t="str">
        <f t="shared" si="279"/>
        <v>Valid</v>
      </c>
      <c r="AN1400" t="str">
        <f t="shared" si="280"/>
        <v>Valid</v>
      </c>
      <c r="AO1400" t="str">
        <f t="shared" si="281"/>
        <v>Valid</v>
      </c>
      <c r="AP1400" t="str">
        <f t="shared" si="282"/>
        <v>Valid</v>
      </c>
      <c r="AQ1400" t="str">
        <f>IF(Audit_Data[[#This Row],[Z_CostContact]]=3,"Valid","Invalid")</f>
        <v>Valid</v>
      </c>
      <c r="AR1400" t="str">
        <f t="shared" si="283"/>
        <v>Valid</v>
      </c>
      <c r="AS1400" t="str">
        <f t="shared" si="284"/>
        <v>Valid</v>
      </c>
    </row>
    <row r="1401" spans="1:45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 t="str">
        <f t="shared" si="273"/>
        <v>Ok</v>
      </c>
      <c r="AE1401" t="str">
        <f>IF(AND(Audit_Data[[#This Row],[Year_Birth]]&gt;=1900,Audit_Data[[#This Row],[Year_Birth]]&lt;=2010),"OK","Invalid")</f>
        <v>OK</v>
      </c>
      <c r="AF1401" t="str">
        <f t="shared" si="274"/>
        <v>Valid</v>
      </c>
      <c r="AG1401" t="str">
        <f t="shared" si="275"/>
        <v>Valid</v>
      </c>
      <c r="AH1401" t="str">
        <f t="shared" si="276"/>
        <v>Valid</v>
      </c>
      <c r="AI1401" t="str">
        <f t="shared" si="277"/>
        <v>Valid</v>
      </c>
      <c r="AJ1401" t="str">
        <f t="shared" si="278"/>
        <v>Valid</v>
      </c>
      <c r="AK1401" t="str">
        <f t="shared" si="285"/>
        <v xml:space="preserve">Valid </v>
      </c>
      <c r="AL1401" t="str">
        <f>IF(AND(Audit_Data[[#This Row],[Recency]]&gt;=0,Audit_Data[[#This Row],[Recency]]&lt;=100),"Valid","Invalid")</f>
        <v>Valid</v>
      </c>
      <c r="AM1401" t="str">
        <f t="shared" si="279"/>
        <v>Valid</v>
      </c>
      <c r="AN1401" t="str">
        <f t="shared" si="280"/>
        <v>Valid</v>
      </c>
      <c r="AO1401" t="str">
        <f t="shared" si="281"/>
        <v>Valid</v>
      </c>
      <c r="AP1401" t="str">
        <f t="shared" si="282"/>
        <v>Valid</v>
      </c>
      <c r="AQ1401" t="str">
        <f>IF(Audit_Data[[#This Row],[Z_CostContact]]=3,"Valid","Invalid")</f>
        <v>Valid</v>
      </c>
      <c r="AR1401" t="str">
        <f t="shared" si="283"/>
        <v>Valid</v>
      </c>
      <c r="AS1401" t="str">
        <f t="shared" si="284"/>
        <v>Valid</v>
      </c>
    </row>
    <row r="1402" spans="1:45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 t="str">
        <f t="shared" si="273"/>
        <v>Ok</v>
      </c>
      <c r="AE1402" t="str">
        <f>IF(AND(Audit_Data[[#This Row],[Year_Birth]]&gt;=1900,Audit_Data[[#This Row],[Year_Birth]]&lt;=2010),"OK","Invalid")</f>
        <v>OK</v>
      </c>
      <c r="AF1402" t="str">
        <f t="shared" si="274"/>
        <v>Valid</v>
      </c>
      <c r="AG1402" t="str">
        <f t="shared" si="275"/>
        <v>Valid</v>
      </c>
      <c r="AH1402" t="str">
        <f t="shared" si="276"/>
        <v>Valid</v>
      </c>
      <c r="AI1402" t="str">
        <f t="shared" si="277"/>
        <v>Valid</v>
      </c>
      <c r="AJ1402" t="str">
        <f t="shared" si="278"/>
        <v>Valid</v>
      </c>
      <c r="AK1402" t="str">
        <f t="shared" si="285"/>
        <v xml:space="preserve">Valid </v>
      </c>
      <c r="AL1402" t="str">
        <f>IF(AND(Audit_Data[[#This Row],[Recency]]&gt;=0,Audit_Data[[#This Row],[Recency]]&lt;=100),"Valid","Invalid")</f>
        <v>Valid</v>
      </c>
      <c r="AM1402" t="str">
        <f t="shared" si="279"/>
        <v>Valid</v>
      </c>
      <c r="AN1402" t="str">
        <f t="shared" si="280"/>
        <v>Valid</v>
      </c>
      <c r="AO1402" t="str">
        <f t="shared" si="281"/>
        <v>Valid</v>
      </c>
      <c r="AP1402" t="str">
        <f t="shared" si="282"/>
        <v>Valid</v>
      </c>
      <c r="AQ1402" t="str">
        <f>IF(Audit_Data[[#This Row],[Z_CostContact]]=3,"Valid","Invalid")</f>
        <v>Valid</v>
      </c>
      <c r="AR1402" t="str">
        <f t="shared" si="283"/>
        <v>Valid</v>
      </c>
      <c r="AS1402" t="str">
        <f t="shared" si="284"/>
        <v>Valid</v>
      </c>
    </row>
    <row r="1403" spans="1:45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 t="str">
        <f t="shared" si="273"/>
        <v>Ok</v>
      </c>
      <c r="AE1403" t="str">
        <f>IF(AND(Audit_Data[[#This Row],[Year_Birth]]&gt;=1900,Audit_Data[[#This Row],[Year_Birth]]&lt;=2010),"OK","Invalid")</f>
        <v>OK</v>
      </c>
      <c r="AF1403" t="str">
        <f t="shared" si="274"/>
        <v>Valid</v>
      </c>
      <c r="AG1403" t="str">
        <f t="shared" si="275"/>
        <v>Valid</v>
      </c>
      <c r="AH1403" t="str">
        <f t="shared" si="276"/>
        <v>Valid</v>
      </c>
      <c r="AI1403" t="str">
        <f t="shared" si="277"/>
        <v>Valid</v>
      </c>
      <c r="AJ1403" t="str">
        <f t="shared" si="278"/>
        <v>Valid</v>
      </c>
      <c r="AK1403" t="str">
        <f t="shared" si="285"/>
        <v xml:space="preserve">Valid </v>
      </c>
      <c r="AL1403" t="str">
        <f>IF(AND(Audit_Data[[#This Row],[Recency]]&gt;=0,Audit_Data[[#This Row],[Recency]]&lt;=100),"Valid","Invalid")</f>
        <v>Valid</v>
      </c>
      <c r="AM1403" t="str">
        <f t="shared" si="279"/>
        <v>Valid</v>
      </c>
      <c r="AN1403" t="str">
        <f t="shared" si="280"/>
        <v>Valid</v>
      </c>
      <c r="AO1403" t="str">
        <f t="shared" si="281"/>
        <v>Valid</v>
      </c>
      <c r="AP1403" t="str">
        <f t="shared" si="282"/>
        <v>Valid</v>
      </c>
      <c r="AQ1403" t="str">
        <f>IF(Audit_Data[[#This Row],[Z_CostContact]]=3,"Valid","Invalid")</f>
        <v>Valid</v>
      </c>
      <c r="AR1403" t="str">
        <f t="shared" si="283"/>
        <v>Valid</v>
      </c>
      <c r="AS1403" t="str">
        <f t="shared" si="284"/>
        <v>Valid</v>
      </c>
    </row>
    <row r="1404" spans="1:45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 t="str">
        <f t="shared" si="273"/>
        <v>Ok</v>
      </c>
      <c r="AE1404" t="str">
        <f>IF(AND(Audit_Data[[#This Row],[Year_Birth]]&gt;=1900,Audit_Data[[#This Row],[Year_Birth]]&lt;=2010),"OK","Invalid")</f>
        <v>OK</v>
      </c>
      <c r="AF1404" t="str">
        <f t="shared" si="274"/>
        <v>Valid</v>
      </c>
      <c r="AG1404" t="str">
        <f t="shared" si="275"/>
        <v>Valid</v>
      </c>
      <c r="AH1404" t="str">
        <f t="shared" si="276"/>
        <v>Valid</v>
      </c>
      <c r="AI1404" t="str">
        <f t="shared" si="277"/>
        <v>Valid</v>
      </c>
      <c r="AJ1404" t="str">
        <f t="shared" si="278"/>
        <v>Valid</v>
      </c>
      <c r="AK1404" t="str">
        <f t="shared" si="285"/>
        <v xml:space="preserve">Valid </v>
      </c>
      <c r="AL1404" t="str">
        <f>IF(AND(Audit_Data[[#This Row],[Recency]]&gt;=0,Audit_Data[[#This Row],[Recency]]&lt;=100),"Valid","Invalid")</f>
        <v>Valid</v>
      </c>
      <c r="AM1404" t="str">
        <f t="shared" si="279"/>
        <v>Valid</v>
      </c>
      <c r="AN1404" t="str">
        <f t="shared" si="280"/>
        <v>Valid</v>
      </c>
      <c r="AO1404" t="str">
        <f t="shared" si="281"/>
        <v>Valid</v>
      </c>
      <c r="AP1404" t="str">
        <f t="shared" si="282"/>
        <v>Valid</v>
      </c>
      <c r="AQ1404" t="str">
        <f>IF(Audit_Data[[#This Row],[Z_CostContact]]=3,"Valid","Invalid")</f>
        <v>Valid</v>
      </c>
      <c r="AR1404" t="str">
        <f t="shared" si="283"/>
        <v>Valid</v>
      </c>
      <c r="AS1404" t="str">
        <f t="shared" si="284"/>
        <v>Valid</v>
      </c>
    </row>
    <row r="1405" spans="1:45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 t="str">
        <f t="shared" si="273"/>
        <v>Ok</v>
      </c>
      <c r="AE1405" t="str">
        <f>IF(AND(Audit_Data[[#This Row],[Year_Birth]]&gt;=1900,Audit_Data[[#This Row],[Year_Birth]]&lt;=2010),"OK","Invalid")</f>
        <v>OK</v>
      </c>
      <c r="AF1405" t="str">
        <f t="shared" si="274"/>
        <v>Valid</v>
      </c>
      <c r="AG1405" t="str">
        <f t="shared" si="275"/>
        <v>Valid</v>
      </c>
      <c r="AH1405" t="str">
        <f t="shared" si="276"/>
        <v>Valid</v>
      </c>
      <c r="AI1405" t="str">
        <f t="shared" si="277"/>
        <v>Valid</v>
      </c>
      <c r="AJ1405" t="str">
        <f t="shared" si="278"/>
        <v>Valid</v>
      </c>
      <c r="AK1405" t="str">
        <f t="shared" si="285"/>
        <v xml:space="preserve">Valid </v>
      </c>
      <c r="AL1405" t="str">
        <f>IF(AND(Audit_Data[[#This Row],[Recency]]&gt;=0,Audit_Data[[#This Row],[Recency]]&lt;=100),"Valid","Invalid")</f>
        <v>Valid</v>
      </c>
      <c r="AM1405" t="str">
        <f t="shared" si="279"/>
        <v>Valid</v>
      </c>
      <c r="AN1405" t="str">
        <f t="shared" si="280"/>
        <v>Valid</v>
      </c>
      <c r="AO1405" t="str">
        <f t="shared" si="281"/>
        <v>Valid</v>
      </c>
      <c r="AP1405" t="str">
        <f t="shared" si="282"/>
        <v>Valid</v>
      </c>
      <c r="AQ1405" t="str">
        <f>IF(Audit_Data[[#This Row],[Z_CostContact]]=3,"Valid","Invalid")</f>
        <v>Valid</v>
      </c>
      <c r="AR1405" t="str">
        <f t="shared" si="283"/>
        <v>Valid</v>
      </c>
      <c r="AS1405" t="str">
        <f t="shared" si="284"/>
        <v>Valid</v>
      </c>
    </row>
    <row r="1406" spans="1:45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 t="str">
        <f t="shared" si="273"/>
        <v>Ok</v>
      </c>
      <c r="AE1406" t="str">
        <f>IF(AND(Audit_Data[[#This Row],[Year_Birth]]&gt;=1900,Audit_Data[[#This Row],[Year_Birth]]&lt;=2010),"OK","Invalid")</f>
        <v>OK</v>
      </c>
      <c r="AF1406" t="str">
        <f t="shared" si="274"/>
        <v>Valid</v>
      </c>
      <c r="AG1406" t="str">
        <f t="shared" si="275"/>
        <v>Valid</v>
      </c>
      <c r="AH1406" t="str">
        <f t="shared" si="276"/>
        <v>Valid</v>
      </c>
      <c r="AI1406" t="str">
        <f t="shared" si="277"/>
        <v>Valid</v>
      </c>
      <c r="AJ1406" t="str">
        <f t="shared" si="278"/>
        <v>Valid</v>
      </c>
      <c r="AK1406" t="str">
        <f t="shared" si="285"/>
        <v xml:space="preserve">Valid </v>
      </c>
      <c r="AL1406" t="str">
        <f>IF(AND(Audit_Data[[#This Row],[Recency]]&gt;=0,Audit_Data[[#This Row],[Recency]]&lt;=100),"Valid","Invalid")</f>
        <v>Valid</v>
      </c>
      <c r="AM1406" t="str">
        <f t="shared" si="279"/>
        <v>Valid</v>
      </c>
      <c r="AN1406" t="str">
        <f t="shared" si="280"/>
        <v>Valid</v>
      </c>
      <c r="AO1406" t="str">
        <f t="shared" si="281"/>
        <v>Valid</v>
      </c>
      <c r="AP1406" t="str">
        <f t="shared" si="282"/>
        <v>Valid</v>
      </c>
      <c r="AQ1406" t="str">
        <f>IF(Audit_Data[[#This Row],[Z_CostContact]]=3,"Valid","Invalid")</f>
        <v>Valid</v>
      </c>
      <c r="AR1406" t="str">
        <f t="shared" si="283"/>
        <v>Valid</v>
      </c>
      <c r="AS1406" t="str">
        <f t="shared" si="284"/>
        <v>Valid</v>
      </c>
    </row>
    <row r="1407" spans="1:45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 t="str">
        <f t="shared" si="273"/>
        <v>Ok</v>
      </c>
      <c r="AE1407" t="str">
        <f>IF(AND(Audit_Data[[#This Row],[Year_Birth]]&gt;=1900,Audit_Data[[#This Row],[Year_Birth]]&lt;=2010),"OK","Invalid")</f>
        <v>OK</v>
      </c>
      <c r="AF1407" t="str">
        <f t="shared" si="274"/>
        <v>Valid</v>
      </c>
      <c r="AG1407" t="str">
        <f t="shared" si="275"/>
        <v>Valid</v>
      </c>
      <c r="AH1407" t="str">
        <f t="shared" si="276"/>
        <v>Valid</v>
      </c>
      <c r="AI1407" t="str">
        <f t="shared" si="277"/>
        <v>Valid</v>
      </c>
      <c r="AJ1407" t="str">
        <f t="shared" si="278"/>
        <v>Valid</v>
      </c>
      <c r="AK1407" t="str">
        <f t="shared" si="285"/>
        <v xml:space="preserve">Valid </v>
      </c>
      <c r="AL1407" t="str">
        <f>IF(AND(Audit_Data[[#This Row],[Recency]]&gt;=0,Audit_Data[[#This Row],[Recency]]&lt;=100),"Valid","Invalid")</f>
        <v>Valid</v>
      </c>
      <c r="AM1407" t="str">
        <f t="shared" si="279"/>
        <v>Valid</v>
      </c>
      <c r="AN1407" t="str">
        <f t="shared" si="280"/>
        <v>Valid</v>
      </c>
      <c r="AO1407" t="str">
        <f t="shared" si="281"/>
        <v>Valid</v>
      </c>
      <c r="AP1407" t="str">
        <f t="shared" si="282"/>
        <v>Valid</v>
      </c>
      <c r="AQ1407" t="str">
        <f>IF(Audit_Data[[#This Row],[Z_CostContact]]=3,"Valid","Invalid")</f>
        <v>Valid</v>
      </c>
      <c r="AR1407" t="str">
        <f t="shared" si="283"/>
        <v>Valid</v>
      </c>
      <c r="AS1407" t="str">
        <f t="shared" si="284"/>
        <v>Valid</v>
      </c>
    </row>
    <row r="1408" spans="1:45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 t="str">
        <f t="shared" si="273"/>
        <v>Ok</v>
      </c>
      <c r="AE1408" t="str">
        <f>IF(AND(Audit_Data[[#This Row],[Year_Birth]]&gt;=1900,Audit_Data[[#This Row],[Year_Birth]]&lt;=2010),"OK","Invalid")</f>
        <v>OK</v>
      </c>
      <c r="AF1408" t="str">
        <f t="shared" si="274"/>
        <v>Valid</v>
      </c>
      <c r="AG1408" t="str">
        <f t="shared" si="275"/>
        <v>Valid</v>
      </c>
      <c r="AH1408" t="str">
        <f t="shared" si="276"/>
        <v>Valid</v>
      </c>
      <c r="AI1408" t="str">
        <f t="shared" si="277"/>
        <v>Valid</v>
      </c>
      <c r="AJ1408" t="str">
        <f t="shared" si="278"/>
        <v>Valid</v>
      </c>
      <c r="AK1408" t="str">
        <f t="shared" si="285"/>
        <v xml:space="preserve">Valid </v>
      </c>
      <c r="AL1408" t="str">
        <f>IF(AND(Audit_Data[[#This Row],[Recency]]&gt;=0,Audit_Data[[#This Row],[Recency]]&lt;=100),"Valid","Invalid")</f>
        <v>Valid</v>
      </c>
      <c r="AM1408" t="str">
        <f t="shared" si="279"/>
        <v>Valid</v>
      </c>
      <c r="AN1408" t="str">
        <f t="shared" si="280"/>
        <v>Valid</v>
      </c>
      <c r="AO1408" t="str">
        <f t="shared" si="281"/>
        <v>Valid</v>
      </c>
      <c r="AP1408" t="str">
        <f t="shared" si="282"/>
        <v>Valid</v>
      </c>
      <c r="AQ1408" t="str">
        <f>IF(Audit_Data[[#This Row],[Z_CostContact]]=3,"Valid","Invalid")</f>
        <v>Valid</v>
      </c>
      <c r="AR1408" t="str">
        <f t="shared" si="283"/>
        <v>Valid</v>
      </c>
      <c r="AS1408" t="str">
        <f t="shared" si="284"/>
        <v>Valid</v>
      </c>
    </row>
    <row r="1409" spans="1:45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 t="str">
        <f t="shared" si="273"/>
        <v>Ok</v>
      </c>
      <c r="AE1409" t="str">
        <f>IF(AND(Audit_Data[[#This Row],[Year_Birth]]&gt;=1900,Audit_Data[[#This Row],[Year_Birth]]&lt;=2010),"OK","Invalid")</f>
        <v>OK</v>
      </c>
      <c r="AF1409" t="str">
        <f t="shared" si="274"/>
        <v>Valid</v>
      </c>
      <c r="AG1409" t="str">
        <f t="shared" si="275"/>
        <v>Valid</v>
      </c>
      <c r="AH1409" t="str">
        <f t="shared" si="276"/>
        <v>Valid</v>
      </c>
      <c r="AI1409" t="str">
        <f t="shared" si="277"/>
        <v>Valid</v>
      </c>
      <c r="AJ1409" t="str">
        <f t="shared" si="278"/>
        <v>Valid</v>
      </c>
      <c r="AK1409" t="str">
        <f t="shared" si="285"/>
        <v xml:space="preserve">Valid </v>
      </c>
      <c r="AL1409" t="str">
        <f>IF(AND(Audit_Data[[#This Row],[Recency]]&gt;=0,Audit_Data[[#This Row],[Recency]]&lt;=100),"Valid","Invalid")</f>
        <v>Valid</v>
      </c>
      <c r="AM1409" t="str">
        <f t="shared" si="279"/>
        <v>Valid</v>
      </c>
      <c r="AN1409" t="str">
        <f t="shared" si="280"/>
        <v>Valid</v>
      </c>
      <c r="AO1409" t="str">
        <f t="shared" si="281"/>
        <v>Valid</v>
      </c>
      <c r="AP1409" t="str">
        <f t="shared" si="282"/>
        <v>Valid</v>
      </c>
      <c r="AQ1409" t="str">
        <f>IF(Audit_Data[[#This Row],[Z_CostContact]]=3,"Valid","Invalid")</f>
        <v>Valid</v>
      </c>
      <c r="AR1409" t="str">
        <f t="shared" si="283"/>
        <v>Valid</v>
      </c>
      <c r="AS1409" t="str">
        <f t="shared" si="284"/>
        <v>Valid</v>
      </c>
    </row>
    <row r="1410" spans="1:45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 t="str">
        <f t="shared" ref="AD1410:AD1473" si="286">IF(COUNTIF(A:A,A1410)&gt;1,"Duplicate","Ok")</f>
        <v>Ok</v>
      </c>
      <c r="AE1410" t="str">
        <f>IF(AND(Audit_Data[[#This Row],[Year_Birth]]&gt;=1900,Audit_Data[[#This Row],[Year_Birth]]&lt;=2010),"OK","Invalid")</f>
        <v>OK</v>
      </c>
      <c r="AF1410" t="str">
        <f t="shared" ref="AF1410:AF1473" si="287">IF(OR(C1410="Graduation",C1410="phD",C1410="Master",C1410="Basic",C1410="2n Cycle"),"Valid","Invalid")</f>
        <v>Valid</v>
      </c>
      <c r="AG1410" t="str">
        <f t="shared" ref="AG1410:AG1473" si="288">IF(OR(D1410="Single",D1410="Married",D1410="Divorced",D1410="Together",D1410="Widow",D1410="Alone"),"Valid","Invalid")</f>
        <v>Valid</v>
      </c>
      <c r="AH1410" t="str">
        <f t="shared" ref="AH1410:AH1473" si="289">IF(AND(ISNUMBER(E1410),E1410&lt;&gt;""),"Valid","Invalid")</f>
        <v>Valid</v>
      </c>
      <c r="AI1410" t="str">
        <f t="shared" ref="AI1410:AI1473" si="290">IF(AND(F1410&gt;=0,F1410&lt;=2),"Valid","Invalid")</f>
        <v>Valid</v>
      </c>
      <c r="AJ1410" t="str">
        <f t="shared" ref="AJ1410:AJ1473" si="291">IF(AND(G1410&gt;=0,G1410&lt;=2),"Valid","Invalid")</f>
        <v>Valid</v>
      </c>
      <c r="AK1410" t="str">
        <f t="shared" si="285"/>
        <v xml:space="preserve">Valid </v>
      </c>
      <c r="AL1410" t="str">
        <f>IF(AND(Audit_Data[[#This Row],[Recency]]&gt;=0,Audit_Data[[#This Row],[Recency]]&lt;=100),"Valid","Invalid")</f>
        <v>Valid</v>
      </c>
      <c r="AM1410" t="str">
        <f t="shared" ref="AM1410:AM1473" si="292">IF(AND(ISNUMBER(J1410),J1410&gt;=0,ISNUMBER(K1410),K1410&gt;=0,ISNUMBER(L1410),L1410&gt;=0,ISNUMBER(M1410),M1410&gt;=0,ISNUMBER(N1410),N1410&gt;=0,ISNUMBER(O1410),O1410&gt;=0),"Valid","Invalid")</f>
        <v>Valid</v>
      </c>
      <c r="AN1410" t="str">
        <f t="shared" ref="AN1410:AN1473" si="293">IF(AND(ISNUMBER(P1410),P1410&gt;=0,ISNUMBER(Q1410),Q1410&gt;=0,ISNUMBER(R1410),R1410&gt;=0,ISNUMBER(S1410),S1410&gt;=0,ISNUMBER(T1410),T1410&gt;=0),"Valid","Invalid")</f>
        <v>Valid</v>
      </c>
      <c r="AO1410" t="str">
        <f t="shared" ref="AO1410:AO1473" si="294">IF(AND(U1410&lt;=1,V1410&lt;=1,W1410&lt;=1,X1410&lt;=1,Y1410&lt;=1),"Valid","Invalid")</f>
        <v>Valid</v>
      </c>
      <c r="AP1410" t="str">
        <f t="shared" ref="AP1410:AP1473" si="295">IF(OR(Z1410=0,Z1410=1),"Valid","Invalid")</f>
        <v>Valid</v>
      </c>
      <c r="AQ1410" t="str">
        <f>IF(Audit_Data[[#This Row],[Z_CostContact]]=3,"Valid","Invalid")</f>
        <v>Valid</v>
      </c>
      <c r="AR1410" t="str">
        <f t="shared" ref="AR1410:AR1473" si="296">IF(AB1410=11,"Valid","Invalid")</f>
        <v>Valid</v>
      </c>
      <c r="AS1410" t="str">
        <f t="shared" ref="AS1410:AS1473" si="297">IF(OR(AC1410=0,AC1410=1),"Valid","Invalid")</f>
        <v>Valid</v>
      </c>
    </row>
    <row r="1411" spans="1:45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 t="str">
        <f t="shared" si="286"/>
        <v>Ok</v>
      </c>
      <c r="AE1411" t="str">
        <f>IF(AND(Audit_Data[[#This Row],[Year_Birth]]&gt;=1900,Audit_Data[[#This Row],[Year_Birth]]&lt;=2010),"OK","Invalid")</f>
        <v>OK</v>
      </c>
      <c r="AF1411" t="str">
        <f t="shared" si="287"/>
        <v>Valid</v>
      </c>
      <c r="AG1411" t="str">
        <f t="shared" si="288"/>
        <v>Valid</v>
      </c>
      <c r="AH1411" t="str">
        <f t="shared" si="289"/>
        <v>Valid</v>
      </c>
      <c r="AI1411" t="str">
        <f t="shared" si="290"/>
        <v>Valid</v>
      </c>
      <c r="AJ1411" t="str">
        <f t="shared" si="291"/>
        <v>Valid</v>
      </c>
      <c r="AK1411" t="str">
        <f t="shared" ref="AK1411:AK1474" si="298">IF(AND(ISNUMBER(H1411),H1411&gt;=DATE(2012,1,1),H1411&lt;=DATE(2014,12,31)),"Valid ","Invalid")</f>
        <v xml:space="preserve">Valid </v>
      </c>
      <c r="AL1411" t="str">
        <f>IF(AND(Audit_Data[[#This Row],[Recency]]&gt;=0,Audit_Data[[#This Row],[Recency]]&lt;=100),"Valid","Invalid")</f>
        <v>Valid</v>
      </c>
      <c r="AM1411" t="str">
        <f t="shared" si="292"/>
        <v>Valid</v>
      </c>
      <c r="AN1411" t="str">
        <f t="shared" si="293"/>
        <v>Valid</v>
      </c>
      <c r="AO1411" t="str">
        <f t="shared" si="294"/>
        <v>Valid</v>
      </c>
      <c r="AP1411" t="str">
        <f t="shared" si="295"/>
        <v>Valid</v>
      </c>
      <c r="AQ1411" t="str">
        <f>IF(Audit_Data[[#This Row],[Z_CostContact]]=3,"Valid","Invalid")</f>
        <v>Valid</v>
      </c>
      <c r="AR1411" t="str">
        <f t="shared" si="296"/>
        <v>Valid</v>
      </c>
      <c r="AS1411" t="str">
        <f t="shared" si="297"/>
        <v>Valid</v>
      </c>
    </row>
    <row r="1412" spans="1:45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 t="str">
        <f t="shared" si="286"/>
        <v>Ok</v>
      </c>
      <c r="AE1412" t="str">
        <f>IF(AND(Audit_Data[[#This Row],[Year_Birth]]&gt;=1900,Audit_Data[[#This Row],[Year_Birth]]&lt;=2010),"OK","Invalid")</f>
        <v>OK</v>
      </c>
      <c r="AF1412" t="str">
        <f t="shared" si="287"/>
        <v>Valid</v>
      </c>
      <c r="AG1412" t="str">
        <f t="shared" si="288"/>
        <v>Valid</v>
      </c>
      <c r="AH1412" t="str">
        <f t="shared" si="289"/>
        <v>Valid</v>
      </c>
      <c r="AI1412" t="str">
        <f t="shared" si="290"/>
        <v>Valid</v>
      </c>
      <c r="AJ1412" t="str">
        <f t="shared" si="291"/>
        <v>Valid</v>
      </c>
      <c r="AK1412" t="str">
        <f t="shared" si="298"/>
        <v xml:space="preserve">Valid </v>
      </c>
      <c r="AL1412" t="str">
        <f>IF(AND(Audit_Data[[#This Row],[Recency]]&gt;=0,Audit_Data[[#This Row],[Recency]]&lt;=100),"Valid","Invalid")</f>
        <v>Valid</v>
      </c>
      <c r="AM1412" t="str">
        <f t="shared" si="292"/>
        <v>Valid</v>
      </c>
      <c r="AN1412" t="str">
        <f t="shared" si="293"/>
        <v>Valid</v>
      </c>
      <c r="AO1412" t="str">
        <f t="shared" si="294"/>
        <v>Valid</v>
      </c>
      <c r="AP1412" t="str">
        <f t="shared" si="295"/>
        <v>Valid</v>
      </c>
      <c r="AQ1412" t="str">
        <f>IF(Audit_Data[[#This Row],[Z_CostContact]]=3,"Valid","Invalid")</f>
        <v>Valid</v>
      </c>
      <c r="AR1412" t="str">
        <f t="shared" si="296"/>
        <v>Valid</v>
      </c>
      <c r="AS1412" t="str">
        <f t="shared" si="297"/>
        <v>Valid</v>
      </c>
    </row>
    <row r="1413" spans="1:45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 t="str">
        <f t="shared" si="286"/>
        <v>Ok</v>
      </c>
      <c r="AE1413" t="str">
        <f>IF(AND(Audit_Data[[#This Row],[Year_Birth]]&gt;=1900,Audit_Data[[#This Row],[Year_Birth]]&lt;=2010),"OK","Invalid")</f>
        <v>OK</v>
      </c>
      <c r="AF1413" t="str">
        <f t="shared" si="287"/>
        <v>Valid</v>
      </c>
      <c r="AG1413" t="str">
        <f t="shared" si="288"/>
        <v>Valid</v>
      </c>
      <c r="AH1413" t="str">
        <f t="shared" si="289"/>
        <v>Valid</v>
      </c>
      <c r="AI1413" t="str">
        <f t="shared" si="290"/>
        <v>Valid</v>
      </c>
      <c r="AJ1413" t="str">
        <f t="shared" si="291"/>
        <v>Valid</v>
      </c>
      <c r="AK1413" t="str">
        <f t="shared" si="298"/>
        <v xml:space="preserve">Valid </v>
      </c>
      <c r="AL1413" t="str">
        <f>IF(AND(Audit_Data[[#This Row],[Recency]]&gt;=0,Audit_Data[[#This Row],[Recency]]&lt;=100),"Valid","Invalid")</f>
        <v>Valid</v>
      </c>
      <c r="AM1413" t="str">
        <f t="shared" si="292"/>
        <v>Valid</v>
      </c>
      <c r="AN1413" t="str">
        <f t="shared" si="293"/>
        <v>Valid</v>
      </c>
      <c r="AO1413" t="str">
        <f t="shared" si="294"/>
        <v>Valid</v>
      </c>
      <c r="AP1413" t="str">
        <f t="shared" si="295"/>
        <v>Valid</v>
      </c>
      <c r="AQ1413" t="str">
        <f>IF(Audit_Data[[#This Row],[Z_CostContact]]=3,"Valid","Invalid")</f>
        <v>Valid</v>
      </c>
      <c r="AR1413" t="str">
        <f t="shared" si="296"/>
        <v>Valid</v>
      </c>
      <c r="AS1413" t="str">
        <f t="shared" si="297"/>
        <v>Valid</v>
      </c>
    </row>
    <row r="1414" spans="1:45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 t="str">
        <f t="shared" si="286"/>
        <v>Ok</v>
      </c>
      <c r="AE1414" t="str">
        <f>IF(AND(Audit_Data[[#This Row],[Year_Birth]]&gt;=1900,Audit_Data[[#This Row],[Year_Birth]]&lt;=2010),"OK","Invalid")</f>
        <v>OK</v>
      </c>
      <c r="AF1414" t="str">
        <f t="shared" si="287"/>
        <v>Valid</v>
      </c>
      <c r="AG1414" t="str">
        <f t="shared" si="288"/>
        <v>Valid</v>
      </c>
      <c r="AH1414" t="str">
        <f t="shared" si="289"/>
        <v>Valid</v>
      </c>
      <c r="AI1414" t="str">
        <f t="shared" si="290"/>
        <v>Valid</v>
      </c>
      <c r="AJ1414" t="str">
        <f t="shared" si="291"/>
        <v>Valid</v>
      </c>
      <c r="AK1414" t="str">
        <f t="shared" si="298"/>
        <v xml:space="preserve">Valid </v>
      </c>
      <c r="AL1414" t="str">
        <f>IF(AND(Audit_Data[[#This Row],[Recency]]&gt;=0,Audit_Data[[#This Row],[Recency]]&lt;=100),"Valid","Invalid")</f>
        <v>Valid</v>
      </c>
      <c r="AM1414" t="str">
        <f t="shared" si="292"/>
        <v>Valid</v>
      </c>
      <c r="AN1414" t="str">
        <f t="shared" si="293"/>
        <v>Valid</v>
      </c>
      <c r="AO1414" t="str">
        <f t="shared" si="294"/>
        <v>Valid</v>
      </c>
      <c r="AP1414" t="str">
        <f t="shared" si="295"/>
        <v>Valid</v>
      </c>
      <c r="AQ1414" t="str">
        <f>IF(Audit_Data[[#This Row],[Z_CostContact]]=3,"Valid","Invalid")</f>
        <v>Valid</v>
      </c>
      <c r="AR1414" t="str">
        <f t="shared" si="296"/>
        <v>Valid</v>
      </c>
      <c r="AS1414" t="str">
        <f t="shared" si="297"/>
        <v>Valid</v>
      </c>
    </row>
    <row r="1415" spans="1:45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 t="str">
        <f t="shared" si="286"/>
        <v>Ok</v>
      </c>
      <c r="AE1415" t="str">
        <f>IF(AND(Audit_Data[[#This Row],[Year_Birth]]&gt;=1900,Audit_Data[[#This Row],[Year_Birth]]&lt;=2010),"OK","Invalid")</f>
        <v>OK</v>
      </c>
      <c r="AF1415" t="str">
        <f t="shared" si="287"/>
        <v>Valid</v>
      </c>
      <c r="AG1415" t="str">
        <f t="shared" si="288"/>
        <v>Valid</v>
      </c>
      <c r="AH1415" t="str">
        <f t="shared" si="289"/>
        <v>Valid</v>
      </c>
      <c r="AI1415" t="str">
        <f t="shared" si="290"/>
        <v>Valid</v>
      </c>
      <c r="AJ1415" t="str">
        <f t="shared" si="291"/>
        <v>Valid</v>
      </c>
      <c r="AK1415" t="str">
        <f t="shared" si="298"/>
        <v xml:space="preserve">Valid </v>
      </c>
      <c r="AL1415" t="str">
        <f>IF(AND(Audit_Data[[#This Row],[Recency]]&gt;=0,Audit_Data[[#This Row],[Recency]]&lt;=100),"Valid","Invalid")</f>
        <v>Valid</v>
      </c>
      <c r="AM1415" t="str">
        <f t="shared" si="292"/>
        <v>Valid</v>
      </c>
      <c r="AN1415" t="str">
        <f t="shared" si="293"/>
        <v>Valid</v>
      </c>
      <c r="AO1415" t="str">
        <f t="shared" si="294"/>
        <v>Valid</v>
      </c>
      <c r="AP1415" t="str">
        <f t="shared" si="295"/>
        <v>Valid</v>
      </c>
      <c r="AQ1415" t="str">
        <f>IF(Audit_Data[[#This Row],[Z_CostContact]]=3,"Valid","Invalid")</f>
        <v>Valid</v>
      </c>
      <c r="AR1415" t="str">
        <f t="shared" si="296"/>
        <v>Valid</v>
      </c>
      <c r="AS1415" t="str">
        <f t="shared" si="297"/>
        <v>Valid</v>
      </c>
    </row>
    <row r="1416" spans="1:45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 t="str">
        <f t="shared" si="286"/>
        <v>Ok</v>
      </c>
      <c r="AE1416" t="str">
        <f>IF(AND(Audit_Data[[#This Row],[Year_Birth]]&gt;=1900,Audit_Data[[#This Row],[Year_Birth]]&lt;=2010),"OK","Invalid")</f>
        <v>OK</v>
      </c>
      <c r="AF1416" t="str">
        <f t="shared" si="287"/>
        <v>Valid</v>
      </c>
      <c r="AG1416" t="str">
        <f t="shared" si="288"/>
        <v>Valid</v>
      </c>
      <c r="AH1416" t="str">
        <f t="shared" si="289"/>
        <v>Valid</v>
      </c>
      <c r="AI1416" t="str">
        <f t="shared" si="290"/>
        <v>Valid</v>
      </c>
      <c r="AJ1416" t="str">
        <f t="shared" si="291"/>
        <v>Valid</v>
      </c>
      <c r="AK1416" t="str">
        <f t="shared" si="298"/>
        <v xml:space="preserve">Valid </v>
      </c>
      <c r="AL1416" t="str">
        <f>IF(AND(Audit_Data[[#This Row],[Recency]]&gt;=0,Audit_Data[[#This Row],[Recency]]&lt;=100),"Valid","Invalid")</f>
        <v>Valid</v>
      </c>
      <c r="AM1416" t="str">
        <f t="shared" si="292"/>
        <v>Valid</v>
      </c>
      <c r="AN1416" t="str">
        <f t="shared" si="293"/>
        <v>Valid</v>
      </c>
      <c r="AO1416" t="str">
        <f t="shared" si="294"/>
        <v>Valid</v>
      </c>
      <c r="AP1416" t="str">
        <f t="shared" si="295"/>
        <v>Valid</v>
      </c>
      <c r="AQ1416" t="str">
        <f>IF(Audit_Data[[#This Row],[Z_CostContact]]=3,"Valid","Invalid")</f>
        <v>Valid</v>
      </c>
      <c r="AR1416" t="str">
        <f t="shared" si="296"/>
        <v>Valid</v>
      </c>
      <c r="AS1416" t="str">
        <f t="shared" si="297"/>
        <v>Valid</v>
      </c>
    </row>
    <row r="1417" spans="1:45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 t="str">
        <f t="shared" si="286"/>
        <v>Ok</v>
      </c>
      <c r="AE1417" t="str">
        <f>IF(AND(Audit_Data[[#This Row],[Year_Birth]]&gt;=1900,Audit_Data[[#This Row],[Year_Birth]]&lt;=2010),"OK","Invalid")</f>
        <v>OK</v>
      </c>
      <c r="AF1417" t="str">
        <f t="shared" si="287"/>
        <v>Valid</v>
      </c>
      <c r="AG1417" t="str">
        <f t="shared" si="288"/>
        <v>Valid</v>
      </c>
      <c r="AH1417" t="str">
        <f t="shared" si="289"/>
        <v>Valid</v>
      </c>
      <c r="AI1417" t="str">
        <f t="shared" si="290"/>
        <v>Valid</v>
      </c>
      <c r="AJ1417" t="str">
        <f t="shared" si="291"/>
        <v>Valid</v>
      </c>
      <c r="AK1417" t="str">
        <f t="shared" si="298"/>
        <v xml:space="preserve">Valid </v>
      </c>
      <c r="AL1417" t="str">
        <f>IF(AND(Audit_Data[[#This Row],[Recency]]&gt;=0,Audit_Data[[#This Row],[Recency]]&lt;=100),"Valid","Invalid")</f>
        <v>Valid</v>
      </c>
      <c r="AM1417" t="str">
        <f t="shared" si="292"/>
        <v>Valid</v>
      </c>
      <c r="AN1417" t="str">
        <f t="shared" si="293"/>
        <v>Valid</v>
      </c>
      <c r="AO1417" t="str">
        <f t="shared" si="294"/>
        <v>Valid</v>
      </c>
      <c r="AP1417" t="str">
        <f t="shared" si="295"/>
        <v>Valid</v>
      </c>
      <c r="AQ1417" t="str">
        <f>IF(Audit_Data[[#This Row],[Z_CostContact]]=3,"Valid","Invalid")</f>
        <v>Valid</v>
      </c>
      <c r="AR1417" t="str">
        <f t="shared" si="296"/>
        <v>Valid</v>
      </c>
      <c r="AS1417" t="str">
        <f t="shared" si="297"/>
        <v>Valid</v>
      </c>
    </row>
    <row r="1418" spans="1:45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 t="str">
        <f t="shared" si="286"/>
        <v>Ok</v>
      </c>
      <c r="AE1418" t="str">
        <f>IF(AND(Audit_Data[[#This Row],[Year_Birth]]&gt;=1900,Audit_Data[[#This Row],[Year_Birth]]&lt;=2010),"OK","Invalid")</f>
        <v>OK</v>
      </c>
      <c r="AF1418" t="str">
        <f t="shared" si="287"/>
        <v>Valid</v>
      </c>
      <c r="AG1418" t="str">
        <f t="shared" si="288"/>
        <v>Valid</v>
      </c>
      <c r="AH1418" t="str">
        <f t="shared" si="289"/>
        <v>Valid</v>
      </c>
      <c r="AI1418" t="str">
        <f t="shared" si="290"/>
        <v>Valid</v>
      </c>
      <c r="AJ1418" t="str">
        <f t="shared" si="291"/>
        <v>Valid</v>
      </c>
      <c r="AK1418" t="str">
        <f t="shared" si="298"/>
        <v xml:space="preserve">Valid </v>
      </c>
      <c r="AL1418" t="str">
        <f>IF(AND(Audit_Data[[#This Row],[Recency]]&gt;=0,Audit_Data[[#This Row],[Recency]]&lt;=100),"Valid","Invalid")</f>
        <v>Valid</v>
      </c>
      <c r="AM1418" t="str">
        <f t="shared" si="292"/>
        <v>Valid</v>
      </c>
      <c r="AN1418" t="str">
        <f t="shared" si="293"/>
        <v>Valid</v>
      </c>
      <c r="AO1418" t="str">
        <f t="shared" si="294"/>
        <v>Valid</v>
      </c>
      <c r="AP1418" t="str">
        <f t="shared" si="295"/>
        <v>Valid</v>
      </c>
      <c r="AQ1418" t="str">
        <f>IF(Audit_Data[[#This Row],[Z_CostContact]]=3,"Valid","Invalid")</f>
        <v>Valid</v>
      </c>
      <c r="AR1418" t="str">
        <f t="shared" si="296"/>
        <v>Valid</v>
      </c>
      <c r="AS1418" t="str">
        <f t="shared" si="297"/>
        <v>Valid</v>
      </c>
    </row>
    <row r="1419" spans="1:45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 t="str">
        <f t="shared" si="286"/>
        <v>Ok</v>
      </c>
      <c r="AE1419" t="str">
        <f>IF(AND(Audit_Data[[#This Row],[Year_Birth]]&gt;=1900,Audit_Data[[#This Row],[Year_Birth]]&lt;=2010),"OK","Invalid")</f>
        <v>OK</v>
      </c>
      <c r="AF1419" t="str">
        <f t="shared" si="287"/>
        <v>Valid</v>
      </c>
      <c r="AG1419" t="str">
        <f t="shared" si="288"/>
        <v>Valid</v>
      </c>
      <c r="AH1419" t="str">
        <f t="shared" si="289"/>
        <v>Valid</v>
      </c>
      <c r="AI1419" t="str">
        <f t="shared" si="290"/>
        <v>Valid</v>
      </c>
      <c r="AJ1419" t="str">
        <f t="shared" si="291"/>
        <v>Valid</v>
      </c>
      <c r="AK1419" t="str">
        <f t="shared" si="298"/>
        <v xml:space="preserve">Valid </v>
      </c>
      <c r="AL1419" t="str">
        <f>IF(AND(Audit_Data[[#This Row],[Recency]]&gt;=0,Audit_Data[[#This Row],[Recency]]&lt;=100),"Valid","Invalid")</f>
        <v>Valid</v>
      </c>
      <c r="AM1419" t="str">
        <f t="shared" si="292"/>
        <v>Valid</v>
      </c>
      <c r="AN1419" t="str">
        <f t="shared" si="293"/>
        <v>Valid</v>
      </c>
      <c r="AO1419" t="str">
        <f t="shared" si="294"/>
        <v>Valid</v>
      </c>
      <c r="AP1419" t="str">
        <f t="shared" si="295"/>
        <v>Valid</v>
      </c>
      <c r="AQ1419" t="str">
        <f>IF(Audit_Data[[#This Row],[Z_CostContact]]=3,"Valid","Invalid")</f>
        <v>Valid</v>
      </c>
      <c r="AR1419" t="str">
        <f t="shared" si="296"/>
        <v>Valid</v>
      </c>
      <c r="AS1419" t="str">
        <f t="shared" si="297"/>
        <v>Valid</v>
      </c>
    </row>
    <row r="1420" spans="1:45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 t="str">
        <f t="shared" si="286"/>
        <v>Ok</v>
      </c>
      <c r="AE1420" t="str">
        <f>IF(AND(Audit_Data[[#This Row],[Year_Birth]]&gt;=1900,Audit_Data[[#This Row],[Year_Birth]]&lt;=2010),"OK","Invalid")</f>
        <v>OK</v>
      </c>
      <c r="AF1420" t="str">
        <f t="shared" si="287"/>
        <v>Valid</v>
      </c>
      <c r="AG1420" t="str">
        <f t="shared" si="288"/>
        <v>Valid</v>
      </c>
      <c r="AH1420" t="str">
        <f t="shared" si="289"/>
        <v>Valid</v>
      </c>
      <c r="AI1420" t="str">
        <f t="shared" si="290"/>
        <v>Valid</v>
      </c>
      <c r="AJ1420" t="str">
        <f t="shared" si="291"/>
        <v>Valid</v>
      </c>
      <c r="AK1420" t="str">
        <f t="shared" si="298"/>
        <v xml:space="preserve">Valid </v>
      </c>
      <c r="AL1420" t="str">
        <f>IF(AND(Audit_Data[[#This Row],[Recency]]&gt;=0,Audit_Data[[#This Row],[Recency]]&lt;=100),"Valid","Invalid")</f>
        <v>Valid</v>
      </c>
      <c r="AM1420" t="str">
        <f t="shared" si="292"/>
        <v>Valid</v>
      </c>
      <c r="AN1420" t="str">
        <f t="shared" si="293"/>
        <v>Valid</v>
      </c>
      <c r="AO1420" t="str">
        <f t="shared" si="294"/>
        <v>Valid</v>
      </c>
      <c r="AP1420" t="str">
        <f t="shared" si="295"/>
        <v>Valid</v>
      </c>
      <c r="AQ1420" t="str">
        <f>IF(Audit_Data[[#This Row],[Z_CostContact]]=3,"Valid","Invalid")</f>
        <v>Valid</v>
      </c>
      <c r="AR1420" t="str">
        <f t="shared" si="296"/>
        <v>Valid</v>
      </c>
      <c r="AS1420" t="str">
        <f t="shared" si="297"/>
        <v>Valid</v>
      </c>
    </row>
    <row r="1421" spans="1:45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 t="str">
        <f t="shared" si="286"/>
        <v>Ok</v>
      </c>
      <c r="AE1421" t="str">
        <f>IF(AND(Audit_Data[[#This Row],[Year_Birth]]&gt;=1900,Audit_Data[[#This Row],[Year_Birth]]&lt;=2010),"OK","Invalid")</f>
        <v>OK</v>
      </c>
      <c r="AF1421" t="str">
        <f t="shared" si="287"/>
        <v>Valid</v>
      </c>
      <c r="AG1421" t="str">
        <f t="shared" si="288"/>
        <v>Valid</v>
      </c>
      <c r="AH1421" t="str">
        <f t="shared" si="289"/>
        <v>Valid</v>
      </c>
      <c r="AI1421" t="str">
        <f t="shared" si="290"/>
        <v>Valid</v>
      </c>
      <c r="AJ1421" t="str">
        <f t="shared" si="291"/>
        <v>Valid</v>
      </c>
      <c r="AK1421" t="str">
        <f t="shared" si="298"/>
        <v xml:space="preserve">Valid </v>
      </c>
      <c r="AL1421" t="str">
        <f>IF(AND(Audit_Data[[#This Row],[Recency]]&gt;=0,Audit_Data[[#This Row],[Recency]]&lt;=100),"Valid","Invalid")</f>
        <v>Valid</v>
      </c>
      <c r="AM1421" t="str">
        <f t="shared" si="292"/>
        <v>Valid</v>
      </c>
      <c r="AN1421" t="str">
        <f t="shared" si="293"/>
        <v>Valid</v>
      </c>
      <c r="AO1421" t="str">
        <f t="shared" si="294"/>
        <v>Valid</v>
      </c>
      <c r="AP1421" t="str">
        <f t="shared" si="295"/>
        <v>Valid</v>
      </c>
      <c r="AQ1421" t="str">
        <f>IF(Audit_Data[[#This Row],[Z_CostContact]]=3,"Valid","Invalid")</f>
        <v>Valid</v>
      </c>
      <c r="AR1421" t="str">
        <f t="shared" si="296"/>
        <v>Valid</v>
      </c>
      <c r="AS1421" t="str">
        <f t="shared" si="297"/>
        <v>Valid</v>
      </c>
    </row>
    <row r="1422" spans="1:45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 t="str">
        <f t="shared" si="286"/>
        <v>Ok</v>
      </c>
      <c r="AE1422" t="str">
        <f>IF(AND(Audit_Data[[#This Row],[Year_Birth]]&gt;=1900,Audit_Data[[#This Row],[Year_Birth]]&lt;=2010),"OK","Invalid")</f>
        <v>OK</v>
      </c>
      <c r="AF1422" t="str">
        <f t="shared" si="287"/>
        <v>Valid</v>
      </c>
      <c r="AG1422" t="str">
        <f t="shared" si="288"/>
        <v>Valid</v>
      </c>
      <c r="AH1422" t="str">
        <f t="shared" si="289"/>
        <v>Valid</v>
      </c>
      <c r="AI1422" t="str">
        <f t="shared" si="290"/>
        <v>Valid</v>
      </c>
      <c r="AJ1422" t="str">
        <f t="shared" si="291"/>
        <v>Valid</v>
      </c>
      <c r="AK1422" t="str">
        <f t="shared" si="298"/>
        <v xml:space="preserve">Valid </v>
      </c>
      <c r="AL1422" t="str">
        <f>IF(AND(Audit_Data[[#This Row],[Recency]]&gt;=0,Audit_Data[[#This Row],[Recency]]&lt;=100),"Valid","Invalid")</f>
        <v>Valid</v>
      </c>
      <c r="AM1422" t="str">
        <f t="shared" si="292"/>
        <v>Valid</v>
      </c>
      <c r="AN1422" t="str">
        <f t="shared" si="293"/>
        <v>Valid</v>
      </c>
      <c r="AO1422" t="str">
        <f t="shared" si="294"/>
        <v>Valid</v>
      </c>
      <c r="AP1422" t="str">
        <f t="shared" si="295"/>
        <v>Valid</v>
      </c>
      <c r="AQ1422" t="str">
        <f>IF(Audit_Data[[#This Row],[Z_CostContact]]=3,"Valid","Invalid")</f>
        <v>Valid</v>
      </c>
      <c r="AR1422" t="str">
        <f t="shared" si="296"/>
        <v>Valid</v>
      </c>
      <c r="AS1422" t="str">
        <f t="shared" si="297"/>
        <v>Valid</v>
      </c>
    </row>
    <row r="1423" spans="1:45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 t="str">
        <f t="shared" si="286"/>
        <v>Ok</v>
      </c>
      <c r="AE1423" t="str">
        <f>IF(AND(Audit_Data[[#This Row],[Year_Birth]]&gt;=1900,Audit_Data[[#This Row],[Year_Birth]]&lt;=2010),"OK","Invalid")</f>
        <v>OK</v>
      </c>
      <c r="AF1423" t="str">
        <f t="shared" si="287"/>
        <v>Valid</v>
      </c>
      <c r="AG1423" t="str">
        <f t="shared" si="288"/>
        <v>Valid</v>
      </c>
      <c r="AH1423" t="str">
        <f t="shared" si="289"/>
        <v>Valid</v>
      </c>
      <c r="AI1423" t="str">
        <f t="shared" si="290"/>
        <v>Valid</v>
      </c>
      <c r="AJ1423" t="str">
        <f t="shared" si="291"/>
        <v>Valid</v>
      </c>
      <c r="AK1423" t="str">
        <f t="shared" si="298"/>
        <v xml:space="preserve">Valid </v>
      </c>
      <c r="AL1423" t="str">
        <f>IF(AND(Audit_Data[[#This Row],[Recency]]&gt;=0,Audit_Data[[#This Row],[Recency]]&lt;=100),"Valid","Invalid")</f>
        <v>Valid</v>
      </c>
      <c r="AM1423" t="str">
        <f t="shared" si="292"/>
        <v>Valid</v>
      </c>
      <c r="AN1423" t="str">
        <f t="shared" si="293"/>
        <v>Valid</v>
      </c>
      <c r="AO1423" t="str">
        <f t="shared" si="294"/>
        <v>Valid</v>
      </c>
      <c r="AP1423" t="str">
        <f t="shared" si="295"/>
        <v>Valid</v>
      </c>
      <c r="AQ1423" t="str">
        <f>IF(Audit_Data[[#This Row],[Z_CostContact]]=3,"Valid","Invalid")</f>
        <v>Valid</v>
      </c>
      <c r="AR1423" t="str">
        <f t="shared" si="296"/>
        <v>Valid</v>
      </c>
      <c r="AS1423" t="str">
        <f t="shared" si="297"/>
        <v>Valid</v>
      </c>
    </row>
    <row r="1424" spans="1:45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 t="str">
        <f t="shared" si="286"/>
        <v>Ok</v>
      </c>
      <c r="AE1424" t="str">
        <f>IF(AND(Audit_Data[[#This Row],[Year_Birth]]&gt;=1900,Audit_Data[[#This Row],[Year_Birth]]&lt;=2010),"OK","Invalid")</f>
        <v>OK</v>
      </c>
      <c r="AF1424" t="str">
        <f t="shared" si="287"/>
        <v>Valid</v>
      </c>
      <c r="AG1424" t="str">
        <f t="shared" si="288"/>
        <v>Valid</v>
      </c>
      <c r="AH1424" t="str">
        <f t="shared" si="289"/>
        <v>Valid</v>
      </c>
      <c r="AI1424" t="str">
        <f t="shared" si="290"/>
        <v>Valid</v>
      </c>
      <c r="AJ1424" t="str">
        <f t="shared" si="291"/>
        <v>Valid</v>
      </c>
      <c r="AK1424" t="str">
        <f t="shared" si="298"/>
        <v xml:space="preserve">Valid </v>
      </c>
      <c r="AL1424" t="str">
        <f>IF(AND(Audit_Data[[#This Row],[Recency]]&gt;=0,Audit_Data[[#This Row],[Recency]]&lt;=100),"Valid","Invalid")</f>
        <v>Valid</v>
      </c>
      <c r="AM1424" t="str">
        <f t="shared" si="292"/>
        <v>Valid</v>
      </c>
      <c r="AN1424" t="str">
        <f t="shared" si="293"/>
        <v>Valid</v>
      </c>
      <c r="AO1424" t="str">
        <f t="shared" si="294"/>
        <v>Valid</v>
      </c>
      <c r="AP1424" t="str">
        <f t="shared" si="295"/>
        <v>Valid</v>
      </c>
      <c r="AQ1424" t="str">
        <f>IF(Audit_Data[[#This Row],[Z_CostContact]]=3,"Valid","Invalid")</f>
        <v>Valid</v>
      </c>
      <c r="AR1424" t="str">
        <f t="shared" si="296"/>
        <v>Valid</v>
      </c>
      <c r="AS1424" t="str">
        <f t="shared" si="297"/>
        <v>Valid</v>
      </c>
    </row>
    <row r="1425" spans="1:45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 t="str">
        <f t="shared" si="286"/>
        <v>Ok</v>
      </c>
      <c r="AE1425" t="str">
        <f>IF(AND(Audit_Data[[#This Row],[Year_Birth]]&gt;=1900,Audit_Data[[#This Row],[Year_Birth]]&lt;=2010),"OK","Invalid")</f>
        <v>OK</v>
      </c>
      <c r="AF1425" t="str">
        <f t="shared" si="287"/>
        <v>Valid</v>
      </c>
      <c r="AG1425" t="str">
        <f t="shared" si="288"/>
        <v>Valid</v>
      </c>
      <c r="AH1425" t="str">
        <f t="shared" si="289"/>
        <v>Valid</v>
      </c>
      <c r="AI1425" t="str">
        <f t="shared" si="290"/>
        <v>Valid</v>
      </c>
      <c r="AJ1425" t="str">
        <f t="shared" si="291"/>
        <v>Valid</v>
      </c>
      <c r="AK1425" t="str">
        <f t="shared" si="298"/>
        <v xml:space="preserve">Valid </v>
      </c>
      <c r="AL1425" t="str">
        <f>IF(AND(Audit_Data[[#This Row],[Recency]]&gt;=0,Audit_Data[[#This Row],[Recency]]&lt;=100),"Valid","Invalid")</f>
        <v>Valid</v>
      </c>
      <c r="AM1425" t="str">
        <f t="shared" si="292"/>
        <v>Valid</v>
      </c>
      <c r="AN1425" t="str">
        <f t="shared" si="293"/>
        <v>Valid</v>
      </c>
      <c r="AO1425" t="str">
        <f t="shared" si="294"/>
        <v>Valid</v>
      </c>
      <c r="AP1425" t="str">
        <f t="shared" si="295"/>
        <v>Valid</v>
      </c>
      <c r="AQ1425" t="str">
        <f>IF(Audit_Data[[#This Row],[Z_CostContact]]=3,"Valid","Invalid")</f>
        <v>Valid</v>
      </c>
      <c r="AR1425" t="str">
        <f t="shared" si="296"/>
        <v>Valid</v>
      </c>
      <c r="AS1425" t="str">
        <f t="shared" si="297"/>
        <v>Valid</v>
      </c>
    </row>
    <row r="1426" spans="1:45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 t="str">
        <f t="shared" si="286"/>
        <v>Ok</v>
      </c>
      <c r="AE1426" t="str">
        <f>IF(AND(Audit_Data[[#This Row],[Year_Birth]]&gt;=1900,Audit_Data[[#This Row],[Year_Birth]]&lt;=2010),"OK","Invalid")</f>
        <v>OK</v>
      </c>
      <c r="AF1426" t="str">
        <f t="shared" si="287"/>
        <v>Valid</v>
      </c>
      <c r="AG1426" t="str">
        <f t="shared" si="288"/>
        <v>Valid</v>
      </c>
      <c r="AH1426" t="str">
        <f t="shared" si="289"/>
        <v>Valid</v>
      </c>
      <c r="AI1426" t="str">
        <f t="shared" si="290"/>
        <v>Valid</v>
      </c>
      <c r="AJ1426" t="str">
        <f t="shared" si="291"/>
        <v>Valid</v>
      </c>
      <c r="AK1426" t="str">
        <f t="shared" si="298"/>
        <v xml:space="preserve">Valid </v>
      </c>
      <c r="AL1426" t="str">
        <f>IF(AND(Audit_Data[[#This Row],[Recency]]&gt;=0,Audit_Data[[#This Row],[Recency]]&lt;=100),"Valid","Invalid")</f>
        <v>Valid</v>
      </c>
      <c r="AM1426" t="str">
        <f t="shared" si="292"/>
        <v>Valid</v>
      </c>
      <c r="AN1426" t="str">
        <f t="shared" si="293"/>
        <v>Valid</v>
      </c>
      <c r="AO1426" t="str">
        <f t="shared" si="294"/>
        <v>Valid</v>
      </c>
      <c r="AP1426" t="str">
        <f t="shared" si="295"/>
        <v>Valid</v>
      </c>
      <c r="AQ1426" t="str">
        <f>IF(Audit_Data[[#This Row],[Z_CostContact]]=3,"Valid","Invalid")</f>
        <v>Valid</v>
      </c>
      <c r="AR1426" t="str">
        <f t="shared" si="296"/>
        <v>Valid</v>
      </c>
      <c r="AS1426" t="str">
        <f t="shared" si="297"/>
        <v>Valid</v>
      </c>
    </row>
    <row r="1427" spans="1:45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 t="str">
        <f t="shared" si="286"/>
        <v>Ok</v>
      </c>
      <c r="AE1427" t="str">
        <f>IF(AND(Audit_Data[[#This Row],[Year_Birth]]&gt;=1900,Audit_Data[[#This Row],[Year_Birth]]&lt;=2010),"OK","Invalid")</f>
        <v>OK</v>
      </c>
      <c r="AF1427" t="str">
        <f t="shared" si="287"/>
        <v>Valid</v>
      </c>
      <c r="AG1427" t="str">
        <f t="shared" si="288"/>
        <v>Valid</v>
      </c>
      <c r="AH1427" t="str">
        <f t="shared" si="289"/>
        <v>Valid</v>
      </c>
      <c r="AI1427" t="str">
        <f t="shared" si="290"/>
        <v>Valid</v>
      </c>
      <c r="AJ1427" t="str">
        <f t="shared" si="291"/>
        <v>Valid</v>
      </c>
      <c r="AK1427" t="str">
        <f t="shared" si="298"/>
        <v xml:space="preserve">Valid </v>
      </c>
      <c r="AL1427" t="str">
        <f>IF(AND(Audit_Data[[#This Row],[Recency]]&gt;=0,Audit_Data[[#This Row],[Recency]]&lt;=100),"Valid","Invalid")</f>
        <v>Valid</v>
      </c>
      <c r="AM1427" t="str">
        <f t="shared" si="292"/>
        <v>Valid</v>
      </c>
      <c r="AN1427" t="str">
        <f t="shared" si="293"/>
        <v>Valid</v>
      </c>
      <c r="AO1427" t="str">
        <f t="shared" si="294"/>
        <v>Valid</v>
      </c>
      <c r="AP1427" t="str">
        <f t="shared" si="295"/>
        <v>Valid</v>
      </c>
      <c r="AQ1427" t="str">
        <f>IF(Audit_Data[[#This Row],[Z_CostContact]]=3,"Valid","Invalid")</f>
        <v>Valid</v>
      </c>
      <c r="AR1427" t="str">
        <f t="shared" si="296"/>
        <v>Valid</v>
      </c>
      <c r="AS1427" t="str">
        <f t="shared" si="297"/>
        <v>Valid</v>
      </c>
    </row>
    <row r="1428" spans="1:45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 t="str">
        <f t="shared" si="286"/>
        <v>Ok</v>
      </c>
      <c r="AE1428" t="str">
        <f>IF(AND(Audit_Data[[#This Row],[Year_Birth]]&gt;=1900,Audit_Data[[#This Row],[Year_Birth]]&lt;=2010),"OK","Invalid")</f>
        <v>OK</v>
      </c>
      <c r="AF1428" t="str">
        <f t="shared" si="287"/>
        <v>Valid</v>
      </c>
      <c r="AG1428" t="str">
        <f t="shared" si="288"/>
        <v>Valid</v>
      </c>
      <c r="AH1428" t="str">
        <f t="shared" si="289"/>
        <v>Valid</v>
      </c>
      <c r="AI1428" t="str">
        <f t="shared" si="290"/>
        <v>Valid</v>
      </c>
      <c r="AJ1428" t="str">
        <f t="shared" si="291"/>
        <v>Valid</v>
      </c>
      <c r="AK1428" t="str">
        <f t="shared" si="298"/>
        <v xml:space="preserve">Valid </v>
      </c>
      <c r="AL1428" t="str">
        <f>IF(AND(Audit_Data[[#This Row],[Recency]]&gt;=0,Audit_Data[[#This Row],[Recency]]&lt;=100),"Valid","Invalid")</f>
        <v>Valid</v>
      </c>
      <c r="AM1428" t="str">
        <f t="shared" si="292"/>
        <v>Valid</v>
      </c>
      <c r="AN1428" t="str">
        <f t="shared" si="293"/>
        <v>Valid</v>
      </c>
      <c r="AO1428" t="str">
        <f t="shared" si="294"/>
        <v>Valid</v>
      </c>
      <c r="AP1428" t="str">
        <f t="shared" si="295"/>
        <v>Valid</v>
      </c>
      <c r="AQ1428" t="str">
        <f>IF(Audit_Data[[#This Row],[Z_CostContact]]=3,"Valid","Invalid")</f>
        <v>Valid</v>
      </c>
      <c r="AR1428" t="str">
        <f t="shared" si="296"/>
        <v>Valid</v>
      </c>
      <c r="AS1428" t="str">
        <f t="shared" si="297"/>
        <v>Valid</v>
      </c>
    </row>
    <row r="1429" spans="1:45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 t="str">
        <f t="shared" si="286"/>
        <v>Ok</v>
      </c>
      <c r="AE1429" t="str">
        <f>IF(AND(Audit_Data[[#This Row],[Year_Birth]]&gt;=1900,Audit_Data[[#This Row],[Year_Birth]]&lt;=2010),"OK","Invalid")</f>
        <v>OK</v>
      </c>
      <c r="AF1429" t="str">
        <f t="shared" si="287"/>
        <v>Valid</v>
      </c>
      <c r="AG1429" t="str">
        <f t="shared" si="288"/>
        <v>Valid</v>
      </c>
      <c r="AH1429" t="str">
        <f t="shared" si="289"/>
        <v>Valid</v>
      </c>
      <c r="AI1429" t="str">
        <f t="shared" si="290"/>
        <v>Valid</v>
      </c>
      <c r="AJ1429" t="str">
        <f t="shared" si="291"/>
        <v>Valid</v>
      </c>
      <c r="AK1429" t="str">
        <f t="shared" si="298"/>
        <v xml:space="preserve">Valid </v>
      </c>
      <c r="AL1429" t="str">
        <f>IF(AND(Audit_Data[[#This Row],[Recency]]&gt;=0,Audit_Data[[#This Row],[Recency]]&lt;=100),"Valid","Invalid")</f>
        <v>Valid</v>
      </c>
      <c r="AM1429" t="str">
        <f t="shared" si="292"/>
        <v>Valid</v>
      </c>
      <c r="AN1429" t="str">
        <f t="shared" si="293"/>
        <v>Valid</v>
      </c>
      <c r="AO1429" t="str">
        <f t="shared" si="294"/>
        <v>Valid</v>
      </c>
      <c r="AP1429" t="str">
        <f t="shared" si="295"/>
        <v>Valid</v>
      </c>
      <c r="AQ1429" t="str">
        <f>IF(Audit_Data[[#This Row],[Z_CostContact]]=3,"Valid","Invalid")</f>
        <v>Valid</v>
      </c>
      <c r="AR1429" t="str">
        <f t="shared" si="296"/>
        <v>Valid</v>
      </c>
      <c r="AS1429" t="str">
        <f t="shared" si="297"/>
        <v>Valid</v>
      </c>
    </row>
    <row r="1430" spans="1:45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 t="str">
        <f t="shared" si="286"/>
        <v>Ok</v>
      </c>
      <c r="AE1430" t="str">
        <f>IF(AND(Audit_Data[[#This Row],[Year_Birth]]&gt;=1900,Audit_Data[[#This Row],[Year_Birth]]&lt;=2010),"OK","Invalid")</f>
        <v>OK</v>
      </c>
      <c r="AF1430" t="str">
        <f t="shared" si="287"/>
        <v>Valid</v>
      </c>
      <c r="AG1430" t="str">
        <f t="shared" si="288"/>
        <v>Valid</v>
      </c>
      <c r="AH1430" t="str">
        <f t="shared" si="289"/>
        <v>Valid</v>
      </c>
      <c r="AI1430" t="str">
        <f t="shared" si="290"/>
        <v>Valid</v>
      </c>
      <c r="AJ1430" t="str">
        <f t="shared" si="291"/>
        <v>Valid</v>
      </c>
      <c r="AK1430" t="str">
        <f t="shared" si="298"/>
        <v xml:space="preserve">Valid </v>
      </c>
      <c r="AL1430" t="str">
        <f>IF(AND(Audit_Data[[#This Row],[Recency]]&gt;=0,Audit_Data[[#This Row],[Recency]]&lt;=100),"Valid","Invalid")</f>
        <v>Valid</v>
      </c>
      <c r="AM1430" t="str">
        <f t="shared" si="292"/>
        <v>Valid</v>
      </c>
      <c r="AN1430" t="str">
        <f t="shared" si="293"/>
        <v>Valid</v>
      </c>
      <c r="AO1430" t="str">
        <f t="shared" si="294"/>
        <v>Valid</v>
      </c>
      <c r="AP1430" t="str">
        <f t="shared" si="295"/>
        <v>Valid</v>
      </c>
      <c r="AQ1430" t="str">
        <f>IF(Audit_Data[[#This Row],[Z_CostContact]]=3,"Valid","Invalid")</f>
        <v>Valid</v>
      </c>
      <c r="AR1430" t="str">
        <f t="shared" si="296"/>
        <v>Valid</v>
      </c>
      <c r="AS1430" t="str">
        <f t="shared" si="297"/>
        <v>Valid</v>
      </c>
    </row>
    <row r="1431" spans="1:45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 t="str">
        <f t="shared" si="286"/>
        <v>Ok</v>
      </c>
      <c r="AE1431" t="str">
        <f>IF(AND(Audit_Data[[#This Row],[Year_Birth]]&gt;=1900,Audit_Data[[#This Row],[Year_Birth]]&lt;=2010),"OK","Invalid")</f>
        <v>OK</v>
      </c>
      <c r="AF1431" t="str">
        <f t="shared" si="287"/>
        <v>Valid</v>
      </c>
      <c r="AG1431" t="str">
        <f t="shared" si="288"/>
        <v>Valid</v>
      </c>
      <c r="AH1431" t="str">
        <f t="shared" si="289"/>
        <v>Valid</v>
      </c>
      <c r="AI1431" t="str">
        <f t="shared" si="290"/>
        <v>Valid</v>
      </c>
      <c r="AJ1431" t="str">
        <f t="shared" si="291"/>
        <v>Valid</v>
      </c>
      <c r="AK1431" t="str">
        <f t="shared" si="298"/>
        <v xml:space="preserve">Valid </v>
      </c>
      <c r="AL1431" t="str">
        <f>IF(AND(Audit_Data[[#This Row],[Recency]]&gt;=0,Audit_Data[[#This Row],[Recency]]&lt;=100),"Valid","Invalid")</f>
        <v>Valid</v>
      </c>
      <c r="AM1431" t="str">
        <f t="shared" si="292"/>
        <v>Valid</v>
      </c>
      <c r="AN1431" t="str">
        <f t="shared" si="293"/>
        <v>Valid</v>
      </c>
      <c r="AO1431" t="str">
        <f t="shared" si="294"/>
        <v>Valid</v>
      </c>
      <c r="AP1431" t="str">
        <f t="shared" si="295"/>
        <v>Valid</v>
      </c>
      <c r="AQ1431" t="str">
        <f>IF(Audit_Data[[#This Row],[Z_CostContact]]=3,"Valid","Invalid")</f>
        <v>Valid</v>
      </c>
      <c r="AR1431" t="str">
        <f t="shared" si="296"/>
        <v>Valid</v>
      </c>
      <c r="AS1431" t="str">
        <f t="shared" si="297"/>
        <v>Valid</v>
      </c>
    </row>
    <row r="1432" spans="1:45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 t="str">
        <f t="shared" si="286"/>
        <v>Ok</v>
      </c>
      <c r="AE1432" t="str">
        <f>IF(AND(Audit_Data[[#This Row],[Year_Birth]]&gt;=1900,Audit_Data[[#This Row],[Year_Birth]]&lt;=2010),"OK","Invalid")</f>
        <v>OK</v>
      </c>
      <c r="AF1432" t="str">
        <f t="shared" si="287"/>
        <v>Valid</v>
      </c>
      <c r="AG1432" t="str">
        <f t="shared" si="288"/>
        <v>Valid</v>
      </c>
      <c r="AH1432" t="str">
        <f t="shared" si="289"/>
        <v>Valid</v>
      </c>
      <c r="AI1432" t="str">
        <f t="shared" si="290"/>
        <v>Valid</v>
      </c>
      <c r="AJ1432" t="str">
        <f t="shared" si="291"/>
        <v>Valid</v>
      </c>
      <c r="AK1432" t="str">
        <f t="shared" si="298"/>
        <v xml:space="preserve">Valid </v>
      </c>
      <c r="AL1432" t="str">
        <f>IF(AND(Audit_Data[[#This Row],[Recency]]&gt;=0,Audit_Data[[#This Row],[Recency]]&lt;=100),"Valid","Invalid")</f>
        <v>Valid</v>
      </c>
      <c r="AM1432" t="str">
        <f t="shared" si="292"/>
        <v>Valid</v>
      </c>
      <c r="AN1432" t="str">
        <f t="shared" si="293"/>
        <v>Valid</v>
      </c>
      <c r="AO1432" t="str">
        <f t="shared" si="294"/>
        <v>Valid</v>
      </c>
      <c r="AP1432" t="str">
        <f t="shared" si="295"/>
        <v>Valid</v>
      </c>
      <c r="AQ1432" t="str">
        <f>IF(Audit_Data[[#This Row],[Z_CostContact]]=3,"Valid","Invalid")</f>
        <v>Valid</v>
      </c>
      <c r="AR1432" t="str">
        <f t="shared" si="296"/>
        <v>Valid</v>
      </c>
      <c r="AS1432" t="str">
        <f t="shared" si="297"/>
        <v>Valid</v>
      </c>
    </row>
    <row r="1433" spans="1:45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 t="str">
        <f t="shared" si="286"/>
        <v>Ok</v>
      </c>
      <c r="AE1433" t="str">
        <f>IF(AND(Audit_Data[[#This Row],[Year_Birth]]&gt;=1900,Audit_Data[[#This Row],[Year_Birth]]&lt;=2010),"OK","Invalid")</f>
        <v>OK</v>
      </c>
      <c r="AF1433" t="str">
        <f t="shared" si="287"/>
        <v>Valid</v>
      </c>
      <c r="AG1433" t="str">
        <f t="shared" si="288"/>
        <v>Valid</v>
      </c>
      <c r="AH1433" t="str">
        <f t="shared" si="289"/>
        <v>Valid</v>
      </c>
      <c r="AI1433" t="str">
        <f t="shared" si="290"/>
        <v>Valid</v>
      </c>
      <c r="AJ1433" t="str">
        <f t="shared" si="291"/>
        <v>Valid</v>
      </c>
      <c r="AK1433" t="str">
        <f t="shared" si="298"/>
        <v xml:space="preserve">Valid </v>
      </c>
      <c r="AL1433" t="str">
        <f>IF(AND(Audit_Data[[#This Row],[Recency]]&gt;=0,Audit_Data[[#This Row],[Recency]]&lt;=100),"Valid","Invalid")</f>
        <v>Valid</v>
      </c>
      <c r="AM1433" t="str">
        <f t="shared" si="292"/>
        <v>Valid</v>
      </c>
      <c r="AN1433" t="str">
        <f t="shared" si="293"/>
        <v>Valid</v>
      </c>
      <c r="AO1433" t="str">
        <f t="shared" si="294"/>
        <v>Valid</v>
      </c>
      <c r="AP1433" t="str">
        <f t="shared" si="295"/>
        <v>Valid</v>
      </c>
      <c r="AQ1433" t="str">
        <f>IF(Audit_Data[[#This Row],[Z_CostContact]]=3,"Valid","Invalid")</f>
        <v>Valid</v>
      </c>
      <c r="AR1433" t="str">
        <f t="shared" si="296"/>
        <v>Valid</v>
      </c>
      <c r="AS1433" t="str">
        <f t="shared" si="297"/>
        <v>Valid</v>
      </c>
    </row>
    <row r="1434" spans="1:45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 t="str">
        <f t="shared" si="286"/>
        <v>Ok</v>
      </c>
      <c r="AE1434" t="str">
        <f>IF(AND(Audit_Data[[#This Row],[Year_Birth]]&gt;=1900,Audit_Data[[#This Row],[Year_Birth]]&lt;=2010),"OK","Invalid")</f>
        <v>OK</v>
      </c>
      <c r="AF1434" t="str">
        <f t="shared" si="287"/>
        <v>Valid</v>
      </c>
      <c r="AG1434" t="str">
        <f t="shared" si="288"/>
        <v>Valid</v>
      </c>
      <c r="AH1434" t="str">
        <f t="shared" si="289"/>
        <v>Valid</v>
      </c>
      <c r="AI1434" t="str">
        <f t="shared" si="290"/>
        <v>Valid</v>
      </c>
      <c r="AJ1434" t="str">
        <f t="shared" si="291"/>
        <v>Valid</v>
      </c>
      <c r="AK1434" t="str">
        <f t="shared" si="298"/>
        <v xml:space="preserve">Valid </v>
      </c>
      <c r="AL1434" t="str">
        <f>IF(AND(Audit_Data[[#This Row],[Recency]]&gt;=0,Audit_Data[[#This Row],[Recency]]&lt;=100),"Valid","Invalid")</f>
        <v>Valid</v>
      </c>
      <c r="AM1434" t="str">
        <f t="shared" si="292"/>
        <v>Valid</v>
      </c>
      <c r="AN1434" t="str">
        <f t="shared" si="293"/>
        <v>Valid</v>
      </c>
      <c r="AO1434" t="str">
        <f t="shared" si="294"/>
        <v>Valid</v>
      </c>
      <c r="AP1434" t="str">
        <f t="shared" si="295"/>
        <v>Valid</v>
      </c>
      <c r="AQ1434" t="str">
        <f>IF(Audit_Data[[#This Row],[Z_CostContact]]=3,"Valid","Invalid")</f>
        <v>Valid</v>
      </c>
      <c r="AR1434" t="str">
        <f t="shared" si="296"/>
        <v>Valid</v>
      </c>
      <c r="AS1434" t="str">
        <f t="shared" si="297"/>
        <v>Valid</v>
      </c>
    </row>
    <row r="1435" spans="1:45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 t="str">
        <f t="shared" si="286"/>
        <v>Ok</v>
      </c>
      <c r="AE1435" t="str">
        <f>IF(AND(Audit_Data[[#This Row],[Year_Birth]]&gt;=1900,Audit_Data[[#This Row],[Year_Birth]]&lt;=2010),"OK","Invalid")</f>
        <v>OK</v>
      </c>
      <c r="AF1435" t="str">
        <f t="shared" si="287"/>
        <v>Valid</v>
      </c>
      <c r="AG1435" t="str">
        <f t="shared" si="288"/>
        <v>Valid</v>
      </c>
      <c r="AH1435" t="str">
        <f t="shared" si="289"/>
        <v>Valid</v>
      </c>
      <c r="AI1435" t="str">
        <f t="shared" si="290"/>
        <v>Valid</v>
      </c>
      <c r="AJ1435" t="str">
        <f t="shared" si="291"/>
        <v>Valid</v>
      </c>
      <c r="AK1435" t="str">
        <f t="shared" si="298"/>
        <v xml:space="preserve">Valid </v>
      </c>
      <c r="AL1435" t="str">
        <f>IF(AND(Audit_Data[[#This Row],[Recency]]&gt;=0,Audit_Data[[#This Row],[Recency]]&lt;=100),"Valid","Invalid")</f>
        <v>Valid</v>
      </c>
      <c r="AM1435" t="str">
        <f t="shared" si="292"/>
        <v>Valid</v>
      </c>
      <c r="AN1435" t="str">
        <f t="shared" si="293"/>
        <v>Valid</v>
      </c>
      <c r="AO1435" t="str">
        <f t="shared" si="294"/>
        <v>Valid</v>
      </c>
      <c r="AP1435" t="str">
        <f t="shared" si="295"/>
        <v>Valid</v>
      </c>
      <c r="AQ1435" t="str">
        <f>IF(Audit_Data[[#This Row],[Z_CostContact]]=3,"Valid","Invalid")</f>
        <v>Valid</v>
      </c>
      <c r="AR1435" t="str">
        <f t="shared" si="296"/>
        <v>Valid</v>
      </c>
      <c r="AS1435" t="str">
        <f t="shared" si="297"/>
        <v>Valid</v>
      </c>
    </row>
    <row r="1436" spans="1:45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 t="str">
        <f t="shared" si="286"/>
        <v>Ok</v>
      </c>
      <c r="AE1436" t="str">
        <f>IF(AND(Audit_Data[[#This Row],[Year_Birth]]&gt;=1900,Audit_Data[[#This Row],[Year_Birth]]&lt;=2010),"OK","Invalid")</f>
        <v>OK</v>
      </c>
      <c r="AF1436" t="str">
        <f t="shared" si="287"/>
        <v>Valid</v>
      </c>
      <c r="AG1436" t="str">
        <f t="shared" si="288"/>
        <v>Valid</v>
      </c>
      <c r="AH1436" t="str">
        <f t="shared" si="289"/>
        <v>Valid</v>
      </c>
      <c r="AI1436" t="str">
        <f t="shared" si="290"/>
        <v>Valid</v>
      </c>
      <c r="AJ1436" t="str">
        <f t="shared" si="291"/>
        <v>Valid</v>
      </c>
      <c r="AK1436" t="str">
        <f t="shared" si="298"/>
        <v xml:space="preserve">Valid </v>
      </c>
      <c r="AL1436" t="str">
        <f>IF(AND(Audit_Data[[#This Row],[Recency]]&gt;=0,Audit_Data[[#This Row],[Recency]]&lt;=100),"Valid","Invalid")</f>
        <v>Valid</v>
      </c>
      <c r="AM1436" t="str">
        <f t="shared" si="292"/>
        <v>Valid</v>
      </c>
      <c r="AN1436" t="str">
        <f t="shared" si="293"/>
        <v>Valid</v>
      </c>
      <c r="AO1436" t="str">
        <f t="shared" si="294"/>
        <v>Valid</v>
      </c>
      <c r="AP1436" t="str">
        <f t="shared" si="295"/>
        <v>Valid</v>
      </c>
      <c r="AQ1436" t="str">
        <f>IF(Audit_Data[[#This Row],[Z_CostContact]]=3,"Valid","Invalid")</f>
        <v>Valid</v>
      </c>
      <c r="AR1436" t="str">
        <f t="shared" si="296"/>
        <v>Valid</v>
      </c>
      <c r="AS1436" t="str">
        <f t="shared" si="297"/>
        <v>Valid</v>
      </c>
    </row>
    <row r="1437" spans="1:45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 t="str">
        <f t="shared" si="286"/>
        <v>Ok</v>
      </c>
      <c r="AE1437" t="str">
        <f>IF(AND(Audit_Data[[#This Row],[Year_Birth]]&gt;=1900,Audit_Data[[#This Row],[Year_Birth]]&lt;=2010),"OK","Invalid")</f>
        <v>OK</v>
      </c>
      <c r="AF1437" t="str">
        <f t="shared" si="287"/>
        <v>Valid</v>
      </c>
      <c r="AG1437" t="str">
        <f t="shared" si="288"/>
        <v>Valid</v>
      </c>
      <c r="AH1437" t="str">
        <f t="shared" si="289"/>
        <v>Valid</v>
      </c>
      <c r="AI1437" t="str">
        <f t="shared" si="290"/>
        <v>Valid</v>
      </c>
      <c r="AJ1437" t="str">
        <f t="shared" si="291"/>
        <v>Valid</v>
      </c>
      <c r="AK1437" t="str">
        <f t="shared" si="298"/>
        <v xml:space="preserve">Valid </v>
      </c>
      <c r="AL1437" t="str">
        <f>IF(AND(Audit_Data[[#This Row],[Recency]]&gt;=0,Audit_Data[[#This Row],[Recency]]&lt;=100),"Valid","Invalid")</f>
        <v>Valid</v>
      </c>
      <c r="AM1437" t="str">
        <f t="shared" si="292"/>
        <v>Valid</v>
      </c>
      <c r="AN1437" t="str">
        <f t="shared" si="293"/>
        <v>Valid</v>
      </c>
      <c r="AO1437" t="str">
        <f t="shared" si="294"/>
        <v>Valid</v>
      </c>
      <c r="AP1437" t="str">
        <f t="shared" si="295"/>
        <v>Valid</v>
      </c>
      <c r="AQ1437" t="str">
        <f>IF(Audit_Data[[#This Row],[Z_CostContact]]=3,"Valid","Invalid")</f>
        <v>Valid</v>
      </c>
      <c r="AR1437" t="str">
        <f t="shared" si="296"/>
        <v>Valid</v>
      </c>
      <c r="AS1437" t="str">
        <f t="shared" si="297"/>
        <v>Valid</v>
      </c>
    </row>
    <row r="1438" spans="1:45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 t="str">
        <f t="shared" si="286"/>
        <v>Ok</v>
      </c>
      <c r="AE1438" t="str">
        <f>IF(AND(Audit_Data[[#This Row],[Year_Birth]]&gt;=1900,Audit_Data[[#This Row],[Year_Birth]]&lt;=2010),"OK","Invalid")</f>
        <v>OK</v>
      </c>
      <c r="AF1438" t="str">
        <f t="shared" si="287"/>
        <v>Valid</v>
      </c>
      <c r="AG1438" t="str">
        <f t="shared" si="288"/>
        <v>Valid</v>
      </c>
      <c r="AH1438" t="str">
        <f t="shared" si="289"/>
        <v>Valid</v>
      </c>
      <c r="AI1438" t="str">
        <f t="shared" si="290"/>
        <v>Valid</v>
      </c>
      <c r="AJ1438" t="str">
        <f t="shared" si="291"/>
        <v>Valid</v>
      </c>
      <c r="AK1438" t="str">
        <f t="shared" si="298"/>
        <v xml:space="preserve">Valid </v>
      </c>
      <c r="AL1438" t="str">
        <f>IF(AND(Audit_Data[[#This Row],[Recency]]&gt;=0,Audit_Data[[#This Row],[Recency]]&lt;=100),"Valid","Invalid")</f>
        <v>Valid</v>
      </c>
      <c r="AM1438" t="str">
        <f t="shared" si="292"/>
        <v>Valid</v>
      </c>
      <c r="AN1438" t="str">
        <f t="shared" si="293"/>
        <v>Valid</v>
      </c>
      <c r="AO1438" t="str">
        <f t="shared" si="294"/>
        <v>Valid</v>
      </c>
      <c r="AP1438" t="str">
        <f t="shared" si="295"/>
        <v>Valid</v>
      </c>
      <c r="AQ1438" t="str">
        <f>IF(Audit_Data[[#This Row],[Z_CostContact]]=3,"Valid","Invalid")</f>
        <v>Valid</v>
      </c>
      <c r="AR1438" t="str">
        <f t="shared" si="296"/>
        <v>Valid</v>
      </c>
      <c r="AS1438" t="str">
        <f t="shared" si="297"/>
        <v>Valid</v>
      </c>
    </row>
    <row r="1439" spans="1:45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 t="str">
        <f t="shared" si="286"/>
        <v>Ok</v>
      </c>
      <c r="AE1439" t="str">
        <f>IF(AND(Audit_Data[[#This Row],[Year_Birth]]&gt;=1900,Audit_Data[[#This Row],[Year_Birth]]&lt;=2010),"OK","Invalid")</f>
        <v>OK</v>
      </c>
      <c r="AF1439" t="str">
        <f t="shared" si="287"/>
        <v>Valid</v>
      </c>
      <c r="AG1439" t="str">
        <f t="shared" si="288"/>
        <v>Valid</v>
      </c>
      <c r="AH1439" t="str">
        <f t="shared" si="289"/>
        <v>Valid</v>
      </c>
      <c r="AI1439" t="str">
        <f t="shared" si="290"/>
        <v>Valid</v>
      </c>
      <c r="AJ1439" t="str">
        <f t="shared" si="291"/>
        <v>Valid</v>
      </c>
      <c r="AK1439" t="str">
        <f t="shared" si="298"/>
        <v xml:space="preserve">Valid </v>
      </c>
      <c r="AL1439" t="str">
        <f>IF(AND(Audit_Data[[#This Row],[Recency]]&gt;=0,Audit_Data[[#This Row],[Recency]]&lt;=100),"Valid","Invalid")</f>
        <v>Valid</v>
      </c>
      <c r="AM1439" t="str">
        <f t="shared" si="292"/>
        <v>Valid</v>
      </c>
      <c r="AN1439" t="str">
        <f t="shared" si="293"/>
        <v>Valid</v>
      </c>
      <c r="AO1439" t="str">
        <f t="shared" si="294"/>
        <v>Valid</v>
      </c>
      <c r="AP1439" t="str">
        <f t="shared" si="295"/>
        <v>Valid</v>
      </c>
      <c r="AQ1439" t="str">
        <f>IF(Audit_Data[[#This Row],[Z_CostContact]]=3,"Valid","Invalid")</f>
        <v>Valid</v>
      </c>
      <c r="AR1439" t="str">
        <f t="shared" si="296"/>
        <v>Valid</v>
      </c>
      <c r="AS1439" t="str">
        <f t="shared" si="297"/>
        <v>Valid</v>
      </c>
    </row>
    <row r="1440" spans="1:45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 t="str">
        <f t="shared" si="286"/>
        <v>Ok</v>
      </c>
      <c r="AE1440" t="str">
        <f>IF(AND(Audit_Data[[#This Row],[Year_Birth]]&gt;=1900,Audit_Data[[#This Row],[Year_Birth]]&lt;=2010),"OK","Invalid")</f>
        <v>OK</v>
      </c>
      <c r="AF1440" t="str">
        <f t="shared" si="287"/>
        <v>Valid</v>
      </c>
      <c r="AG1440" t="str">
        <f t="shared" si="288"/>
        <v>Valid</v>
      </c>
      <c r="AH1440" t="str">
        <f t="shared" si="289"/>
        <v>Valid</v>
      </c>
      <c r="AI1440" t="str">
        <f t="shared" si="290"/>
        <v>Valid</v>
      </c>
      <c r="AJ1440" t="str">
        <f t="shared" si="291"/>
        <v>Valid</v>
      </c>
      <c r="AK1440" t="str">
        <f t="shared" si="298"/>
        <v xml:space="preserve">Valid </v>
      </c>
      <c r="AL1440" t="str">
        <f>IF(AND(Audit_Data[[#This Row],[Recency]]&gt;=0,Audit_Data[[#This Row],[Recency]]&lt;=100),"Valid","Invalid")</f>
        <v>Valid</v>
      </c>
      <c r="AM1440" t="str">
        <f t="shared" si="292"/>
        <v>Valid</v>
      </c>
      <c r="AN1440" t="str">
        <f t="shared" si="293"/>
        <v>Valid</v>
      </c>
      <c r="AO1440" t="str">
        <f t="shared" si="294"/>
        <v>Valid</v>
      </c>
      <c r="AP1440" t="str">
        <f t="shared" si="295"/>
        <v>Valid</v>
      </c>
      <c r="AQ1440" t="str">
        <f>IF(Audit_Data[[#This Row],[Z_CostContact]]=3,"Valid","Invalid")</f>
        <v>Valid</v>
      </c>
      <c r="AR1440" t="str">
        <f t="shared" si="296"/>
        <v>Valid</v>
      </c>
      <c r="AS1440" t="str">
        <f t="shared" si="297"/>
        <v>Valid</v>
      </c>
    </row>
    <row r="1441" spans="1:45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 t="str">
        <f t="shared" si="286"/>
        <v>Ok</v>
      </c>
      <c r="AE1441" t="str">
        <f>IF(AND(Audit_Data[[#This Row],[Year_Birth]]&gt;=1900,Audit_Data[[#This Row],[Year_Birth]]&lt;=2010),"OK","Invalid")</f>
        <v>OK</v>
      </c>
      <c r="AF1441" t="str">
        <f t="shared" si="287"/>
        <v>Valid</v>
      </c>
      <c r="AG1441" t="str">
        <f t="shared" si="288"/>
        <v>Valid</v>
      </c>
      <c r="AH1441" t="str">
        <f t="shared" si="289"/>
        <v>Valid</v>
      </c>
      <c r="AI1441" t="str">
        <f t="shared" si="290"/>
        <v>Valid</v>
      </c>
      <c r="AJ1441" t="str">
        <f t="shared" si="291"/>
        <v>Valid</v>
      </c>
      <c r="AK1441" t="str">
        <f t="shared" si="298"/>
        <v xml:space="preserve">Valid </v>
      </c>
      <c r="AL1441" t="str">
        <f>IF(AND(Audit_Data[[#This Row],[Recency]]&gt;=0,Audit_Data[[#This Row],[Recency]]&lt;=100),"Valid","Invalid")</f>
        <v>Valid</v>
      </c>
      <c r="AM1441" t="str">
        <f t="shared" si="292"/>
        <v>Valid</v>
      </c>
      <c r="AN1441" t="str">
        <f t="shared" si="293"/>
        <v>Valid</v>
      </c>
      <c r="AO1441" t="str">
        <f t="shared" si="294"/>
        <v>Valid</v>
      </c>
      <c r="AP1441" t="str">
        <f t="shared" si="295"/>
        <v>Valid</v>
      </c>
      <c r="AQ1441" t="str">
        <f>IF(Audit_Data[[#This Row],[Z_CostContact]]=3,"Valid","Invalid")</f>
        <v>Valid</v>
      </c>
      <c r="AR1441" t="str">
        <f t="shared" si="296"/>
        <v>Valid</v>
      </c>
      <c r="AS1441" t="str">
        <f t="shared" si="297"/>
        <v>Valid</v>
      </c>
    </row>
    <row r="1442" spans="1:45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 t="str">
        <f t="shared" si="286"/>
        <v>Ok</v>
      </c>
      <c r="AE1442" t="str">
        <f>IF(AND(Audit_Data[[#This Row],[Year_Birth]]&gt;=1900,Audit_Data[[#This Row],[Year_Birth]]&lt;=2010),"OK","Invalid")</f>
        <v>OK</v>
      </c>
      <c r="AF1442" t="str">
        <f t="shared" si="287"/>
        <v>Valid</v>
      </c>
      <c r="AG1442" t="str">
        <f t="shared" si="288"/>
        <v>Valid</v>
      </c>
      <c r="AH1442" t="str">
        <f t="shared" si="289"/>
        <v>Valid</v>
      </c>
      <c r="AI1442" t="str">
        <f t="shared" si="290"/>
        <v>Valid</v>
      </c>
      <c r="AJ1442" t="str">
        <f t="shared" si="291"/>
        <v>Valid</v>
      </c>
      <c r="AK1442" t="str">
        <f t="shared" si="298"/>
        <v xml:space="preserve">Valid </v>
      </c>
      <c r="AL1442" t="str">
        <f>IF(AND(Audit_Data[[#This Row],[Recency]]&gt;=0,Audit_Data[[#This Row],[Recency]]&lt;=100),"Valid","Invalid")</f>
        <v>Valid</v>
      </c>
      <c r="AM1442" t="str">
        <f t="shared" si="292"/>
        <v>Valid</v>
      </c>
      <c r="AN1442" t="str">
        <f t="shared" si="293"/>
        <v>Valid</v>
      </c>
      <c r="AO1442" t="str">
        <f t="shared" si="294"/>
        <v>Valid</v>
      </c>
      <c r="AP1442" t="str">
        <f t="shared" si="295"/>
        <v>Valid</v>
      </c>
      <c r="AQ1442" t="str">
        <f>IF(Audit_Data[[#This Row],[Z_CostContact]]=3,"Valid","Invalid")</f>
        <v>Valid</v>
      </c>
      <c r="AR1442" t="str">
        <f t="shared" si="296"/>
        <v>Valid</v>
      </c>
      <c r="AS1442" t="str">
        <f t="shared" si="297"/>
        <v>Valid</v>
      </c>
    </row>
    <row r="1443" spans="1:45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 t="str">
        <f t="shared" si="286"/>
        <v>Ok</v>
      </c>
      <c r="AE1443" t="str">
        <f>IF(AND(Audit_Data[[#This Row],[Year_Birth]]&gt;=1900,Audit_Data[[#This Row],[Year_Birth]]&lt;=2010),"OK","Invalid")</f>
        <v>OK</v>
      </c>
      <c r="AF1443" t="str">
        <f t="shared" si="287"/>
        <v>Valid</v>
      </c>
      <c r="AG1443" t="str">
        <f t="shared" si="288"/>
        <v>Valid</v>
      </c>
      <c r="AH1443" t="str">
        <f t="shared" si="289"/>
        <v>Valid</v>
      </c>
      <c r="AI1443" t="str">
        <f t="shared" si="290"/>
        <v>Valid</v>
      </c>
      <c r="AJ1443" t="str">
        <f t="shared" si="291"/>
        <v>Valid</v>
      </c>
      <c r="AK1443" t="str">
        <f t="shared" si="298"/>
        <v xml:space="preserve">Valid </v>
      </c>
      <c r="AL1443" t="str">
        <f>IF(AND(Audit_Data[[#This Row],[Recency]]&gt;=0,Audit_Data[[#This Row],[Recency]]&lt;=100),"Valid","Invalid")</f>
        <v>Valid</v>
      </c>
      <c r="AM1443" t="str">
        <f t="shared" si="292"/>
        <v>Valid</v>
      </c>
      <c r="AN1443" t="str">
        <f t="shared" si="293"/>
        <v>Valid</v>
      </c>
      <c r="AO1443" t="str">
        <f t="shared" si="294"/>
        <v>Valid</v>
      </c>
      <c r="AP1443" t="str">
        <f t="shared" si="295"/>
        <v>Valid</v>
      </c>
      <c r="AQ1443" t="str">
        <f>IF(Audit_Data[[#This Row],[Z_CostContact]]=3,"Valid","Invalid")</f>
        <v>Valid</v>
      </c>
      <c r="AR1443" t="str">
        <f t="shared" si="296"/>
        <v>Valid</v>
      </c>
      <c r="AS1443" t="str">
        <f t="shared" si="297"/>
        <v>Valid</v>
      </c>
    </row>
    <row r="1444" spans="1:45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 t="str">
        <f t="shared" si="286"/>
        <v>Ok</v>
      </c>
      <c r="AE1444" t="str">
        <f>IF(AND(Audit_Data[[#This Row],[Year_Birth]]&gt;=1900,Audit_Data[[#This Row],[Year_Birth]]&lt;=2010),"OK","Invalid")</f>
        <v>OK</v>
      </c>
      <c r="AF1444" t="str">
        <f t="shared" si="287"/>
        <v>Valid</v>
      </c>
      <c r="AG1444" t="str">
        <f t="shared" si="288"/>
        <v>Valid</v>
      </c>
      <c r="AH1444" t="str">
        <f t="shared" si="289"/>
        <v>Valid</v>
      </c>
      <c r="AI1444" t="str">
        <f t="shared" si="290"/>
        <v>Valid</v>
      </c>
      <c r="AJ1444" t="str">
        <f t="shared" si="291"/>
        <v>Valid</v>
      </c>
      <c r="AK1444" t="str">
        <f t="shared" si="298"/>
        <v xml:space="preserve">Valid </v>
      </c>
      <c r="AL1444" t="str">
        <f>IF(AND(Audit_Data[[#This Row],[Recency]]&gt;=0,Audit_Data[[#This Row],[Recency]]&lt;=100),"Valid","Invalid")</f>
        <v>Valid</v>
      </c>
      <c r="AM1444" t="str">
        <f t="shared" si="292"/>
        <v>Valid</v>
      </c>
      <c r="AN1444" t="str">
        <f t="shared" si="293"/>
        <v>Valid</v>
      </c>
      <c r="AO1444" t="str">
        <f t="shared" si="294"/>
        <v>Valid</v>
      </c>
      <c r="AP1444" t="str">
        <f t="shared" si="295"/>
        <v>Valid</v>
      </c>
      <c r="AQ1444" t="str">
        <f>IF(Audit_Data[[#This Row],[Z_CostContact]]=3,"Valid","Invalid")</f>
        <v>Valid</v>
      </c>
      <c r="AR1444" t="str">
        <f t="shared" si="296"/>
        <v>Valid</v>
      </c>
      <c r="AS1444" t="str">
        <f t="shared" si="297"/>
        <v>Valid</v>
      </c>
    </row>
    <row r="1445" spans="1:45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 t="str">
        <f t="shared" si="286"/>
        <v>Ok</v>
      </c>
      <c r="AE1445" t="str">
        <f>IF(AND(Audit_Data[[#This Row],[Year_Birth]]&gt;=1900,Audit_Data[[#This Row],[Year_Birth]]&lt;=2010),"OK","Invalid")</f>
        <v>OK</v>
      </c>
      <c r="AF1445" t="str">
        <f t="shared" si="287"/>
        <v>Valid</v>
      </c>
      <c r="AG1445" t="str">
        <f t="shared" si="288"/>
        <v>Valid</v>
      </c>
      <c r="AH1445" t="str">
        <f t="shared" si="289"/>
        <v>Valid</v>
      </c>
      <c r="AI1445" t="str">
        <f t="shared" si="290"/>
        <v>Valid</v>
      </c>
      <c r="AJ1445" t="str">
        <f t="shared" si="291"/>
        <v>Valid</v>
      </c>
      <c r="AK1445" t="str">
        <f t="shared" si="298"/>
        <v xml:space="preserve">Valid </v>
      </c>
      <c r="AL1445" t="str">
        <f>IF(AND(Audit_Data[[#This Row],[Recency]]&gt;=0,Audit_Data[[#This Row],[Recency]]&lt;=100),"Valid","Invalid")</f>
        <v>Valid</v>
      </c>
      <c r="AM1445" t="str">
        <f t="shared" si="292"/>
        <v>Valid</v>
      </c>
      <c r="AN1445" t="str">
        <f t="shared" si="293"/>
        <v>Valid</v>
      </c>
      <c r="AO1445" t="str">
        <f t="shared" si="294"/>
        <v>Valid</v>
      </c>
      <c r="AP1445" t="str">
        <f t="shared" si="295"/>
        <v>Valid</v>
      </c>
      <c r="AQ1445" t="str">
        <f>IF(Audit_Data[[#This Row],[Z_CostContact]]=3,"Valid","Invalid")</f>
        <v>Valid</v>
      </c>
      <c r="AR1445" t="str">
        <f t="shared" si="296"/>
        <v>Valid</v>
      </c>
      <c r="AS1445" t="str">
        <f t="shared" si="297"/>
        <v>Valid</v>
      </c>
    </row>
    <row r="1446" spans="1:45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 t="str">
        <f t="shared" si="286"/>
        <v>Ok</v>
      </c>
      <c r="AE1446" t="str">
        <f>IF(AND(Audit_Data[[#This Row],[Year_Birth]]&gt;=1900,Audit_Data[[#This Row],[Year_Birth]]&lt;=2010),"OK","Invalid")</f>
        <v>OK</v>
      </c>
      <c r="AF1446" t="str">
        <f t="shared" si="287"/>
        <v>Valid</v>
      </c>
      <c r="AG1446" t="str">
        <f t="shared" si="288"/>
        <v>Valid</v>
      </c>
      <c r="AH1446" t="str">
        <f t="shared" si="289"/>
        <v>Valid</v>
      </c>
      <c r="AI1446" t="str">
        <f t="shared" si="290"/>
        <v>Valid</v>
      </c>
      <c r="AJ1446" t="str">
        <f t="shared" si="291"/>
        <v>Valid</v>
      </c>
      <c r="AK1446" t="str">
        <f t="shared" si="298"/>
        <v xml:space="preserve">Valid </v>
      </c>
      <c r="AL1446" t="str">
        <f>IF(AND(Audit_Data[[#This Row],[Recency]]&gt;=0,Audit_Data[[#This Row],[Recency]]&lt;=100),"Valid","Invalid")</f>
        <v>Valid</v>
      </c>
      <c r="AM1446" t="str">
        <f t="shared" si="292"/>
        <v>Valid</v>
      </c>
      <c r="AN1446" t="str">
        <f t="shared" si="293"/>
        <v>Valid</v>
      </c>
      <c r="AO1446" t="str">
        <f t="shared" si="294"/>
        <v>Valid</v>
      </c>
      <c r="AP1446" t="str">
        <f t="shared" si="295"/>
        <v>Valid</v>
      </c>
      <c r="AQ1446" t="str">
        <f>IF(Audit_Data[[#This Row],[Z_CostContact]]=3,"Valid","Invalid")</f>
        <v>Valid</v>
      </c>
      <c r="AR1446" t="str">
        <f t="shared" si="296"/>
        <v>Valid</v>
      </c>
      <c r="AS1446" t="str">
        <f t="shared" si="297"/>
        <v>Valid</v>
      </c>
    </row>
    <row r="1447" spans="1:45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 t="str">
        <f t="shared" si="286"/>
        <v>Ok</v>
      </c>
      <c r="AE1447" t="str">
        <f>IF(AND(Audit_Data[[#This Row],[Year_Birth]]&gt;=1900,Audit_Data[[#This Row],[Year_Birth]]&lt;=2010),"OK","Invalid")</f>
        <v>OK</v>
      </c>
      <c r="AF1447" t="str">
        <f t="shared" si="287"/>
        <v>Valid</v>
      </c>
      <c r="AG1447" t="str">
        <f t="shared" si="288"/>
        <v>Valid</v>
      </c>
      <c r="AH1447" t="str">
        <f t="shared" si="289"/>
        <v>Valid</v>
      </c>
      <c r="AI1447" t="str">
        <f t="shared" si="290"/>
        <v>Valid</v>
      </c>
      <c r="AJ1447" t="str">
        <f t="shared" si="291"/>
        <v>Valid</v>
      </c>
      <c r="AK1447" t="str">
        <f t="shared" si="298"/>
        <v xml:space="preserve">Valid </v>
      </c>
      <c r="AL1447" t="str">
        <f>IF(AND(Audit_Data[[#This Row],[Recency]]&gt;=0,Audit_Data[[#This Row],[Recency]]&lt;=100),"Valid","Invalid")</f>
        <v>Valid</v>
      </c>
      <c r="AM1447" t="str">
        <f t="shared" si="292"/>
        <v>Valid</v>
      </c>
      <c r="AN1447" t="str">
        <f t="shared" si="293"/>
        <v>Valid</v>
      </c>
      <c r="AO1447" t="str">
        <f t="shared" si="294"/>
        <v>Valid</v>
      </c>
      <c r="AP1447" t="str">
        <f t="shared" si="295"/>
        <v>Valid</v>
      </c>
      <c r="AQ1447" t="str">
        <f>IF(Audit_Data[[#This Row],[Z_CostContact]]=3,"Valid","Invalid")</f>
        <v>Valid</v>
      </c>
      <c r="AR1447" t="str">
        <f t="shared" si="296"/>
        <v>Valid</v>
      </c>
      <c r="AS1447" t="str">
        <f t="shared" si="297"/>
        <v>Valid</v>
      </c>
    </row>
    <row r="1448" spans="1:45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 t="str">
        <f t="shared" si="286"/>
        <v>Ok</v>
      </c>
      <c r="AE1448" t="str">
        <f>IF(AND(Audit_Data[[#This Row],[Year_Birth]]&gt;=1900,Audit_Data[[#This Row],[Year_Birth]]&lt;=2010),"OK","Invalid")</f>
        <v>OK</v>
      </c>
      <c r="AF1448" t="str">
        <f t="shared" si="287"/>
        <v>Valid</v>
      </c>
      <c r="AG1448" t="str">
        <f t="shared" si="288"/>
        <v>Valid</v>
      </c>
      <c r="AH1448" t="str">
        <f t="shared" si="289"/>
        <v>Valid</v>
      </c>
      <c r="AI1448" t="str">
        <f t="shared" si="290"/>
        <v>Valid</v>
      </c>
      <c r="AJ1448" t="str">
        <f t="shared" si="291"/>
        <v>Valid</v>
      </c>
      <c r="AK1448" t="str">
        <f t="shared" si="298"/>
        <v xml:space="preserve">Valid </v>
      </c>
      <c r="AL1448" t="str">
        <f>IF(AND(Audit_Data[[#This Row],[Recency]]&gt;=0,Audit_Data[[#This Row],[Recency]]&lt;=100),"Valid","Invalid")</f>
        <v>Valid</v>
      </c>
      <c r="AM1448" t="str">
        <f t="shared" si="292"/>
        <v>Valid</v>
      </c>
      <c r="AN1448" t="str">
        <f t="shared" si="293"/>
        <v>Valid</v>
      </c>
      <c r="AO1448" t="str">
        <f t="shared" si="294"/>
        <v>Valid</v>
      </c>
      <c r="AP1448" t="str">
        <f t="shared" si="295"/>
        <v>Valid</v>
      </c>
      <c r="AQ1448" t="str">
        <f>IF(Audit_Data[[#This Row],[Z_CostContact]]=3,"Valid","Invalid")</f>
        <v>Valid</v>
      </c>
      <c r="AR1448" t="str">
        <f t="shared" si="296"/>
        <v>Valid</v>
      </c>
      <c r="AS1448" t="str">
        <f t="shared" si="297"/>
        <v>Valid</v>
      </c>
    </row>
    <row r="1449" spans="1:45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 t="str">
        <f t="shared" si="286"/>
        <v>Ok</v>
      </c>
      <c r="AE1449" t="str">
        <f>IF(AND(Audit_Data[[#This Row],[Year_Birth]]&gt;=1900,Audit_Data[[#This Row],[Year_Birth]]&lt;=2010),"OK","Invalid")</f>
        <v>OK</v>
      </c>
      <c r="AF1449" t="str">
        <f t="shared" si="287"/>
        <v>Valid</v>
      </c>
      <c r="AG1449" t="str">
        <f t="shared" si="288"/>
        <v>Valid</v>
      </c>
      <c r="AH1449" t="str">
        <f t="shared" si="289"/>
        <v>Valid</v>
      </c>
      <c r="AI1449" t="str">
        <f t="shared" si="290"/>
        <v>Valid</v>
      </c>
      <c r="AJ1449" t="str">
        <f t="shared" si="291"/>
        <v>Valid</v>
      </c>
      <c r="AK1449" t="str">
        <f t="shared" si="298"/>
        <v xml:space="preserve">Valid </v>
      </c>
      <c r="AL1449" t="str">
        <f>IF(AND(Audit_Data[[#This Row],[Recency]]&gt;=0,Audit_Data[[#This Row],[Recency]]&lt;=100),"Valid","Invalid")</f>
        <v>Valid</v>
      </c>
      <c r="AM1449" t="str">
        <f t="shared" si="292"/>
        <v>Valid</v>
      </c>
      <c r="AN1449" t="str">
        <f t="shared" si="293"/>
        <v>Valid</v>
      </c>
      <c r="AO1449" t="str">
        <f t="shared" si="294"/>
        <v>Valid</v>
      </c>
      <c r="AP1449" t="str">
        <f t="shared" si="295"/>
        <v>Valid</v>
      </c>
      <c r="AQ1449" t="str">
        <f>IF(Audit_Data[[#This Row],[Z_CostContact]]=3,"Valid","Invalid")</f>
        <v>Valid</v>
      </c>
      <c r="AR1449" t="str">
        <f t="shared" si="296"/>
        <v>Valid</v>
      </c>
      <c r="AS1449" t="str">
        <f t="shared" si="297"/>
        <v>Valid</v>
      </c>
    </row>
    <row r="1450" spans="1:45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 t="str">
        <f t="shared" si="286"/>
        <v>Ok</v>
      </c>
      <c r="AE1450" t="str">
        <f>IF(AND(Audit_Data[[#This Row],[Year_Birth]]&gt;=1900,Audit_Data[[#This Row],[Year_Birth]]&lt;=2010),"OK","Invalid")</f>
        <v>OK</v>
      </c>
      <c r="AF1450" t="str">
        <f t="shared" si="287"/>
        <v>Valid</v>
      </c>
      <c r="AG1450" t="str">
        <f t="shared" si="288"/>
        <v>Valid</v>
      </c>
      <c r="AH1450" t="str">
        <f t="shared" si="289"/>
        <v>Valid</v>
      </c>
      <c r="AI1450" t="str">
        <f t="shared" si="290"/>
        <v>Valid</v>
      </c>
      <c r="AJ1450" t="str">
        <f t="shared" si="291"/>
        <v>Valid</v>
      </c>
      <c r="AK1450" t="str">
        <f t="shared" si="298"/>
        <v xml:space="preserve">Valid </v>
      </c>
      <c r="AL1450" t="str">
        <f>IF(AND(Audit_Data[[#This Row],[Recency]]&gt;=0,Audit_Data[[#This Row],[Recency]]&lt;=100),"Valid","Invalid")</f>
        <v>Valid</v>
      </c>
      <c r="AM1450" t="str">
        <f t="shared" si="292"/>
        <v>Valid</v>
      </c>
      <c r="AN1450" t="str">
        <f t="shared" si="293"/>
        <v>Valid</v>
      </c>
      <c r="AO1450" t="str">
        <f t="shared" si="294"/>
        <v>Valid</v>
      </c>
      <c r="AP1450" t="str">
        <f t="shared" si="295"/>
        <v>Valid</v>
      </c>
      <c r="AQ1450" t="str">
        <f>IF(Audit_Data[[#This Row],[Z_CostContact]]=3,"Valid","Invalid")</f>
        <v>Valid</v>
      </c>
      <c r="AR1450" t="str">
        <f t="shared" si="296"/>
        <v>Valid</v>
      </c>
      <c r="AS1450" t="str">
        <f t="shared" si="297"/>
        <v>Valid</v>
      </c>
    </row>
    <row r="1451" spans="1:45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 t="str">
        <f t="shared" si="286"/>
        <v>Ok</v>
      </c>
      <c r="AE1451" t="str">
        <f>IF(AND(Audit_Data[[#This Row],[Year_Birth]]&gt;=1900,Audit_Data[[#This Row],[Year_Birth]]&lt;=2010),"OK","Invalid")</f>
        <v>OK</v>
      </c>
      <c r="AF1451" t="str">
        <f t="shared" si="287"/>
        <v>Valid</v>
      </c>
      <c r="AG1451" t="str">
        <f t="shared" si="288"/>
        <v>Valid</v>
      </c>
      <c r="AH1451" t="str">
        <f t="shared" si="289"/>
        <v>Valid</v>
      </c>
      <c r="AI1451" t="str">
        <f t="shared" si="290"/>
        <v>Valid</v>
      </c>
      <c r="AJ1451" t="str">
        <f t="shared" si="291"/>
        <v>Valid</v>
      </c>
      <c r="AK1451" t="str">
        <f t="shared" si="298"/>
        <v xml:space="preserve">Valid </v>
      </c>
      <c r="AL1451" t="str">
        <f>IF(AND(Audit_Data[[#This Row],[Recency]]&gt;=0,Audit_Data[[#This Row],[Recency]]&lt;=100),"Valid","Invalid")</f>
        <v>Valid</v>
      </c>
      <c r="AM1451" t="str">
        <f t="shared" si="292"/>
        <v>Valid</v>
      </c>
      <c r="AN1451" t="str">
        <f t="shared" si="293"/>
        <v>Valid</v>
      </c>
      <c r="AO1451" t="str">
        <f t="shared" si="294"/>
        <v>Valid</v>
      </c>
      <c r="AP1451" t="str">
        <f t="shared" si="295"/>
        <v>Valid</v>
      </c>
      <c r="AQ1451" t="str">
        <f>IF(Audit_Data[[#This Row],[Z_CostContact]]=3,"Valid","Invalid")</f>
        <v>Valid</v>
      </c>
      <c r="AR1451" t="str">
        <f t="shared" si="296"/>
        <v>Valid</v>
      </c>
      <c r="AS1451" t="str">
        <f t="shared" si="297"/>
        <v>Valid</v>
      </c>
    </row>
    <row r="1452" spans="1:45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 t="str">
        <f t="shared" si="286"/>
        <v>Ok</v>
      </c>
      <c r="AE1452" t="str">
        <f>IF(AND(Audit_Data[[#This Row],[Year_Birth]]&gt;=1900,Audit_Data[[#This Row],[Year_Birth]]&lt;=2010),"OK","Invalid")</f>
        <v>OK</v>
      </c>
      <c r="AF1452" t="str">
        <f t="shared" si="287"/>
        <v>Valid</v>
      </c>
      <c r="AG1452" t="str">
        <f t="shared" si="288"/>
        <v>Valid</v>
      </c>
      <c r="AH1452" t="str">
        <f t="shared" si="289"/>
        <v>Valid</v>
      </c>
      <c r="AI1452" t="str">
        <f t="shared" si="290"/>
        <v>Valid</v>
      </c>
      <c r="AJ1452" t="str">
        <f t="shared" si="291"/>
        <v>Valid</v>
      </c>
      <c r="AK1452" t="str">
        <f t="shared" si="298"/>
        <v xml:space="preserve">Valid </v>
      </c>
      <c r="AL1452" t="str">
        <f>IF(AND(Audit_Data[[#This Row],[Recency]]&gt;=0,Audit_Data[[#This Row],[Recency]]&lt;=100),"Valid","Invalid")</f>
        <v>Valid</v>
      </c>
      <c r="AM1452" t="str">
        <f t="shared" si="292"/>
        <v>Valid</v>
      </c>
      <c r="AN1452" t="str">
        <f t="shared" si="293"/>
        <v>Valid</v>
      </c>
      <c r="AO1452" t="str">
        <f t="shared" si="294"/>
        <v>Valid</v>
      </c>
      <c r="AP1452" t="str">
        <f t="shared" si="295"/>
        <v>Valid</v>
      </c>
      <c r="AQ1452" t="str">
        <f>IF(Audit_Data[[#This Row],[Z_CostContact]]=3,"Valid","Invalid")</f>
        <v>Valid</v>
      </c>
      <c r="AR1452" t="str">
        <f t="shared" si="296"/>
        <v>Valid</v>
      </c>
      <c r="AS1452" t="str">
        <f t="shared" si="297"/>
        <v>Valid</v>
      </c>
    </row>
    <row r="1453" spans="1:45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 t="str">
        <f t="shared" si="286"/>
        <v>Ok</v>
      </c>
      <c r="AE1453" t="str">
        <f>IF(AND(Audit_Data[[#This Row],[Year_Birth]]&gt;=1900,Audit_Data[[#This Row],[Year_Birth]]&lt;=2010),"OK","Invalid")</f>
        <v>OK</v>
      </c>
      <c r="AF1453" t="str">
        <f t="shared" si="287"/>
        <v>Valid</v>
      </c>
      <c r="AG1453" t="str">
        <f t="shared" si="288"/>
        <v>Valid</v>
      </c>
      <c r="AH1453" t="str">
        <f t="shared" si="289"/>
        <v>Valid</v>
      </c>
      <c r="AI1453" t="str">
        <f t="shared" si="290"/>
        <v>Valid</v>
      </c>
      <c r="AJ1453" t="str">
        <f t="shared" si="291"/>
        <v>Valid</v>
      </c>
      <c r="AK1453" t="str">
        <f t="shared" si="298"/>
        <v xml:space="preserve">Valid </v>
      </c>
      <c r="AL1453" t="str">
        <f>IF(AND(Audit_Data[[#This Row],[Recency]]&gt;=0,Audit_Data[[#This Row],[Recency]]&lt;=100),"Valid","Invalid")</f>
        <v>Valid</v>
      </c>
      <c r="AM1453" t="str">
        <f t="shared" si="292"/>
        <v>Valid</v>
      </c>
      <c r="AN1453" t="str">
        <f t="shared" si="293"/>
        <v>Valid</v>
      </c>
      <c r="AO1453" t="str">
        <f t="shared" si="294"/>
        <v>Valid</v>
      </c>
      <c r="AP1453" t="str">
        <f t="shared" si="295"/>
        <v>Valid</v>
      </c>
      <c r="AQ1453" t="str">
        <f>IF(Audit_Data[[#This Row],[Z_CostContact]]=3,"Valid","Invalid")</f>
        <v>Valid</v>
      </c>
      <c r="AR1453" t="str">
        <f t="shared" si="296"/>
        <v>Valid</v>
      </c>
      <c r="AS1453" t="str">
        <f t="shared" si="297"/>
        <v>Valid</v>
      </c>
    </row>
    <row r="1454" spans="1:45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 t="str">
        <f t="shared" si="286"/>
        <v>Ok</v>
      </c>
      <c r="AE1454" t="str">
        <f>IF(AND(Audit_Data[[#This Row],[Year_Birth]]&gt;=1900,Audit_Data[[#This Row],[Year_Birth]]&lt;=2010),"OK","Invalid")</f>
        <v>OK</v>
      </c>
      <c r="AF1454" t="str">
        <f t="shared" si="287"/>
        <v>Valid</v>
      </c>
      <c r="AG1454" t="str">
        <f t="shared" si="288"/>
        <v>Valid</v>
      </c>
      <c r="AH1454" t="str">
        <f t="shared" si="289"/>
        <v>Valid</v>
      </c>
      <c r="AI1454" t="str">
        <f t="shared" si="290"/>
        <v>Valid</v>
      </c>
      <c r="AJ1454" t="str">
        <f t="shared" si="291"/>
        <v>Valid</v>
      </c>
      <c r="AK1454" t="str">
        <f t="shared" si="298"/>
        <v xml:space="preserve">Valid </v>
      </c>
      <c r="AL1454" t="str">
        <f>IF(AND(Audit_Data[[#This Row],[Recency]]&gt;=0,Audit_Data[[#This Row],[Recency]]&lt;=100),"Valid","Invalid")</f>
        <v>Valid</v>
      </c>
      <c r="AM1454" t="str">
        <f t="shared" si="292"/>
        <v>Valid</v>
      </c>
      <c r="AN1454" t="str">
        <f t="shared" si="293"/>
        <v>Valid</v>
      </c>
      <c r="AO1454" t="str">
        <f t="shared" si="294"/>
        <v>Valid</v>
      </c>
      <c r="AP1454" t="str">
        <f t="shared" si="295"/>
        <v>Valid</v>
      </c>
      <c r="AQ1454" t="str">
        <f>IF(Audit_Data[[#This Row],[Z_CostContact]]=3,"Valid","Invalid")</f>
        <v>Valid</v>
      </c>
      <c r="AR1454" t="str">
        <f t="shared" si="296"/>
        <v>Valid</v>
      </c>
      <c r="AS1454" t="str">
        <f t="shared" si="297"/>
        <v>Valid</v>
      </c>
    </row>
    <row r="1455" spans="1:45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 t="str">
        <f t="shared" si="286"/>
        <v>Ok</v>
      </c>
      <c r="AE1455" t="str">
        <f>IF(AND(Audit_Data[[#This Row],[Year_Birth]]&gt;=1900,Audit_Data[[#This Row],[Year_Birth]]&lt;=2010),"OK","Invalid")</f>
        <v>OK</v>
      </c>
      <c r="AF1455" t="str">
        <f t="shared" si="287"/>
        <v>Valid</v>
      </c>
      <c r="AG1455" t="str">
        <f t="shared" si="288"/>
        <v>Valid</v>
      </c>
      <c r="AH1455" t="str">
        <f t="shared" si="289"/>
        <v>Valid</v>
      </c>
      <c r="AI1455" t="str">
        <f t="shared" si="290"/>
        <v>Valid</v>
      </c>
      <c r="AJ1455" t="str">
        <f t="shared" si="291"/>
        <v>Valid</v>
      </c>
      <c r="AK1455" t="str">
        <f t="shared" si="298"/>
        <v xml:space="preserve">Valid </v>
      </c>
      <c r="AL1455" t="str">
        <f>IF(AND(Audit_Data[[#This Row],[Recency]]&gt;=0,Audit_Data[[#This Row],[Recency]]&lt;=100),"Valid","Invalid")</f>
        <v>Valid</v>
      </c>
      <c r="AM1455" t="str">
        <f t="shared" si="292"/>
        <v>Valid</v>
      </c>
      <c r="AN1455" t="str">
        <f t="shared" si="293"/>
        <v>Valid</v>
      </c>
      <c r="AO1455" t="str">
        <f t="shared" si="294"/>
        <v>Valid</v>
      </c>
      <c r="AP1455" t="str">
        <f t="shared" si="295"/>
        <v>Valid</v>
      </c>
      <c r="AQ1455" t="str">
        <f>IF(Audit_Data[[#This Row],[Z_CostContact]]=3,"Valid","Invalid")</f>
        <v>Valid</v>
      </c>
      <c r="AR1455" t="str">
        <f t="shared" si="296"/>
        <v>Valid</v>
      </c>
      <c r="AS1455" t="str">
        <f t="shared" si="297"/>
        <v>Valid</v>
      </c>
    </row>
    <row r="1456" spans="1:45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 t="str">
        <f t="shared" si="286"/>
        <v>Ok</v>
      </c>
      <c r="AE1456" t="str">
        <f>IF(AND(Audit_Data[[#This Row],[Year_Birth]]&gt;=1900,Audit_Data[[#This Row],[Year_Birth]]&lt;=2010),"OK","Invalid")</f>
        <v>OK</v>
      </c>
      <c r="AF1456" t="str">
        <f t="shared" si="287"/>
        <v>Valid</v>
      </c>
      <c r="AG1456" t="str">
        <f t="shared" si="288"/>
        <v>Valid</v>
      </c>
      <c r="AH1456" t="str">
        <f t="shared" si="289"/>
        <v>Valid</v>
      </c>
      <c r="AI1456" t="str">
        <f t="shared" si="290"/>
        <v>Valid</v>
      </c>
      <c r="AJ1456" t="str">
        <f t="shared" si="291"/>
        <v>Valid</v>
      </c>
      <c r="AK1456" t="str">
        <f t="shared" si="298"/>
        <v xml:space="preserve">Valid </v>
      </c>
      <c r="AL1456" t="str">
        <f>IF(AND(Audit_Data[[#This Row],[Recency]]&gt;=0,Audit_Data[[#This Row],[Recency]]&lt;=100),"Valid","Invalid")</f>
        <v>Valid</v>
      </c>
      <c r="AM1456" t="str">
        <f t="shared" si="292"/>
        <v>Valid</v>
      </c>
      <c r="AN1456" t="str">
        <f t="shared" si="293"/>
        <v>Valid</v>
      </c>
      <c r="AO1456" t="str">
        <f t="shared" si="294"/>
        <v>Valid</v>
      </c>
      <c r="AP1456" t="str">
        <f t="shared" si="295"/>
        <v>Valid</v>
      </c>
      <c r="AQ1456" t="str">
        <f>IF(Audit_Data[[#This Row],[Z_CostContact]]=3,"Valid","Invalid")</f>
        <v>Valid</v>
      </c>
      <c r="AR1456" t="str">
        <f t="shared" si="296"/>
        <v>Valid</v>
      </c>
      <c r="AS1456" t="str">
        <f t="shared" si="297"/>
        <v>Valid</v>
      </c>
    </row>
    <row r="1457" spans="1:45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 t="str">
        <f t="shared" si="286"/>
        <v>Ok</v>
      </c>
      <c r="AE1457" t="str">
        <f>IF(AND(Audit_Data[[#This Row],[Year_Birth]]&gt;=1900,Audit_Data[[#This Row],[Year_Birth]]&lt;=2010),"OK","Invalid")</f>
        <v>OK</v>
      </c>
      <c r="AF1457" t="str">
        <f t="shared" si="287"/>
        <v>Valid</v>
      </c>
      <c r="AG1457" t="str">
        <f t="shared" si="288"/>
        <v>Valid</v>
      </c>
      <c r="AH1457" t="str">
        <f t="shared" si="289"/>
        <v>Valid</v>
      </c>
      <c r="AI1457" t="str">
        <f t="shared" si="290"/>
        <v>Valid</v>
      </c>
      <c r="AJ1457" t="str">
        <f t="shared" si="291"/>
        <v>Valid</v>
      </c>
      <c r="AK1457" t="str">
        <f t="shared" si="298"/>
        <v xml:space="preserve">Valid </v>
      </c>
      <c r="AL1457" t="str">
        <f>IF(AND(Audit_Data[[#This Row],[Recency]]&gt;=0,Audit_Data[[#This Row],[Recency]]&lt;=100),"Valid","Invalid")</f>
        <v>Valid</v>
      </c>
      <c r="AM1457" t="str">
        <f t="shared" si="292"/>
        <v>Valid</v>
      </c>
      <c r="AN1457" t="str">
        <f t="shared" si="293"/>
        <v>Valid</v>
      </c>
      <c r="AO1457" t="str">
        <f t="shared" si="294"/>
        <v>Valid</v>
      </c>
      <c r="AP1457" t="str">
        <f t="shared" si="295"/>
        <v>Valid</v>
      </c>
      <c r="AQ1457" t="str">
        <f>IF(Audit_Data[[#This Row],[Z_CostContact]]=3,"Valid","Invalid")</f>
        <v>Valid</v>
      </c>
      <c r="AR1457" t="str">
        <f t="shared" si="296"/>
        <v>Valid</v>
      </c>
      <c r="AS1457" t="str">
        <f t="shared" si="297"/>
        <v>Valid</v>
      </c>
    </row>
    <row r="1458" spans="1:45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 t="str">
        <f t="shared" si="286"/>
        <v>Ok</v>
      </c>
      <c r="AE1458" t="str">
        <f>IF(AND(Audit_Data[[#This Row],[Year_Birth]]&gt;=1900,Audit_Data[[#This Row],[Year_Birth]]&lt;=2010),"OK","Invalid")</f>
        <v>OK</v>
      </c>
      <c r="AF1458" t="str">
        <f t="shared" si="287"/>
        <v>Valid</v>
      </c>
      <c r="AG1458" t="str">
        <f t="shared" si="288"/>
        <v>Valid</v>
      </c>
      <c r="AH1458" t="str">
        <f t="shared" si="289"/>
        <v>Valid</v>
      </c>
      <c r="AI1458" t="str">
        <f t="shared" si="290"/>
        <v>Valid</v>
      </c>
      <c r="AJ1458" t="str">
        <f t="shared" si="291"/>
        <v>Valid</v>
      </c>
      <c r="AK1458" t="str">
        <f t="shared" si="298"/>
        <v xml:space="preserve">Valid </v>
      </c>
      <c r="AL1458" t="str">
        <f>IF(AND(Audit_Data[[#This Row],[Recency]]&gt;=0,Audit_Data[[#This Row],[Recency]]&lt;=100),"Valid","Invalid")</f>
        <v>Valid</v>
      </c>
      <c r="AM1458" t="str">
        <f t="shared" si="292"/>
        <v>Valid</v>
      </c>
      <c r="AN1458" t="str">
        <f t="shared" si="293"/>
        <v>Valid</v>
      </c>
      <c r="AO1458" t="str">
        <f t="shared" si="294"/>
        <v>Valid</v>
      </c>
      <c r="AP1458" t="str">
        <f t="shared" si="295"/>
        <v>Valid</v>
      </c>
      <c r="AQ1458" t="str">
        <f>IF(Audit_Data[[#This Row],[Z_CostContact]]=3,"Valid","Invalid")</f>
        <v>Valid</v>
      </c>
      <c r="AR1458" t="str">
        <f t="shared" si="296"/>
        <v>Valid</v>
      </c>
      <c r="AS1458" t="str">
        <f t="shared" si="297"/>
        <v>Valid</v>
      </c>
    </row>
    <row r="1459" spans="1:45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 t="str">
        <f t="shared" si="286"/>
        <v>Ok</v>
      </c>
      <c r="AE1459" t="str">
        <f>IF(AND(Audit_Data[[#This Row],[Year_Birth]]&gt;=1900,Audit_Data[[#This Row],[Year_Birth]]&lt;=2010),"OK","Invalid")</f>
        <v>OK</v>
      </c>
      <c r="AF1459" t="str">
        <f t="shared" si="287"/>
        <v>Valid</v>
      </c>
      <c r="AG1459" t="str">
        <f t="shared" si="288"/>
        <v>Valid</v>
      </c>
      <c r="AH1459" t="str">
        <f t="shared" si="289"/>
        <v>Valid</v>
      </c>
      <c r="AI1459" t="str">
        <f t="shared" si="290"/>
        <v>Valid</v>
      </c>
      <c r="AJ1459" t="str">
        <f t="shared" si="291"/>
        <v>Valid</v>
      </c>
      <c r="AK1459" t="str">
        <f t="shared" si="298"/>
        <v xml:space="preserve">Valid </v>
      </c>
      <c r="AL1459" t="str">
        <f>IF(AND(Audit_Data[[#This Row],[Recency]]&gt;=0,Audit_Data[[#This Row],[Recency]]&lt;=100),"Valid","Invalid")</f>
        <v>Valid</v>
      </c>
      <c r="AM1459" t="str">
        <f t="shared" si="292"/>
        <v>Valid</v>
      </c>
      <c r="AN1459" t="str">
        <f t="shared" si="293"/>
        <v>Valid</v>
      </c>
      <c r="AO1459" t="str">
        <f t="shared" si="294"/>
        <v>Valid</v>
      </c>
      <c r="AP1459" t="str">
        <f t="shared" si="295"/>
        <v>Valid</v>
      </c>
      <c r="AQ1459" t="str">
        <f>IF(Audit_Data[[#This Row],[Z_CostContact]]=3,"Valid","Invalid")</f>
        <v>Valid</v>
      </c>
      <c r="AR1459" t="str">
        <f t="shared" si="296"/>
        <v>Valid</v>
      </c>
      <c r="AS1459" t="str">
        <f t="shared" si="297"/>
        <v>Valid</v>
      </c>
    </row>
    <row r="1460" spans="1:45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 t="str">
        <f t="shared" si="286"/>
        <v>Ok</v>
      </c>
      <c r="AE1460" t="str">
        <f>IF(AND(Audit_Data[[#This Row],[Year_Birth]]&gt;=1900,Audit_Data[[#This Row],[Year_Birth]]&lt;=2010),"OK","Invalid")</f>
        <v>OK</v>
      </c>
      <c r="AF1460" t="str">
        <f t="shared" si="287"/>
        <v>Valid</v>
      </c>
      <c r="AG1460" t="str">
        <f t="shared" si="288"/>
        <v>Valid</v>
      </c>
      <c r="AH1460" t="str">
        <f t="shared" si="289"/>
        <v>Valid</v>
      </c>
      <c r="AI1460" t="str">
        <f t="shared" si="290"/>
        <v>Valid</v>
      </c>
      <c r="AJ1460" t="str">
        <f t="shared" si="291"/>
        <v>Valid</v>
      </c>
      <c r="AK1460" t="str">
        <f t="shared" si="298"/>
        <v xml:space="preserve">Valid </v>
      </c>
      <c r="AL1460" t="str">
        <f>IF(AND(Audit_Data[[#This Row],[Recency]]&gt;=0,Audit_Data[[#This Row],[Recency]]&lt;=100),"Valid","Invalid")</f>
        <v>Valid</v>
      </c>
      <c r="AM1460" t="str">
        <f t="shared" si="292"/>
        <v>Valid</v>
      </c>
      <c r="AN1460" t="str">
        <f t="shared" si="293"/>
        <v>Valid</v>
      </c>
      <c r="AO1460" t="str">
        <f t="shared" si="294"/>
        <v>Valid</v>
      </c>
      <c r="AP1460" t="str">
        <f t="shared" si="295"/>
        <v>Valid</v>
      </c>
      <c r="AQ1460" t="str">
        <f>IF(Audit_Data[[#This Row],[Z_CostContact]]=3,"Valid","Invalid")</f>
        <v>Valid</v>
      </c>
      <c r="AR1460" t="str">
        <f t="shared" si="296"/>
        <v>Valid</v>
      </c>
      <c r="AS1460" t="str">
        <f t="shared" si="297"/>
        <v>Valid</v>
      </c>
    </row>
    <row r="1461" spans="1:45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 t="str">
        <f t="shared" si="286"/>
        <v>Ok</v>
      </c>
      <c r="AE1461" t="str">
        <f>IF(AND(Audit_Data[[#This Row],[Year_Birth]]&gt;=1900,Audit_Data[[#This Row],[Year_Birth]]&lt;=2010),"OK","Invalid")</f>
        <v>OK</v>
      </c>
      <c r="AF1461" t="str">
        <f t="shared" si="287"/>
        <v>Valid</v>
      </c>
      <c r="AG1461" t="str">
        <f t="shared" si="288"/>
        <v>Valid</v>
      </c>
      <c r="AH1461" t="str">
        <f t="shared" si="289"/>
        <v>Valid</v>
      </c>
      <c r="AI1461" t="str">
        <f t="shared" si="290"/>
        <v>Valid</v>
      </c>
      <c r="AJ1461" t="str">
        <f t="shared" si="291"/>
        <v>Valid</v>
      </c>
      <c r="AK1461" t="str">
        <f t="shared" si="298"/>
        <v xml:space="preserve">Valid </v>
      </c>
      <c r="AL1461" t="str">
        <f>IF(AND(Audit_Data[[#This Row],[Recency]]&gt;=0,Audit_Data[[#This Row],[Recency]]&lt;=100),"Valid","Invalid")</f>
        <v>Valid</v>
      </c>
      <c r="AM1461" t="str">
        <f t="shared" si="292"/>
        <v>Valid</v>
      </c>
      <c r="AN1461" t="str">
        <f t="shared" si="293"/>
        <v>Valid</v>
      </c>
      <c r="AO1461" t="str">
        <f t="shared" si="294"/>
        <v>Valid</v>
      </c>
      <c r="AP1461" t="str">
        <f t="shared" si="295"/>
        <v>Valid</v>
      </c>
      <c r="AQ1461" t="str">
        <f>IF(Audit_Data[[#This Row],[Z_CostContact]]=3,"Valid","Invalid")</f>
        <v>Valid</v>
      </c>
      <c r="AR1461" t="str">
        <f t="shared" si="296"/>
        <v>Valid</v>
      </c>
      <c r="AS1461" t="str">
        <f t="shared" si="297"/>
        <v>Valid</v>
      </c>
    </row>
    <row r="1462" spans="1:45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 t="str">
        <f t="shared" si="286"/>
        <v>Ok</v>
      </c>
      <c r="AE1462" t="str">
        <f>IF(AND(Audit_Data[[#This Row],[Year_Birth]]&gt;=1900,Audit_Data[[#This Row],[Year_Birth]]&lt;=2010),"OK","Invalid")</f>
        <v>OK</v>
      </c>
      <c r="AF1462" t="str">
        <f t="shared" si="287"/>
        <v>Valid</v>
      </c>
      <c r="AG1462" t="str">
        <f t="shared" si="288"/>
        <v>Valid</v>
      </c>
      <c r="AH1462" t="str">
        <f t="shared" si="289"/>
        <v>Valid</v>
      </c>
      <c r="AI1462" t="str">
        <f t="shared" si="290"/>
        <v>Valid</v>
      </c>
      <c r="AJ1462" t="str">
        <f t="shared" si="291"/>
        <v>Valid</v>
      </c>
      <c r="AK1462" t="str">
        <f t="shared" si="298"/>
        <v xml:space="preserve">Valid </v>
      </c>
      <c r="AL1462" t="str">
        <f>IF(AND(Audit_Data[[#This Row],[Recency]]&gt;=0,Audit_Data[[#This Row],[Recency]]&lt;=100),"Valid","Invalid")</f>
        <v>Valid</v>
      </c>
      <c r="AM1462" t="str">
        <f t="shared" si="292"/>
        <v>Valid</v>
      </c>
      <c r="AN1462" t="str">
        <f t="shared" si="293"/>
        <v>Valid</v>
      </c>
      <c r="AO1462" t="str">
        <f t="shared" si="294"/>
        <v>Valid</v>
      </c>
      <c r="AP1462" t="str">
        <f t="shared" si="295"/>
        <v>Valid</v>
      </c>
      <c r="AQ1462" t="str">
        <f>IF(Audit_Data[[#This Row],[Z_CostContact]]=3,"Valid","Invalid")</f>
        <v>Valid</v>
      </c>
      <c r="AR1462" t="str">
        <f t="shared" si="296"/>
        <v>Valid</v>
      </c>
      <c r="AS1462" t="str">
        <f t="shared" si="297"/>
        <v>Valid</v>
      </c>
    </row>
    <row r="1463" spans="1:45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 t="str">
        <f t="shared" si="286"/>
        <v>Ok</v>
      </c>
      <c r="AE1463" t="str">
        <f>IF(AND(Audit_Data[[#This Row],[Year_Birth]]&gt;=1900,Audit_Data[[#This Row],[Year_Birth]]&lt;=2010),"OK","Invalid")</f>
        <v>OK</v>
      </c>
      <c r="AF1463" t="str">
        <f t="shared" si="287"/>
        <v>Valid</v>
      </c>
      <c r="AG1463" t="str">
        <f t="shared" si="288"/>
        <v>Valid</v>
      </c>
      <c r="AH1463" t="str">
        <f t="shared" si="289"/>
        <v>Valid</v>
      </c>
      <c r="AI1463" t="str">
        <f t="shared" si="290"/>
        <v>Valid</v>
      </c>
      <c r="AJ1463" t="str">
        <f t="shared" si="291"/>
        <v>Valid</v>
      </c>
      <c r="AK1463" t="str">
        <f t="shared" si="298"/>
        <v xml:space="preserve">Valid </v>
      </c>
      <c r="AL1463" t="str">
        <f>IF(AND(Audit_Data[[#This Row],[Recency]]&gt;=0,Audit_Data[[#This Row],[Recency]]&lt;=100),"Valid","Invalid")</f>
        <v>Valid</v>
      </c>
      <c r="AM1463" t="str">
        <f t="shared" si="292"/>
        <v>Valid</v>
      </c>
      <c r="AN1463" t="str">
        <f t="shared" si="293"/>
        <v>Valid</v>
      </c>
      <c r="AO1463" t="str">
        <f t="shared" si="294"/>
        <v>Valid</v>
      </c>
      <c r="AP1463" t="str">
        <f t="shared" si="295"/>
        <v>Valid</v>
      </c>
      <c r="AQ1463" t="str">
        <f>IF(Audit_Data[[#This Row],[Z_CostContact]]=3,"Valid","Invalid")</f>
        <v>Valid</v>
      </c>
      <c r="AR1463" t="str">
        <f t="shared" si="296"/>
        <v>Valid</v>
      </c>
      <c r="AS1463" t="str">
        <f t="shared" si="297"/>
        <v>Valid</v>
      </c>
    </row>
    <row r="1464" spans="1:45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 t="str">
        <f t="shared" si="286"/>
        <v>Ok</v>
      </c>
      <c r="AE1464" t="str">
        <f>IF(AND(Audit_Data[[#This Row],[Year_Birth]]&gt;=1900,Audit_Data[[#This Row],[Year_Birth]]&lt;=2010),"OK","Invalid")</f>
        <v>OK</v>
      </c>
      <c r="AF1464" t="str">
        <f t="shared" si="287"/>
        <v>Valid</v>
      </c>
      <c r="AG1464" t="str">
        <f t="shared" si="288"/>
        <v>Valid</v>
      </c>
      <c r="AH1464" t="str">
        <f t="shared" si="289"/>
        <v>Valid</v>
      </c>
      <c r="AI1464" t="str">
        <f t="shared" si="290"/>
        <v>Valid</v>
      </c>
      <c r="AJ1464" t="str">
        <f t="shared" si="291"/>
        <v>Valid</v>
      </c>
      <c r="AK1464" t="str">
        <f t="shared" si="298"/>
        <v xml:space="preserve">Valid </v>
      </c>
      <c r="AL1464" t="str">
        <f>IF(AND(Audit_Data[[#This Row],[Recency]]&gt;=0,Audit_Data[[#This Row],[Recency]]&lt;=100),"Valid","Invalid")</f>
        <v>Valid</v>
      </c>
      <c r="AM1464" t="str">
        <f t="shared" si="292"/>
        <v>Valid</v>
      </c>
      <c r="AN1464" t="str">
        <f t="shared" si="293"/>
        <v>Valid</v>
      </c>
      <c r="AO1464" t="str">
        <f t="shared" si="294"/>
        <v>Valid</v>
      </c>
      <c r="AP1464" t="str">
        <f t="shared" si="295"/>
        <v>Valid</v>
      </c>
      <c r="AQ1464" t="str">
        <f>IF(Audit_Data[[#This Row],[Z_CostContact]]=3,"Valid","Invalid")</f>
        <v>Valid</v>
      </c>
      <c r="AR1464" t="str">
        <f t="shared" si="296"/>
        <v>Valid</v>
      </c>
      <c r="AS1464" t="str">
        <f t="shared" si="297"/>
        <v>Valid</v>
      </c>
    </row>
    <row r="1465" spans="1:45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 t="str">
        <f t="shared" si="286"/>
        <v>Ok</v>
      </c>
      <c r="AE1465" t="str">
        <f>IF(AND(Audit_Data[[#This Row],[Year_Birth]]&gt;=1900,Audit_Data[[#This Row],[Year_Birth]]&lt;=2010),"OK","Invalid")</f>
        <v>OK</v>
      </c>
      <c r="AF1465" t="str">
        <f t="shared" si="287"/>
        <v>Valid</v>
      </c>
      <c r="AG1465" t="str">
        <f t="shared" si="288"/>
        <v>Valid</v>
      </c>
      <c r="AH1465" t="str">
        <f t="shared" si="289"/>
        <v>Valid</v>
      </c>
      <c r="AI1465" t="str">
        <f t="shared" si="290"/>
        <v>Valid</v>
      </c>
      <c r="AJ1465" t="str">
        <f t="shared" si="291"/>
        <v>Valid</v>
      </c>
      <c r="AK1465" t="str">
        <f t="shared" si="298"/>
        <v xml:space="preserve">Valid </v>
      </c>
      <c r="AL1465" t="str">
        <f>IF(AND(Audit_Data[[#This Row],[Recency]]&gt;=0,Audit_Data[[#This Row],[Recency]]&lt;=100),"Valid","Invalid")</f>
        <v>Valid</v>
      </c>
      <c r="AM1465" t="str">
        <f t="shared" si="292"/>
        <v>Valid</v>
      </c>
      <c r="AN1465" t="str">
        <f t="shared" si="293"/>
        <v>Valid</v>
      </c>
      <c r="AO1465" t="str">
        <f t="shared" si="294"/>
        <v>Valid</v>
      </c>
      <c r="AP1465" t="str">
        <f t="shared" si="295"/>
        <v>Valid</v>
      </c>
      <c r="AQ1465" t="str">
        <f>IF(Audit_Data[[#This Row],[Z_CostContact]]=3,"Valid","Invalid")</f>
        <v>Valid</v>
      </c>
      <c r="AR1465" t="str">
        <f t="shared" si="296"/>
        <v>Valid</v>
      </c>
      <c r="AS1465" t="str">
        <f t="shared" si="297"/>
        <v>Valid</v>
      </c>
    </row>
    <row r="1466" spans="1:45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 t="str">
        <f t="shared" si="286"/>
        <v>Ok</v>
      </c>
      <c r="AE1466" t="str">
        <f>IF(AND(Audit_Data[[#This Row],[Year_Birth]]&gt;=1900,Audit_Data[[#This Row],[Year_Birth]]&lt;=2010),"OK","Invalid")</f>
        <v>OK</v>
      </c>
      <c r="AF1466" t="str">
        <f t="shared" si="287"/>
        <v>Valid</v>
      </c>
      <c r="AG1466" t="str">
        <f t="shared" si="288"/>
        <v>Valid</v>
      </c>
      <c r="AH1466" t="str">
        <f t="shared" si="289"/>
        <v>Valid</v>
      </c>
      <c r="AI1466" t="str">
        <f t="shared" si="290"/>
        <v>Valid</v>
      </c>
      <c r="AJ1466" t="str">
        <f t="shared" si="291"/>
        <v>Valid</v>
      </c>
      <c r="AK1466" t="str">
        <f t="shared" si="298"/>
        <v xml:space="preserve">Valid </v>
      </c>
      <c r="AL1466" t="str">
        <f>IF(AND(Audit_Data[[#This Row],[Recency]]&gt;=0,Audit_Data[[#This Row],[Recency]]&lt;=100),"Valid","Invalid")</f>
        <v>Valid</v>
      </c>
      <c r="AM1466" t="str">
        <f t="shared" si="292"/>
        <v>Valid</v>
      </c>
      <c r="AN1466" t="str">
        <f t="shared" si="293"/>
        <v>Valid</v>
      </c>
      <c r="AO1466" t="str">
        <f t="shared" si="294"/>
        <v>Valid</v>
      </c>
      <c r="AP1466" t="str">
        <f t="shared" si="295"/>
        <v>Valid</v>
      </c>
      <c r="AQ1466" t="str">
        <f>IF(Audit_Data[[#This Row],[Z_CostContact]]=3,"Valid","Invalid")</f>
        <v>Valid</v>
      </c>
      <c r="AR1466" t="str">
        <f t="shared" si="296"/>
        <v>Valid</v>
      </c>
      <c r="AS1466" t="str">
        <f t="shared" si="297"/>
        <v>Valid</v>
      </c>
    </row>
    <row r="1467" spans="1:45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 t="str">
        <f t="shared" si="286"/>
        <v>Ok</v>
      </c>
      <c r="AE1467" t="str">
        <f>IF(AND(Audit_Data[[#This Row],[Year_Birth]]&gt;=1900,Audit_Data[[#This Row],[Year_Birth]]&lt;=2010),"OK","Invalid")</f>
        <v>OK</v>
      </c>
      <c r="AF1467" t="str">
        <f t="shared" si="287"/>
        <v>Valid</v>
      </c>
      <c r="AG1467" t="str">
        <f t="shared" si="288"/>
        <v>Valid</v>
      </c>
      <c r="AH1467" t="str">
        <f t="shared" si="289"/>
        <v>Valid</v>
      </c>
      <c r="AI1467" t="str">
        <f t="shared" si="290"/>
        <v>Valid</v>
      </c>
      <c r="AJ1467" t="str">
        <f t="shared" si="291"/>
        <v>Valid</v>
      </c>
      <c r="AK1467" t="str">
        <f t="shared" si="298"/>
        <v xml:space="preserve">Valid </v>
      </c>
      <c r="AL1467" t="str">
        <f>IF(AND(Audit_Data[[#This Row],[Recency]]&gt;=0,Audit_Data[[#This Row],[Recency]]&lt;=100),"Valid","Invalid")</f>
        <v>Valid</v>
      </c>
      <c r="AM1467" t="str">
        <f t="shared" si="292"/>
        <v>Valid</v>
      </c>
      <c r="AN1467" t="str">
        <f t="shared" si="293"/>
        <v>Valid</v>
      </c>
      <c r="AO1467" t="str">
        <f t="shared" si="294"/>
        <v>Valid</v>
      </c>
      <c r="AP1467" t="str">
        <f t="shared" si="295"/>
        <v>Valid</v>
      </c>
      <c r="AQ1467" t="str">
        <f>IF(Audit_Data[[#This Row],[Z_CostContact]]=3,"Valid","Invalid")</f>
        <v>Valid</v>
      </c>
      <c r="AR1467" t="str">
        <f t="shared" si="296"/>
        <v>Valid</v>
      </c>
      <c r="AS1467" t="str">
        <f t="shared" si="297"/>
        <v>Valid</v>
      </c>
    </row>
    <row r="1468" spans="1:45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 t="str">
        <f t="shared" si="286"/>
        <v>Ok</v>
      </c>
      <c r="AE1468" t="str">
        <f>IF(AND(Audit_Data[[#This Row],[Year_Birth]]&gt;=1900,Audit_Data[[#This Row],[Year_Birth]]&lt;=2010),"OK","Invalid")</f>
        <v>OK</v>
      </c>
      <c r="AF1468" t="str">
        <f t="shared" si="287"/>
        <v>Valid</v>
      </c>
      <c r="AG1468" t="str">
        <f t="shared" si="288"/>
        <v>Valid</v>
      </c>
      <c r="AH1468" t="str">
        <f t="shared" si="289"/>
        <v>Valid</v>
      </c>
      <c r="AI1468" t="str">
        <f t="shared" si="290"/>
        <v>Valid</v>
      </c>
      <c r="AJ1468" t="str">
        <f t="shared" si="291"/>
        <v>Valid</v>
      </c>
      <c r="AK1468" t="str">
        <f t="shared" si="298"/>
        <v xml:space="preserve">Valid </v>
      </c>
      <c r="AL1468" t="str">
        <f>IF(AND(Audit_Data[[#This Row],[Recency]]&gt;=0,Audit_Data[[#This Row],[Recency]]&lt;=100),"Valid","Invalid")</f>
        <v>Valid</v>
      </c>
      <c r="AM1468" t="str">
        <f t="shared" si="292"/>
        <v>Valid</v>
      </c>
      <c r="AN1468" t="str">
        <f t="shared" si="293"/>
        <v>Valid</v>
      </c>
      <c r="AO1468" t="str">
        <f t="shared" si="294"/>
        <v>Valid</v>
      </c>
      <c r="AP1468" t="str">
        <f t="shared" si="295"/>
        <v>Valid</v>
      </c>
      <c r="AQ1468" t="str">
        <f>IF(Audit_Data[[#This Row],[Z_CostContact]]=3,"Valid","Invalid")</f>
        <v>Valid</v>
      </c>
      <c r="AR1468" t="str">
        <f t="shared" si="296"/>
        <v>Valid</v>
      </c>
      <c r="AS1468" t="str">
        <f t="shared" si="297"/>
        <v>Valid</v>
      </c>
    </row>
    <row r="1469" spans="1:45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 t="str">
        <f t="shared" si="286"/>
        <v>Ok</v>
      </c>
      <c r="AE1469" t="str">
        <f>IF(AND(Audit_Data[[#This Row],[Year_Birth]]&gt;=1900,Audit_Data[[#This Row],[Year_Birth]]&lt;=2010),"OK","Invalid")</f>
        <v>OK</v>
      </c>
      <c r="AF1469" t="str">
        <f t="shared" si="287"/>
        <v>Valid</v>
      </c>
      <c r="AG1469" t="str">
        <f t="shared" si="288"/>
        <v>Valid</v>
      </c>
      <c r="AH1469" t="str">
        <f t="shared" si="289"/>
        <v>Valid</v>
      </c>
      <c r="AI1469" t="str">
        <f t="shared" si="290"/>
        <v>Valid</v>
      </c>
      <c r="AJ1469" t="str">
        <f t="shared" si="291"/>
        <v>Valid</v>
      </c>
      <c r="AK1469" t="str">
        <f t="shared" si="298"/>
        <v xml:space="preserve">Valid </v>
      </c>
      <c r="AL1469" t="str">
        <f>IF(AND(Audit_Data[[#This Row],[Recency]]&gt;=0,Audit_Data[[#This Row],[Recency]]&lt;=100),"Valid","Invalid")</f>
        <v>Valid</v>
      </c>
      <c r="AM1469" t="str">
        <f t="shared" si="292"/>
        <v>Valid</v>
      </c>
      <c r="AN1469" t="str">
        <f t="shared" si="293"/>
        <v>Valid</v>
      </c>
      <c r="AO1469" t="str">
        <f t="shared" si="294"/>
        <v>Valid</v>
      </c>
      <c r="AP1469" t="str">
        <f t="shared" si="295"/>
        <v>Valid</v>
      </c>
      <c r="AQ1469" t="str">
        <f>IF(Audit_Data[[#This Row],[Z_CostContact]]=3,"Valid","Invalid")</f>
        <v>Valid</v>
      </c>
      <c r="AR1469" t="str">
        <f t="shared" si="296"/>
        <v>Valid</v>
      </c>
      <c r="AS1469" t="str">
        <f t="shared" si="297"/>
        <v>Valid</v>
      </c>
    </row>
    <row r="1470" spans="1:45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 t="str">
        <f t="shared" si="286"/>
        <v>Ok</v>
      </c>
      <c r="AE1470" t="str">
        <f>IF(AND(Audit_Data[[#This Row],[Year_Birth]]&gt;=1900,Audit_Data[[#This Row],[Year_Birth]]&lt;=2010),"OK","Invalid")</f>
        <v>OK</v>
      </c>
      <c r="AF1470" t="str">
        <f t="shared" si="287"/>
        <v>Valid</v>
      </c>
      <c r="AG1470" t="str">
        <f t="shared" si="288"/>
        <v>Valid</v>
      </c>
      <c r="AH1470" t="str">
        <f t="shared" si="289"/>
        <v>Valid</v>
      </c>
      <c r="AI1470" t="str">
        <f t="shared" si="290"/>
        <v>Valid</v>
      </c>
      <c r="AJ1470" t="str">
        <f t="shared" si="291"/>
        <v>Valid</v>
      </c>
      <c r="AK1470" t="str">
        <f t="shared" si="298"/>
        <v xml:space="preserve">Valid </v>
      </c>
      <c r="AL1470" t="str">
        <f>IF(AND(Audit_Data[[#This Row],[Recency]]&gt;=0,Audit_Data[[#This Row],[Recency]]&lt;=100),"Valid","Invalid")</f>
        <v>Valid</v>
      </c>
      <c r="AM1470" t="str">
        <f t="shared" si="292"/>
        <v>Valid</v>
      </c>
      <c r="AN1470" t="str">
        <f t="shared" si="293"/>
        <v>Valid</v>
      </c>
      <c r="AO1470" t="str">
        <f t="shared" si="294"/>
        <v>Valid</v>
      </c>
      <c r="AP1470" t="str">
        <f t="shared" si="295"/>
        <v>Valid</v>
      </c>
      <c r="AQ1470" t="str">
        <f>IF(Audit_Data[[#This Row],[Z_CostContact]]=3,"Valid","Invalid")</f>
        <v>Valid</v>
      </c>
      <c r="AR1470" t="str">
        <f t="shared" si="296"/>
        <v>Valid</v>
      </c>
      <c r="AS1470" t="str">
        <f t="shared" si="297"/>
        <v>Valid</v>
      </c>
    </row>
    <row r="1471" spans="1:45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 t="str">
        <f t="shared" si="286"/>
        <v>Ok</v>
      </c>
      <c r="AE1471" t="str">
        <f>IF(AND(Audit_Data[[#This Row],[Year_Birth]]&gt;=1900,Audit_Data[[#This Row],[Year_Birth]]&lt;=2010),"OK","Invalid")</f>
        <v>OK</v>
      </c>
      <c r="AF1471" t="str">
        <f t="shared" si="287"/>
        <v>Valid</v>
      </c>
      <c r="AG1471" t="str">
        <f t="shared" si="288"/>
        <v>Valid</v>
      </c>
      <c r="AH1471" t="str">
        <f t="shared" si="289"/>
        <v>Valid</v>
      </c>
      <c r="AI1471" t="str">
        <f t="shared" si="290"/>
        <v>Valid</v>
      </c>
      <c r="AJ1471" t="str">
        <f t="shared" si="291"/>
        <v>Valid</v>
      </c>
      <c r="AK1471" t="str">
        <f t="shared" si="298"/>
        <v xml:space="preserve">Valid </v>
      </c>
      <c r="AL1471" t="str">
        <f>IF(AND(Audit_Data[[#This Row],[Recency]]&gt;=0,Audit_Data[[#This Row],[Recency]]&lt;=100),"Valid","Invalid")</f>
        <v>Valid</v>
      </c>
      <c r="AM1471" t="str">
        <f t="shared" si="292"/>
        <v>Valid</v>
      </c>
      <c r="AN1471" t="str">
        <f t="shared" si="293"/>
        <v>Valid</v>
      </c>
      <c r="AO1471" t="str">
        <f t="shared" si="294"/>
        <v>Valid</v>
      </c>
      <c r="AP1471" t="str">
        <f t="shared" si="295"/>
        <v>Valid</v>
      </c>
      <c r="AQ1471" t="str">
        <f>IF(Audit_Data[[#This Row],[Z_CostContact]]=3,"Valid","Invalid")</f>
        <v>Valid</v>
      </c>
      <c r="AR1471" t="str">
        <f t="shared" si="296"/>
        <v>Valid</v>
      </c>
      <c r="AS1471" t="str">
        <f t="shared" si="297"/>
        <v>Valid</v>
      </c>
    </row>
    <row r="1472" spans="1:45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 t="str">
        <f t="shared" si="286"/>
        <v>Ok</v>
      </c>
      <c r="AE1472" t="str">
        <f>IF(AND(Audit_Data[[#This Row],[Year_Birth]]&gt;=1900,Audit_Data[[#This Row],[Year_Birth]]&lt;=2010),"OK","Invalid")</f>
        <v>OK</v>
      </c>
      <c r="AF1472" t="str">
        <f t="shared" si="287"/>
        <v>Valid</v>
      </c>
      <c r="AG1472" t="str">
        <f t="shared" si="288"/>
        <v>Valid</v>
      </c>
      <c r="AH1472" t="str">
        <f t="shared" si="289"/>
        <v>Valid</v>
      </c>
      <c r="AI1472" t="str">
        <f t="shared" si="290"/>
        <v>Valid</v>
      </c>
      <c r="AJ1472" t="str">
        <f t="shared" si="291"/>
        <v>Valid</v>
      </c>
      <c r="AK1472" t="str">
        <f t="shared" si="298"/>
        <v xml:space="preserve">Valid </v>
      </c>
      <c r="AL1472" t="str">
        <f>IF(AND(Audit_Data[[#This Row],[Recency]]&gt;=0,Audit_Data[[#This Row],[Recency]]&lt;=100),"Valid","Invalid")</f>
        <v>Valid</v>
      </c>
      <c r="AM1472" t="str">
        <f t="shared" si="292"/>
        <v>Valid</v>
      </c>
      <c r="AN1472" t="str">
        <f t="shared" si="293"/>
        <v>Valid</v>
      </c>
      <c r="AO1472" t="str">
        <f t="shared" si="294"/>
        <v>Valid</v>
      </c>
      <c r="AP1472" t="str">
        <f t="shared" si="295"/>
        <v>Valid</v>
      </c>
      <c r="AQ1472" t="str">
        <f>IF(Audit_Data[[#This Row],[Z_CostContact]]=3,"Valid","Invalid")</f>
        <v>Valid</v>
      </c>
      <c r="AR1472" t="str">
        <f t="shared" si="296"/>
        <v>Valid</v>
      </c>
      <c r="AS1472" t="str">
        <f t="shared" si="297"/>
        <v>Valid</v>
      </c>
    </row>
    <row r="1473" spans="1:45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 t="str">
        <f t="shared" si="286"/>
        <v>Ok</v>
      </c>
      <c r="AE1473" t="str">
        <f>IF(AND(Audit_Data[[#This Row],[Year_Birth]]&gt;=1900,Audit_Data[[#This Row],[Year_Birth]]&lt;=2010),"OK","Invalid")</f>
        <v>OK</v>
      </c>
      <c r="AF1473" t="str">
        <f t="shared" si="287"/>
        <v>Valid</v>
      </c>
      <c r="AG1473" t="str">
        <f t="shared" si="288"/>
        <v>Valid</v>
      </c>
      <c r="AH1473" t="str">
        <f t="shared" si="289"/>
        <v>Valid</v>
      </c>
      <c r="AI1473" t="str">
        <f t="shared" si="290"/>
        <v>Valid</v>
      </c>
      <c r="AJ1473" t="str">
        <f t="shared" si="291"/>
        <v>Valid</v>
      </c>
      <c r="AK1473" t="str">
        <f t="shared" si="298"/>
        <v xml:space="preserve">Valid </v>
      </c>
      <c r="AL1473" t="str">
        <f>IF(AND(Audit_Data[[#This Row],[Recency]]&gt;=0,Audit_Data[[#This Row],[Recency]]&lt;=100),"Valid","Invalid")</f>
        <v>Valid</v>
      </c>
      <c r="AM1473" t="str">
        <f t="shared" si="292"/>
        <v>Valid</v>
      </c>
      <c r="AN1473" t="str">
        <f t="shared" si="293"/>
        <v>Valid</v>
      </c>
      <c r="AO1473" t="str">
        <f t="shared" si="294"/>
        <v>Valid</v>
      </c>
      <c r="AP1473" t="str">
        <f t="shared" si="295"/>
        <v>Valid</v>
      </c>
      <c r="AQ1473" t="str">
        <f>IF(Audit_Data[[#This Row],[Z_CostContact]]=3,"Valid","Invalid")</f>
        <v>Valid</v>
      </c>
      <c r="AR1473" t="str">
        <f t="shared" si="296"/>
        <v>Valid</v>
      </c>
      <c r="AS1473" t="str">
        <f t="shared" si="297"/>
        <v>Valid</v>
      </c>
    </row>
    <row r="1474" spans="1:45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 t="str">
        <f t="shared" ref="AD1474:AD1537" si="299">IF(COUNTIF(A:A,A1474)&gt;1,"Duplicate","Ok")</f>
        <v>Ok</v>
      </c>
      <c r="AE1474" t="str">
        <f>IF(AND(Audit_Data[[#This Row],[Year_Birth]]&gt;=1900,Audit_Data[[#This Row],[Year_Birth]]&lt;=2010),"OK","Invalid")</f>
        <v>OK</v>
      </c>
      <c r="AF1474" t="str">
        <f t="shared" ref="AF1474:AF1537" si="300">IF(OR(C1474="Graduation",C1474="phD",C1474="Master",C1474="Basic",C1474="2n Cycle"),"Valid","Invalid")</f>
        <v>Valid</v>
      </c>
      <c r="AG1474" t="str">
        <f t="shared" ref="AG1474:AG1537" si="301">IF(OR(D1474="Single",D1474="Married",D1474="Divorced",D1474="Together",D1474="Widow",D1474="Alone"),"Valid","Invalid")</f>
        <v>Valid</v>
      </c>
      <c r="AH1474" t="str">
        <f t="shared" ref="AH1474:AH1537" si="302">IF(AND(ISNUMBER(E1474),E1474&lt;&gt;""),"Valid","Invalid")</f>
        <v>Valid</v>
      </c>
      <c r="AI1474" t="str">
        <f t="shared" ref="AI1474:AI1537" si="303">IF(AND(F1474&gt;=0,F1474&lt;=2),"Valid","Invalid")</f>
        <v>Valid</v>
      </c>
      <c r="AJ1474" t="str">
        <f t="shared" ref="AJ1474:AJ1537" si="304">IF(AND(G1474&gt;=0,G1474&lt;=2),"Valid","Invalid")</f>
        <v>Valid</v>
      </c>
      <c r="AK1474" t="str">
        <f t="shared" si="298"/>
        <v xml:space="preserve">Valid </v>
      </c>
      <c r="AL1474" t="str">
        <f>IF(AND(Audit_Data[[#This Row],[Recency]]&gt;=0,Audit_Data[[#This Row],[Recency]]&lt;=100),"Valid","Invalid")</f>
        <v>Valid</v>
      </c>
      <c r="AM1474" t="str">
        <f t="shared" ref="AM1474:AM1537" si="305">IF(AND(ISNUMBER(J1474),J1474&gt;=0,ISNUMBER(K1474),K1474&gt;=0,ISNUMBER(L1474),L1474&gt;=0,ISNUMBER(M1474),M1474&gt;=0,ISNUMBER(N1474),N1474&gt;=0,ISNUMBER(O1474),O1474&gt;=0),"Valid","Invalid")</f>
        <v>Valid</v>
      </c>
      <c r="AN1474" t="str">
        <f t="shared" ref="AN1474:AN1537" si="306">IF(AND(ISNUMBER(P1474),P1474&gt;=0,ISNUMBER(Q1474),Q1474&gt;=0,ISNUMBER(R1474),R1474&gt;=0,ISNUMBER(S1474),S1474&gt;=0,ISNUMBER(T1474),T1474&gt;=0),"Valid","Invalid")</f>
        <v>Valid</v>
      </c>
      <c r="AO1474" t="str">
        <f t="shared" ref="AO1474:AO1537" si="307">IF(AND(U1474&lt;=1,V1474&lt;=1,W1474&lt;=1,X1474&lt;=1,Y1474&lt;=1),"Valid","Invalid")</f>
        <v>Valid</v>
      </c>
      <c r="AP1474" t="str">
        <f t="shared" ref="AP1474:AP1537" si="308">IF(OR(Z1474=0,Z1474=1),"Valid","Invalid")</f>
        <v>Valid</v>
      </c>
      <c r="AQ1474" t="str">
        <f>IF(Audit_Data[[#This Row],[Z_CostContact]]=3,"Valid","Invalid")</f>
        <v>Valid</v>
      </c>
      <c r="AR1474" t="str">
        <f t="shared" ref="AR1474:AR1537" si="309">IF(AB1474=11,"Valid","Invalid")</f>
        <v>Valid</v>
      </c>
      <c r="AS1474" t="str">
        <f t="shared" ref="AS1474:AS1537" si="310">IF(OR(AC1474=0,AC1474=1),"Valid","Invalid")</f>
        <v>Valid</v>
      </c>
    </row>
    <row r="1475" spans="1:45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 t="str">
        <f t="shared" si="299"/>
        <v>Ok</v>
      </c>
      <c r="AE1475" t="str">
        <f>IF(AND(Audit_Data[[#This Row],[Year_Birth]]&gt;=1900,Audit_Data[[#This Row],[Year_Birth]]&lt;=2010),"OK","Invalid")</f>
        <v>OK</v>
      </c>
      <c r="AF1475" t="str">
        <f t="shared" si="300"/>
        <v>Valid</v>
      </c>
      <c r="AG1475" t="str">
        <f t="shared" si="301"/>
        <v>Valid</v>
      </c>
      <c r="AH1475" t="str">
        <f t="shared" si="302"/>
        <v>Valid</v>
      </c>
      <c r="AI1475" t="str">
        <f t="shared" si="303"/>
        <v>Valid</v>
      </c>
      <c r="AJ1475" t="str">
        <f t="shared" si="304"/>
        <v>Valid</v>
      </c>
      <c r="AK1475" t="str">
        <f t="shared" ref="AK1475:AK1538" si="311">IF(AND(ISNUMBER(H1475),H1475&gt;=DATE(2012,1,1),H1475&lt;=DATE(2014,12,31)),"Valid ","Invalid")</f>
        <v xml:space="preserve">Valid </v>
      </c>
      <c r="AL1475" t="str">
        <f>IF(AND(Audit_Data[[#This Row],[Recency]]&gt;=0,Audit_Data[[#This Row],[Recency]]&lt;=100),"Valid","Invalid")</f>
        <v>Valid</v>
      </c>
      <c r="AM1475" t="str">
        <f t="shared" si="305"/>
        <v>Valid</v>
      </c>
      <c r="AN1475" t="str">
        <f t="shared" si="306"/>
        <v>Valid</v>
      </c>
      <c r="AO1475" t="str">
        <f t="shared" si="307"/>
        <v>Valid</v>
      </c>
      <c r="AP1475" t="str">
        <f t="shared" si="308"/>
        <v>Valid</v>
      </c>
      <c r="AQ1475" t="str">
        <f>IF(Audit_Data[[#This Row],[Z_CostContact]]=3,"Valid","Invalid")</f>
        <v>Valid</v>
      </c>
      <c r="AR1475" t="str">
        <f t="shared" si="309"/>
        <v>Valid</v>
      </c>
      <c r="AS1475" t="str">
        <f t="shared" si="310"/>
        <v>Valid</v>
      </c>
    </row>
    <row r="1476" spans="1:45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 t="str">
        <f t="shared" si="299"/>
        <v>Ok</v>
      </c>
      <c r="AE1476" t="str">
        <f>IF(AND(Audit_Data[[#This Row],[Year_Birth]]&gt;=1900,Audit_Data[[#This Row],[Year_Birth]]&lt;=2010),"OK","Invalid")</f>
        <v>OK</v>
      </c>
      <c r="AF1476" t="str">
        <f t="shared" si="300"/>
        <v>Valid</v>
      </c>
      <c r="AG1476" t="str">
        <f t="shared" si="301"/>
        <v>Valid</v>
      </c>
      <c r="AH1476" t="str">
        <f t="shared" si="302"/>
        <v>Valid</v>
      </c>
      <c r="AI1476" t="str">
        <f t="shared" si="303"/>
        <v>Valid</v>
      </c>
      <c r="AJ1476" t="str">
        <f t="shared" si="304"/>
        <v>Valid</v>
      </c>
      <c r="AK1476" t="str">
        <f t="shared" si="311"/>
        <v xml:space="preserve">Valid </v>
      </c>
      <c r="AL1476" t="str">
        <f>IF(AND(Audit_Data[[#This Row],[Recency]]&gt;=0,Audit_Data[[#This Row],[Recency]]&lt;=100),"Valid","Invalid")</f>
        <v>Valid</v>
      </c>
      <c r="AM1476" t="str">
        <f t="shared" si="305"/>
        <v>Valid</v>
      </c>
      <c r="AN1476" t="str">
        <f t="shared" si="306"/>
        <v>Valid</v>
      </c>
      <c r="AO1476" t="str">
        <f t="shared" si="307"/>
        <v>Valid</v>
      </c>
      <c r="AP1476" t="str">
        <f t="shared" si="308"/>
        <v>Valid</v>
      </c>
      <c r="AQ1476" t="str">
        <f>IF(Audit_Data[[#This Row],[Z_CostContact]]=3,"Valid","Invalid")</f>
        <v>Valid</v>
      </c>
      <c r="AR1476" t="str">
        <f t="shared" si="309"/>
        <v>Valid</v>
      </c>
      <c r="AS1476" t="str">
        <f t="shared" si="310"/>
        <v>Valid</v>
      </c>
    </row>
    <row r="1477" spans="1:45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 t="str">
        <f t="shared" si="299"/>
        <v>Ok</v>
      </c>
      <c r="AE1477" t="str">
        <f>IF(AND(Audit_Data[[#This Row],[Year_Birth]]&gt;=1900,Audit_Data[[#This Row],[Year_Birth]]&lt;=2010),"OK","Invalid")</f>
        <v>OK</v>
      </c>
      <c r="AF1477" t="str">
        <f t="shared" si="300"/>
        <v>Valid</v>
      </c>
      <c r="AG1477" t="str">
        <f t="shared" si="301"/>
        <v>Valid</v>
      </c>
      <c r="AH1477" t="str">
        <f t="shared" si="302"/>
        <v>Valid</v>
      </c>
      <c r="AI1477" t="str">
        <f t="shared" si="303"/>
        <v>Valid</v>
      </c>
      <c r="AJ1477" t="str">
        <f t="shared" si="304"/>
        <v>Valid</v>
      </c>
      <c r="AK1477" t="str">
        <f t="shared" si="311"/>
        <v xml:space="preserve">Valid </v>
      </c>
      <c r="AL1477" t="str">
        <f>IF(AND(Audit_Data[[#This Row],[Recency]]&gt;=0,Audit_Data[[#This Row],[Recency]]&lt;=100),"Valid","Invalid")</f>
        <v>Valid</v>
      </c>
      <c r="AM1477" t="str">
        <f t="shared" si="305"/>
        <v>Valid</v>
      </c>
      <c r="AN1477" t="str">
        <f t="shared" si="306"/>
        <v>Valid</v>
      </c>
      <c r="AO1477" t="str">
        <f t="shared" si="307"/>
        <v>Valid</v>
      </c>
      <c r="AP1477" t="str">
        <f t="shared" si="308"/>
        <v>Valid</v>
      </c>
      <c r="AQ1477" t="str">
        <f>IF(Audit_Data[[#This Row],[Z_CostContact]]=3,"Valid","Invalid")</f>
        <v>Valid</v>
      </c>
      <c r="AR1477" t="str">
        <f t="shared" si="309"/>
        <v>Valid</v>
      </c>
      <c r="AS1477" t="str">
        <f t="shared" si="310"/>
        <v>Valid</v>
      </c>
    </row>
    <row r="1478" spans="1:45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 t="str">
        <f t="shared" si="299"/>
        <v>Ok</v>
      </c>
      <c r="AE1478" t="str">
        <f>IF(AND(Audit_Data[[#This Row],[Year_Birth]]&gt;=1900,Audit_Data[[#This Row],[Year_Birth]]&lt;=2010),"OK","Invalid")</f>
        <v>OK</v>
      </c>
      <c r="AF1478" t="str">
        <f t="shared" si="300"/>
        <v>Valid</v>
      </c>
      <c r="AG1478" t="str">
        <f t="shared" si="301"/>
        <v>Valid</v>
      </c>
      <c r="AH1478" t="str">
        <f t="shared" si="302"/>
        <v>Valid</v>
      </c>
      <c r="AI1478" t="str">
        <f t="shared" si="303"/>
        <v>Valid</v>
      </c>
      <c r="AJ1478" t="str">
        <f t="shared" si="304"/>
        <v>Valid</v>
      </c>
      <c r="AK1478" t="str">
        <f t="shared" si="311"/>
        <v xml:space="preserve">Valid </v>
      </c>
      <c r="AL1478" t="str">
        <f>IF(AND(Audit_Data[[#This Row],[Recency]]&gt;=0,Audit_Data[[#This Row],[Recency]]&lt;=100),"Valid","Invalid")</f>
        <v>Valid</v>
      </c>
      <c r="AM1478" t="str">
        <f t="shared" si="305"/>
        <v>Valid</v>
      </c>
      <c r="AN1478" t="str">
        <f t="shared" si="306"/>
        <v>Valid</v>
      </c>
      <c r="AO1478" t="str">
        <f t="shared" si="307"/>
        <v>Valid</v>
      </c>
      <c r="AP1478" t="str">
        <f t="shared" si="308"/>
        <v>Valid</v>
      </c>
      <c r="AQ1478" t="str">
        <f>IF(Audit_Data[[#This Row],[Z_CostContact]]=3,"Valid","Invalid")</f>
        <v>Valid</v>
      </c>
      <c r="AR1478" t="str">
        <f t="shared" si="309"/>
        <v>Valid</v>
      </c>
      <c r="AS1478" t="str">
        <f t="shared" si="310"/>
        <v>Valid</v>
      </c>
    </row>
    <row r="1479" spans="1:45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 t="str">
        <f t="shared" si="299"/>
        <v>Ok</v>
      </c>
      <c r="AE1479" t="str">
        <f>IF(AND(Audit_Data[[#This Row],[Year_Birth]]&gt;=1900,Audit_Data[[#This Row],[Year_Birth]]&lt;=2010),"OK","Invalid")</f>
        <v>OK</v>
      </c>
      <c r="AF1479" t="str">
        <f t="shared" si="300"/>
        <v>Valid</v>
      </c>
      <c r="AG1479" t="str">
        <f t="shared" si="301"/>
        <v>Valid</v>
      </c>
      <c r="AH1479" t="str">
        <f t="shared" si="302"/>
        <v>Valid</v>
      </c>
      <c r="AI1479" t="str">
        <f t="shared" si="303"/>
        <v>Valid</v>
      </c>
      <c r="AJ1479" t="str">
        <f t="shared" si="304"/>
        <v>Valid</v>
      </c>
      <c r="AK1479" t="str">
        <f t="shared" si="311"/>
        <v xml:space="preserve">Valid </v>
      </c>
      <c r="AL1479" t="str">
        <f>IF(AND(Audit_Data[[#This Row],[Recency]]&gt;=0,Audit_Data[[#This Row],[Recency]]&lt;=100),"Valid","Invalid")</f>
        <v>Valid</v>
      </c>
      <c r="AM1479" t="str">
        <f t="shared" si="305"/>
        <v>Valid</v>
      </c>
      <c r="AN1479" t="str">
        <f t="shared" si="306"/>
        <v>Valid</v>
      </c>
      <c r="AO1479" t="str">
        <f t="shared" si="307"/>
        <v>Valid</v>
      </c>
      <c r="AP1479" t="str">
        <f t="shared" si="308"/>
        <v>Valid</v>
      </c>
      <c r="AQ1479" t="str">
        <f>IF(Audit_Data[[#This Row],[Z_CostContact]]=3,"Valid","Invalid")</f>
        <v>Valid</v>
      </c>
      <c r="AR1479" t="str">
        <f t="shared" si="309"/>
        <v>Valid</v>
      </c>
      <c r="AS1479" t="str">
        <f t="shared" si="310"/>
        <v>Valid</v>
      </c>
    </row>
    <row r="1480" spans="1:45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 t="str">
        <f t="shared" si="299"/>
        <v>Ok</v>
      </c>
      <c r="AE1480" t="str">
        <f>IF(AND(Audit_Data[[#This Row],[Year_Birth]]&gt;=1900,Audit_Data[[#This Row],[Year_Birth]]&lt;=2010),"OK","Invalid")</f>
        <v>OK</v>
      </c>
      <c r="AF1480" t="str">
        <f t="shared" si="300"/>
        <v>Valid</v>
      </c>
      <c r="AG1480" t="str">
        <f t="shared" si="301"/>
        <v>Valid</v>
      </c>
      <c r="AH1480" t="str">
        <f t="shared" si="302"/>
        <v>Valid</v>
      </c>
      <c r="AI1480" t="str">
        <f t="shared" si="303"/>
        <v>Valid</v>
      </c>
      <c r="AJ1480" t="str">
        <f t="shared" si="304"/>
        <v>Valid</v>
      </c>
      <c r="AK1480" t="str">
        <f t="shared" si="311"/>
        <v xml:space="preserve">Valid </v>
      </c>
      <c r="AL1480" t="str">
        <f>IF(AND(Audit_Data[[#This Row],[Recency]]&gt;=0,Audit_Data[[#This Row],[Recency]]&lt;=100),"Valid","Invalid")</f>
        <v>Valid</v>
      </c>
      <c r="AM1480" t="str">
        <f t="shared" si="305"/>
        <v>Valid</v>
      </c>
      <c r="AN1480" t="str">
        <f t="shared" si="306"/>
        <v>Valid</v>
      </c>
      <c r="AO1480" t="str">
        <f t="shared" si="307"/>
        <v>Valid</v>
      </c>
      <c r="AP1480" t="str">
        <f t="shared" si="308"/>
        <v>Valid</v>
      </c>
      <c r="AQ1480" t="str">
        <f>IF(Audit_Data[[#This Row],[Z_CostContact]]=3,"Valid","Invalid")</f>
        <v>Valid</v>
      </c>
      <c r="AR1480" t="str">
        <f t="shared" si="309"/>
        <v>Valid</v>
      </c>
      <c r="AS1480" t="str">
        <f t="shared" si="310"/>
        <v>Valid</v>
      </c>
    </row>
    <row r="1481" spans="1:45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 t="str">
        <f t="shared" si="299"/>
        <v>Ok</v>
      </c>
      <c r="AE1481" t="str">
        <f>IF(AND(Audit_Data[[#This Row],[Year_Birth]]&gt;=1900,Audit_Data[[#This Row],[Year_Birth]]&lt;=2010),"OK","Invalid")</f>
        <v>OK</v>
      </c>
      <c r="AF1481" t="str">
        <f t="shared" si="300"/>
        <v>Valid</v>
      </c>
      <c r="AG1481" t="str">
        <f t="shared" si="301"/>
        <v>Valid</v>
      </c>
      <c r="AH1481" t="str">
        <f t="shared" si="302"/>
        <v>Valid</v>
      </c>
      <c r="AI1481" t="str">
        <f t="shared" si="303"/>
        <v>Valid</v>
      </c>
      <c r="AJ1481" t="str">
        <f t="shared" si="304"/>
        <v>Valid</v>
      </c>
      <c r="AK1481" t="str">
        <f t="shared" si="311"/>
        <v xml:space="preserve">Valid </v>
      </c>
      <c r="AL1481" t="str">
        <f>IF(AND(Audit_Data[[#This Row],[Recency]]&gt;=0,Audit_Data[[#This Row],[Recency]]&lt;=100),"Valid","Invalid")</f>
        <v>Valid</v>
      </c>
      <c r="AM1481" t="str">
        <f t="shared" si="305"/>
        <v>Valid</v>
      </c>
      <c r="AN1481" t="str">
        <f t="shared" si="306"/>
        <v>Valid</v>
      </c>
      <c r="AO1481" t="str">
        <f t="shared" si="307"/>
        <v>Valid</v>
      </c>
      <c r="AP1481" t="str">
        <f t="shared" si="308"/>
        <v>Valid</v>
      </c>
      <c r="AQ1481" t="str">
        <f>IF(Audit_Data[[#This Row],[Z_CostContact]]=3,"Valid","Invalid")</f>
        <v>Valid</v>
      </c>
      <c r="AR1481" t="str">
        <f t="shared" si="309"/>
        <v>Valid</v>
      </c>
      <c r="AS1481" t="str">
        <f t="shared" si="310"/>
        <v>Valid</v>
      </c>
    </row>
    <row r="1482" spans="1:45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 t="str">
        <f t="shared" si="299"/>
        <v>Ok</v>
      </c>
      <c r="AE1482" t="str">
        <f>IF(AND(Audit_Data[[#This Row],[Year_Birth]]&gt;=1900,Audit_Data[[#This Row],[Year_Birth]]&lt;=2010),"OK","Invalid")</f>
        <v>OK</v>
      </c>
      <c r="AF1482" t="str">
        <f t="shared" si="300"/>
        <v>Valid</v>
      </c>
      <c r="AG1482" t="str">
        <f t="shared" si="301"/>
        <v>Valid</v>
      </c>
      <c r="AH1482" t="str">
        <f t="shared" si="302"/>
        <v>Valid</v>
      </c>
      <c r="AI1482" t="str">
        <f t="shared" si="303"/>
        <v>Valid</v>
      </c>
      <c r="AJ1482" t="str">
        <f t="shared" si="304"/>
        <v>Valid</v>
      </c>
      <c r="AK1482" t="str">
        <f t="shared" si="311"/>
        <v xml:space="preserve">Valid </v>
      </c>
      <c r="AL1482" t="str">
        <f>IF(AND(Audit_Data[[#This Row],[Recency]]&gt;=0,Audit_Data[[#This Row],[Recency]]&lt;=100),"Valid","Invalid")</f>
        <v>Valid</v>
      </c>
      <c r="AM1482" t="str">
        <f t="shared" si="305"/>
        <v>Valid</v>
      </c>
      <c r="AN1482" t="str">
        <f t="shared" si="306"/>
        <v>Valid</v>
      </c>
      <c r="AO1482" t="str">
        <f t="shared" si="307"/>
        <v>Valid</v>
      </c>
      <c r="AP1482" t="str">
        <f t="shared" si="308"/>
        <v>Valid</v>
      </c>
      <c r="AQ1482" t="str">
        <f>IF(Audit_Data[[#This Row],[Z_CostContact]]=3,"Valid","Invalid")</f>
        <v>Valid</v>
      </c>
      <c r="AR1482" t="str">
        <f t="shared" si="309"/>
        <v>Valid</v>
      </c>
      <c r="AS1482" t="str">
        <f t="shared" si="310"/>
        <v>Valid</v>
      </c>
    </row>
    <row r="1483" spans="1:45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 t="str">
        <f t="shared" si="299"/>
        <v>Ok</v>
      </c>
      <c r="AE1483" t="str">
        <f>IF(AND(Audit_Data[[#This Row],[Year_Birth]]&gt;=1900,Audit_Data[[#This Row],[Year_Birth]]&lt;=2010),"OK","Invalid")</f>
        <v>OK</v>
      </c>
      <c r="AF1483" t="str">
        <f t="shared" si="300"/>
        <v>Valid</v>
      </c>
      <c r="AG1483" t="str">
        <f t="shared" si="301"/>
        <v>Valid</v>
      </c>
      <c r="AH1483" t="str">
        <f t="shared" si="302"/>
        <v>Valid</v>
      </c>
      <c r="AI1483" t="str">
        <f t="shared" si="303"/>
        <v>Valid</v>
      </c>
      <c r="AJ1483" t="str">
        <f t="shared" si="304"/>
        <v>Valid</v>
      </c>
      <c r="AK1483" t="str">
        <f t="shared" si="311"/>
        <v xml:space="preserve">Valid </v>
      </c>
      <c r="AL1483" t="str">
        <f>IF(AND(Audit_Data[[#This Row],[Recency]]&gt;=0,Audit_Data[[#This Row],[Recency]]&lt;=100),"Valid","Invalid")</f>
        <v>Valid</v>
      </c>
      <c r="AM1483" t="str">
        <f t="shared" si="305"/>
        <v>Valid</v>
      </c>
      <c r="AN1483" t="str">
        <f t="shared" si="306"/>
        <v>Valid</v>
      </c>
      <c r="AO1483" t="str">
        <f t="shared" si="307"/>
        <v>Valid</v>
      </c>
      <c r="AP1483" t="str">
        <f t="shared" si="308"/>
        <v>Valid</v>
      </c>
      <c r="AQ1483" t="str">
        <f>IF(Audit_Data[[#This Row],[Z_CostContact]]=3,"Valid","Invalid")</f>
        <v>Valid</v>
      </c>
      <c r="AR1483" t="str">
        <f t="shared" si="309"/>
        <v>Valid</v>
      </c>
      <c r="AS1483" t="str">
        <f t="shared" si="310"/>
        <v>Valid</v>
      </c>
    </row>
    <row r="1484" spans="1:45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 t="str">
        <f t="shared" si="299"/>
        <v>Ok</v>
      </c>
      <c r="AE1484" t="str">
        <f>IF(AND(Audit_Data[[#This Row],[Year_Birth]]&gt;=1900,Audit_Data[[#This Row],[Year_Birth]]&lt;=2010),"OK","Invalid")</f>
        <v>OK</v>
      </c>
      <c r="AF1484" t="str">
        <f t="shared" si="300"/>
        <v>Valid</v>
      </c>
      <c r="AG1484" t="str">
        <f t="shared" si="301"/>
        <v>Valid</v>
      </c>
      <c r="AH1484" t="str">
        <f t="shared" si="302"/>
        <v>Valid</v>
      </c>
      <c r="AI1484" t="str">
        <f t="shared" si="303"/>
        <v>Valid</v>
      </c>
      <c r="AJ1484" t="str">
        <f t="shared" si="304"/>
        <v>Valid</v>
      </c>
      <c r="AK1484" t="str">
        <f t="shared" si="311"/>
        <v xml:space="preserve">Valid </v>
      </c>
      <c r="AL1484" t="str">
        <f>IF(AND(Audit_Data[[#This Row],[Recency]]&gt;=0,Audit_Data[[#This Row],[Recency]]&lt;=100),"Valid","Invalid")</f>
        <v>Valid</v>
      </c>
      <c r="AM1484" t="str">
        <f t="shared" si="305"/>
        <v>Valid</v>
      </c>
      <c r="AN1484" t="str">
        <f t="shared" si="306"/>
        <v>Valid</v>
      </c>
      <c r="AO1484" t="str">
        <f t="shared" si="307"/>
        <v>Valid</v>
      </c>
      <c r="AP1484" t="str">
        <f t="shared" si="308"/>
        <v>Valid</v>
      </c>
      <c r="AQ1484" t="str">
        <f>IF(Audit_Data[[#This Row],[Z_CostContact]]=3,"Valid","Invalid")</f>
        <v>Valid</v>
      </c>
      <c r="AR1484" t="str">
        <f t="shared" si="309"/>
        <v>Valid</v>
      </c>
      <c r="AS1484" t="str">
        <f t="shared" si="310"/>
        <v>Valid</v>
      </c>
    </row>
    <row r="1485" spans="1:45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 t="str">
        <f t="shared" si="299"/>
        <v>Ok</v>
      </c>
      <c r="AE1485" t="str">
        <f>IF(AND(Audit_Data[[#This Row],[Year_Birth]]&gt;=1900,Audit_Data[[#This Row],[Year_Birth]]&lt;=2010),"OK","Invalid")</f>
        <v>OK</v>
      </c>
      <c r="AF1485" t="str">
        <f t="shared" si="300"/>
        <v>Valid</v>
      </c>
      <c r="AG1485" t="str">
        <f t="shared" si="301"/>
        <v>Valid</v>
      </c>
      <c r="AH1485" t="str">
        <f t="shared" si="302"/>
        <v>Valid</v>
      </c>
      <c r="AI1485" t="str">
        <f t="shared" si="303"/>
        <v>Valid</v>
      </c>
      <c r="AJ1485" t="str">
        <f t="shared" si="304"/>
        <v>Valid</v>
      </c>
      <c r="AK1485" t="str">
        <f t="shared" si="311"/>
        <v xml:space="preserve">Valid </v>
      </c>
      <c r="AL1485" t="str">
        <f>IF(AND(Audit_Data[[#This Row],[Recency]]&gt;=0,Audit_Data[[#This Row],[Recency]]&lt;=100),"Valid","Invalid")</f>
        <v>Valid</v>
      </c>
      <c r="AM1485" t="str">
        <f t="shared" si="305"/>
        <v>Valid</v>
      </c>
      <c r="AN1485" t="str">
        <f t="shared" si="306"/>
        <v>Valid</v>
      </c>
      <c r="AO1485" t="str">
        <f t="shared" si="307"/>
        <v>Valid</v>
      </c>
      <c r="AP1485" t="str">
        <f t="shared" si="308"/>
        <v>Valid</v>
      </c>
      <c r="AQ1485" t="str">
        <f>IF(Audit_Data[[#This Row],[Z_CostContact]]=3,"Valid","Invalid")</f>
        <v>Valid</v>
      </c>
      <c r="AR1485" t="str">
        <f t="shared" si="309"/>
        <v>Valid</v>
      </c>
      <c r="AS1485" t="str">
        <f t="shared" si="310"/>
        <v>Valid</v>
      </c>
    </row>
    <row r="1486" spans="1:45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 t="str">
        <f t="shared" si="299"/>
        <v>Ok</v>
      </c>
      <c r="AE1486" t="str">
        <f>IF(AND(Audit_Data[[#This Row],[Year_Birth]]&gt;=1900,Audit_Data[[#This Row],[Year_Birth]]&lt;=2010),"OK","Invalid")</f>
        <v>OK</v>
      </c>
      <c r="AF1486" t="str">
        <f t="shared" si="300"/>
        <v>Valid</v>
      </c>
      <c r="AG1486" t="str">
        <f t="shared" si="301"/>
        <v>Valid</v>
      </c>
      <c r="AH1486" t="str">
        <f t="shared" si="302"/>
        <v>Valid</v>
      </c>
      <c r="AI1486" t="str">
        <f t="shared" si="303"/>
        <v>Valid</v>
      </c>
      <c r="AJ1486" t="str">
        <f t="shared" si="304"/>
        <v>Valid</v>
      </c>
      <c r="AK1486" t="str">
        <f t="shared" si="311"/>
        <v xml:space="preserve">Valid </v>
      </c>
      <c r="AL1486" t="str">
        <f>IF(AND(Audit_Data[[#This Row],[Recency]]&gt;=0,Audit_Data[[#This Row],[Recency]]&lt;=100),"Valid","Invalid")</f>
        <v>Valid</v>
      </c>
      <c r="AM1486" t="str">
        <f t="shared" si="305"/>
        <v>Valid</v>
      </c>
      <c r="AN1486" t="str">
        <f t="shared" si="306"/>
        <v>Valid</v>
      </c>
      <c r="AO1486" t="str">
        <f t="shared" si="307"/>
        <v>Valid</v>
      </c>
      <c r="AP1486" t="str">
        <f t="shared" si="308"/>
        <v>Valid</v>
      </c>
      <c r="AQ1486" t="str">
        <f>IF(Audit_Data[[#This Row],[Z_CostContact]]=3,"Valid","Invalid")</f>
        <v>Valid</v>
      </c>
      <c r="AR1486" t="str">
        <f t="shared" si="309"/>
        <v>Valid</v>
      </c>
      <c r="AS1486" t="str">
        <f t="shared" si="310"/>
        <v>Valid</v>
      </c>
    </row>
    <row r="1487" spans="1:45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 t="str">
        <f t="shared" si="299"/>
        <v>Ok</v>
      </c>
      <c r="AE1487" t="str">
        <f>IF(AND(Audit_Data[[#This Row],[Year_Birth]]&gt;=1900,Audit_Data[[#This Row],[Year_Birth]]&lt;=2010),"OK","Invalid")</f>
        <v>OK</v>
      </c>
      <c r="AF1487" t="str">
        <f t="shared" si="300"/>
        <v>Valid</v>
      </c>
      <c r="AG1487" t="str">
        <f t="shared" si="301"/>
        <v>Valid</v>
      </c>
      <c r="AH1487" t="str">
        <f t="shared" si="302"/>
        <v>Valid</v>
      </c>
      <c r="AI1487" t="str">
        <f t="shared" si="303"/>
        <v>Valid</v>
      </c>
      <c r="AJ1487" t="str">
        <f t="shared" si="304"/>
        <v>Valid</v>
      </c>
      <c r="AK1487" t="str">
        <f t="shared" si="311"/>
        <v xml:space="preserve">Valid </v>
      </c>
      <c r="AL1487" t="str">
        <f>IF(AND(Audit_Data[[#This Row],[Recency]]&gt;=0,Audit_Data[[#This Row],[Recency]]&lt;=100),"Valid","Invalid")</f>
        <v>Valid</v>
      </c>
      <c r="AM1487" t="str">
        <f t="shared" si="305"/>
        <v>Valid</v>
      </c>
      <c r="AN1487" t="str">
        <f t="shared" si="306"/>
        <v>Valid</v>
      </c>
      <c r="AO1487" t="str">
        <f t="shared" si="307"/>
        <v>Valid</v>
      </c>
      <c r="AP1487" t="str">
        <f t="shared" si="308"/>
        <v>Valid</v>
      </c>
      <c r="AQ1487" t="str">
        <f>IF(Audit_Data[[#This Row],[Z_CostContact]]=3,"Valid","Invalid")</f>
        <v>Valid</v>
      </c>
      <c r="AR1487" t="str">
        <f t="shared" si="309"/>
        <v>Valid</v>
      </c>
      <c r="AS1487" t="str">
        <f t="shared" si="310"/>
        <v>Valid</v>
      </c>
    </row>
    <row r="1488" spans="1:45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 t="str">
        <f t="shared" si="299"/>
        <v>Ok</v>
      </c>
      <c r="AE1488" t="str">
        <f>IF(AND(Audit_Data[[#This Row],[Year_Birth]]&gt;=1900,Audit_Data[[#This Row],[Year_Birth]]&lt;=2010),"OK","Invalid")</f>
        <v>OK</v>
      </c>
      <c r="AF1488" t="str">
        <f t="shared" si="300"/>
        <v>Valid</v>
      </c>
      <c r="AG1488" t="str">
        <f t="shared" si="301"/>
        <v>Valid</v>
      </c>
      <c r="AH1488" t="str">
        <f t="shared" si="302"/>
        <v>Valid</v>
      </c>
      <c r="AI1488" t="str">
        <f t="shared" si="303"/>
        <v>Valid</v>
      </c>
      <c r="AJ1488" t="str">
        <f t="shared" si="304"/>
        <v>Valid</v>
      </c>
      <c r="AK1488" t="str">
        <f t="shared" si="311"/>
        <v xml:space="preserve">Valid </v>
      </c>
      <c r="AL1488" t="str">
        <f>IF(AND(Audit_Data[[#This Row],[Recency]]&gt;=0,Audit_Data[[#This Row],[Recency]]&lt;=100),"Valid","Invalid")</f>
        <v>Valid</v>
      </c>
      <c r="AM1488" t="str">
        <f t="shared" si="305"/>
        <v>Valid</v>
      </c>
      <c r="AN1488" t="str">
        <f t="shared" si="306"/>
        <v>Valid</v>
      </c>
      <c r="AO1488" t="str">
        <f t="shared" si="307"/>
        <v>Valid</v>
      </c>
      <c r="AP1488" t="str">
        <f t="shared" si="308"/>
        <v>Valid</v>
      </c>
      <c r="AQ1488" t="str">
        <f>IF(Audit_Data[[#This Row],[Z_CostContact]]=3,"Valid","Invalid")</f>
        <v>Valid</v>
      </c>
      <c r="AR1488" t="str">
        <f t="shared" si="309"/>
        <v>Valid</v>
      </c>
      <c r="AS1488" t="str">
        <f t="shared" si="310"/>
        <v>Valid</v>
      </c>
    </row>
    <row r="1489" spans="1:45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 t="str">
        <f t="shared" si="299"/>
        <v>Ok</v>
      </c>
      <c r="AE1489" t="str">
        <f>IF(AND(Audit_Data[[#This Row],[Year_Birth]]&gt;=1900,Audit_Data[[#This Row],[Year_Birth]]&lt;=2010),"OK","Invalid")</f>
        <v>OK</v>
      </c>
      <c r="AF1489" t="str">
        <f t="shared" si="300"/>
        <v>Valid</v>
      </c>
      <c r="AG1489" t="str">
        <f t="shared" si="301"/>
        <v>Valid</v>
      </c>
      <c r="AH1489" t="str">
        <f t="shared" si="302"/>
        <v>Valid</v>
      </c>
      <c r="AI1489" t="str">
        <f t="shared" si="303"/>
        <v>Valid</v>
      </c>
      <c r="AJ1489" t="str">
        <f t="shared" si="304"/>
        <v>Valid</v>
      </c>
      <c r="AK1489" t="str">
        <f t="shared" si="311"/>
        <v xml:space="preserve">Valid </v>
      </c>
      <c r="AL1489" t="str">
        <f>IF(AND(Audit_Data[[#This Row],[Recency]]&gt;=0,Audit_Data[[#This Row],[Recency]]&lt;=100),"Valid","Invalid")</f>
        <v>Valid</v>
      </c>
      <c r="AM1489" t="str">
        <f t="shared" si="305"/>
        <v>Valid</v>
      </c>
      <c r="AN1489" t="str">
        <f t="shared" si="306"/>
        <v>Valid</v>
      </c>
      <c r="AO1489" t="str">
        <f t="shared" si="307"/>
        <v>Valid</v>
      </c>
      <c r="AP1489" t="str">
        <f t="shared" si="308"/>
        <v>Valid</v>
      </c>
      <c r="AQ1489" t="str">
        <f>IF(Audit_Data[[#This Row],[Z_CostContact]]=3,"Valid","Invalid")</f>
        <v>Valid</v>
      </c>
      <c r="AR1489" t="str">
        <f t="shared" si="309"/>
        <v>Valid</v>
      </c>
      <c r="AS1489" t="str">
        <f t="shared" si="310"/>
        <v>Valid</v>
      </c>
    </row>
    <row r="1490" spans="1:45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 t="str">
        <f t="shared" si="299"/>
        <v>Ok</v>
      </c>
      <c r="AE1490" t="str">
        <f>IF(AND(Audit_Data[[#This Row],[Year_Birth]]&gt;=1900,Audit_Data[[#This Row],[Year_Birth]]&lt;=2010),"OK","Invalid")</f>
        <v>OK</v>
      </c>
      <c r="AF1490" t="str">
        <f t="shared" si="300"/>
        <v>Valid</v>
      </c>
      <c r="AG1490" t="str">
        <f t="shared" si="301"/>
        <v>Valid</v>
      </c>
      <c r="AH1490" t="str">
        <f t="shared" si="302"/>
        <v>Valid</v>
      </c>
      <c r="AI1490" t="str">
        <f t="shared" si="303"/>
        <v>Valid</v>
      </c>
      <c r="AJ1490" t="str">
        <f t="shared" si="304"/>
        <v>Valid</v>
      </c>
      <c r="AK1490" t="str">
        <f t="shared" si="311"/>
        <v xml:space="preserve">Valid </v>
      </c>
      <c r="AL1490" t="str">
        <f>IF(AND(Audit_Data[[#This Row],[Recency]]&gt;=0,Audit_Data[[#This Row],[Recency]]&lt;=100),"Valid","Invalid")</f>
        <v>Valid</v>
      </c>
      <c r="AM1490" t="str">
        <f t="shared" si="305"/>
        <v>Valid</v>
      </c>
      <c r="AN1490" t="str">
        <f t="shared" si="306"/>
        <v>Valid</v>
      </c>
      <c r="AO1490" t="str">
        <f t="shared" si="307"/>
        <v>Valid</v>
      </c>
      <c r="AP1490" t="str">
        <f t="shared" si="308"/>
        <v>Valid</v>
      </c>
      <c r="AQ1490" t="str">
        <f>IF(Audit_Data[[#This Row],[Z_CostContact]]=3,"Valid","Invalid")</f>
        <v>Valid</v>
      </c>
      <c r="AR1490" t="str">
        <f t="shared" si="309"/>
        <v>Valid</v>
      </c>
      <c r="AS1490" t="str">
        <f t="shared" si="310"/>
        <v>Valid</v>
      </c>
    </row>
    <row r="1491" spans="1:45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 t="str">
        <f t="shared" si="299"/>
        <v>Ok</v>
      </c>
      <c r="AE1491" t="str">
        <f>IF(AND(Audit_Data[[#This Row],[Year_Birth]]&gt;=1900,Audit_Data[[#This Row],[Year_Birth]]&lt;=2010),"OK","Invalid")</f>
        <v>OK</v>
      </c>
      <c r="AF1491" t="str">
        <f t="shared" si="300"/>
        <v>Valid</v>
      </c>
      <c r="AG1491" t="str">
        <f t="shared" si="301"/>
        <v>Valid</v>
      </c>
      <c r="AH1491" t="str">
        <f t="shared" si="302"/>
        <v>Valid</v>
      </c>
      <c r="AI1491" t="str">
        <f t="shared" si="303"/>
        <v>Valid</v>
      </c>
      <c r="AJ1491" t="str">
        <f t="shared" si="304"/>
        <v>Valid</v>
      </c>
      <c r="AK1491" t="str">
        <f t="shared" si="311"/>
        <v xml:space="preserve">Valid </v>
      </c>
      <c r="AL1491" t="str">
        <f>IF(AND(Audit_Data[[#This Row],[Recency]]&gt;=0,Audit_Data[[#This Row],[Recency]]&lt;=100),"Valid","Invalid")</f>
        <v>Valid</v>
      </c>
      <c r="AM1491" t="str">
        <f t="shared" si="305"/>
        <v>Valid</v>
      </c>
      <c r="AN1491" t="str">
        <f t="shared" si="306"/>
        <v>Valid</v>
      </c>
      <c r="AO1491" t="str">
        <f t="shared" si="307"/>
        <v>Valid</v>
      </c>
      <c r="AP1491" t="str">
        <f t="shared" si="308"/>
        <v>Valid</v>
      </c>
      <c r="AQ1491" t="str">
        <f>IF(Audit_Data[[#This Row],[Z_CostContact]]=3,"Valid","Invalid")</f>
        <v>Valid</v>
      </c>
      <c r="AR1491" t="str">
        <f t="shared" si="309"/>
        <v>Valid</v>
      </c>
      <c r="AS1491" t="str">
        <f t="shared" si="310"/>
        <v>Valid</v>
      </c>
    </row>
    <row r="1492" spans="1:45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 t="str">
        <f t="shared" si="299"/>
        <v>Ok</v>
      </c>
      <c r="AE1492" t="str">
        <f>IF(AND(Audit_Data[[#This Row],[Year_Birth]]&gt;=1900,Audit_Data[[#This Row],[Year_Birth]]&lt;=2010),"OK","Invalid")</f>
        <v>OK</v>
      </c>
      <c r="AF1492" t="str">
        <f t="shared" si="300"/>
        <v>Valid</v>
      </c>
      <c r="AG1492" t="str">
        <f t="shared" si="301"/>
        <v>Valid</v>
      </c>
      <c r="AH1492" t="str">
        <f t="shared" si="302"/>
        <v>Valid</v>
      </c>
      <c r="AI1492" t="str">
        <f t="shared" si="303"/>
        <v>Valid</v>
      </c>
      <c r="AJ1492" t="str">
        <f t="shared" si="304"/>
        <v>Valid</v>
      </c>
      <c r="AK1492" t="str">
        <f t="shared" si="311"/>
        <v xml:space="preserve">Valid </v>
      </c>
      <c r="AL1492" t="str">
        <f>IF(AND(Audit_Data[[#This Row],[Recency]]&gt;=0,Audit_Data[[#This Row],[Recency]]&lt;=100),"Valid","Invalid")</f>
        <v>Valid</v>
      </c>
      <c r="AM1492" t="str">
        <f t="shared" si="305"/>
        <v>Valid</v>
      </c>
      <c r="AN1492" t="str">
        <f t="shared" si="306"/>
        <v>Valid</v>
      </c>
      <c r="AO1492" t="str">
        <f t="shared" si="307"/>
        <v>Valid</v>
      </c>
      <c r="AP1492" t="str">
        <f t="shared" si="308"/>
        <v>Valid</v>
      </c>
      <c r="AQ1492" t="str">
        <f>IF(Audit_Data[[#This Row],[Z_CostContact]]=3,"Valid","Invalid")</f>
        <v>Valid</v>
      </c>
      <c r="AR1492" t="str">
        <f t="shared" si="309"/>
        <v>Valid</v>
      </c>
      <c r="AS1492" t="str">
        <f t="shared" si="310"/>
        <v>Valid</v>
      </c>
    </row>
    <row r="1493" spans="1:45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 t="str">
        <f t="shared" si="299"/>
        <v>Ok</v>
      </c>
      <c r="AE1493" t="str">
        <f>IF(AND(Audit_Data[[#This Row],[Year_Birth]]&gt;=1900,Audit_Data[[#This Row],[Year_Birth]]&lt;=2010),"OK","Invalid")</f>
        <v>OK</v>
      </c>
      <c r="AF1493" t="str">
        <f t="shared" si="300"/>
        <v>Valid</v>
      </c>
      <c r="AG1493" t="str">
        <f t="shared" si="301"/>
        <v>Valid</v>
      </c>
      <c r="AH1493" t="str">
        <f t="shared" si="302"/>
        <v>Valid</v>
      </c>
      <c r="AI1493" t="str">
        <f t="shared" si="303"/>
        <v>Valid</v>
      </c>
      <c r="AJ1493" t="str">
        <f t="shared" si="304"/>
        <v>Valid</v>
      </c>
      <c r="AK1493" t="str">
        <f t="shared" si="311"/>
        <v xml:space="preserve">Valid </v>
      </c>
      <c r="AL1493" t="str">
        <f>IF(AND(Audit_Data[[#This Row],[Recency]]&gt;=0,Audit_Data[[#This Row],[Recency]]&lt;=100),"Valid","Invalid")</f>
        <v>Valid</v>
      </c>
      <c r="AM1493" t="str">
        <f t="shared" si="305"/>
        <v>Valid</v>
      </c>
      <c r="AN1493" t="str">
        <f t="shared" si="306"/>
        <v>Valid</v>
      </c>
      <c r="AO1493" t="str">
        <f t="shared" si="307"/>
        <v>Valid</v>
      </c>
      <c r="AP1493" t="str">
        <f t="shared" si="308"/>
        <v>Valid</v>
      </c>
      <c r="AQ1493" t="str">
        <f>IF(Audit_Data[[#This Row],[Z_CostContact]]=3,"Valid","Invalid")</f>
        <v>Valid</v>
      </c>
      <c r="AR1493" t="str">
        <f t="shared" si="309"/>
        <v>Valid</v>
      </c>
      <c r="AS1493" t="str">
        <f t="shared" si="310"/>
        <v>Valid</v>
      </c>
    </row>
    <row r="1494" spans="1:45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 t="str">
        <f t="shared" si="299"/>
        <v>Ok</v>
      </c>
      <c r="AE1494" t="str">
        <f>IF(AND(Audit_Data[[#This Row],[Year_Birth]]&gt;=1900,Audit_Data[[#This Row],[Year_Birth]]&lt;=2010),"OK","Invalid")</f>
        <v>OK</v>
      </c>
      <c r="AF1494" t="str">
        <f t="shared" si="300"/>
        <v>Valid</v>
      </c>
      <c r="AG1494" t="str">
        <f t="shared" si="301"/>
        <v>Valid</v>
      </c>
      <c r="AH1494" t="str">
        <f t="shared" si="302"/>
        <v>Valid</v>
      </c>
      <c r="AI1494" t="str">
        <f t="shared" si="303"/>
        <v>Valid</v>
      </c>
      <c r="AJ1494" t="str">
        <f t="shared" si="304"/>
        <v>Valid</v>
      </c>
      <c r="AK1494" t="str">
        <f t="shared" si="311"/>
        <v xml:space="preserve">Valid </v>
      </c>
      <c r="AL1494" t="str">
        <f>IF(AND(Audit_Data[[#This Row],[Recency]]&gt;=0,Audit_Data[[#This Row],[Recency]]&lt;=100),"Valid","Invalid")</f>
        <v>Valid</v>
      </c>
      <c r="AM1494" t="str">
        <f t="shared" si="305"/>
        <v>Valid</v>
      </c>
      <c r="AN1494" t="str">
        <f t="shared" si="306"/>
        <v>Valid</v>
      </c>
      <c r="AO1494" t="str">
        <f t="shared" si="307"/>
        <v>Valid</v>
      </c>
      <c r="AP1494" t="str">
        <f t="shared" si="308"/>
        <v>Valid</v>
      </c>
      <c r="AQ1494" t="str">
        <f>IF(Audit_Data[[#This Row],[Z_CostContact]]=3,"Valid","Invalid")</f>
        <v>Valid</v>
      </c>
      <c r="AR1494" t="str">
        <f t="shared" si="309"/>
        <v>Valid</v>
      </c>
      <c r="AS1494" t="str">
        <f t="shared" si="310"/>
        <v>Valid</v>
      </c>
    </row>
    <row r="1495" spans="1:45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 t="str">
        <f t="shared" si="299"/>
        <v>Ok</v>
      </c>
      <c r="AE1495" t="str">
        <f>IF(AND(Audit_Data[[#This Row],[Year_Birth]]&gt;=1900,Audit_Data[[#This Row],[Year_Birth]]&lt;=2010),"OK","Invalid")</f>
        <v>OK</v>
      </c>
      <c r="AF1495" t="str">
        <f t="shared" si="300"/>
        <v>Valid</v>
      </c>
      <c r="AG1495" t="str">
        <f t="shared" si="301"/>
        <v>Valid</v>
      </c>
      <c r="AH1495" t="str">
        <f t="shared" si="302"/>
        <v>Valid</v>
      </c>
      <c r="AI1495" t="str">
        <f t="shared" si="303"/>
        <v>Valid</v>
      </c>
      <c r="AJ1495" t="str">
        <f t="shared" si="304"/>
        <v>Valid</v>
      </c>
      <c r="AK1495" t="str">
        <f t="shared" si="311"/>
        <v xml:space="preserve">Valid </v>
      </c>
      <c r="AL1495" t="str">
        <f>IF(AND(Audit_Data[[#This Row],[Recency]]&gt;=0,Audit_Data[[#This Row],[Recency]]&lt;=100),"Valid","Invalid")</f>
        <v>Valid</v>
      </c>
      <c r="AM1495" t="str">
        <f t="shared" si="305"/>
        <v>Valid</v>
      </c>
      <c r="AN1495" t="str">
        <f t="shared" si="306"/>
        <v>Valid</v>
      </c>
      <c r="AO1495" t="str">
        <f t="shared" si="307"/>
        <v>Valid</v>
      </c>
      <c r="AP1495" t="str">
        <f t="shared" si="308"/>
        <v>Valid</v>
      </c>
      <c r="AQ1495" t="str">
        <f>IF(Audit_Data[[#This Row],[Z_CostContact]]=3,"Valid","Invalid")</f>
        <v>Valid</v>
      </c>
      <c r="AR1495" t="str">
        <f t="shared" si="309"/>
        <v>Valid</v>
      </c>
      <c r="AS1495" t="str">
        <f t="shared" si="310"/>
        <v>Valid</v>
      </c>
    </row>
    <row r="1496" spans="1:45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 t="str">
        <f t="shared" si="299"/>
        <v>Ok</v>
      </c>
      <c r="AE1496" t="str">
        <f>IF(AND(Audit_Data[[#This Row],[Year_Birth]]&gt;=1900,Audit_Data[[#This Row],[Year_Birth]]&lt;=2010),"OK","Invalid")</f>
        <v>OK</v>
      </c>
      <c r="AF1496" t="str">
        <f t="shared" si="300"/>
        <v>Valid</v>
      </c>
      <c r="AG1496" t="str">
        <f t="shared" si="301"/>
        <v>Valid</v>
      </c>
      <c r="AH1496" t="str">
        <f t="shared" si="302"/>
        <v>Valid</v>
      </c>
      <c r="AI1496" t="str">
        <f t="shared" si="303"/>
        <v>Valid</v>
      </c>
      <c r="AJ1496" t="str">
        <f t="shared" si="304"/>
        <v>Valid</v>
      </c>
      <c r="AK1496" t="str">
        <f t="shared" si="311"/>
        <v xml:space="preserve">Valid </v>
      </c>
      <c r="AL1496" t="str">
        <f>IF(AND(Audit_Data[[#This Row],[Recency]]&gt;=0,Audit_Data[[#This Row],[Recency]]&lt;=100),"Valid","Invalid")</f>
        <v>Valid</v>
      </c>
      <c r="AM1496" t="str">
        <f t="shared" si="305"/>
        <v>Valid</v>
      </c>
      <c r="AN1496" t="str">
        <f t="shared" si="306"/>
        <v>Valid</v>
      </c>
      <c r="AO1496" t="str">
        <f t="shared" si="307"/>
        <v>Valid</v>
      </c>
      <c r="AP1496" t="str">
        <f t="shared" si="308"/>
        <v>Valid</v>
      </c>
      <c r="AQ1496" t="str">
        <f>IF(Audit_Data[[#This Row],[Z_CostContact]]=3,"Valid","Invalid")</f>
        <v>Valid</v>
      </c>
      <c r="AR1496" t="str">
        <f t="shared" si="309"/>
        <v>Valid</v>
      </c>
      <c r="AS1496" t="str">
        <f t="shared" si="310"/>
        <v>Valid</v>
      </c>
    </row>
    <row r="1497" spans="1:45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 t="str">
        <f t="shared" si="299"/>
        <v>Ok</v>
      </c>
      <c r="AE1497" t="str">
        <f>IF(AND(Audit_Data[[#This Row],[Year_Birth]]&gt;=1900,Audit_Data[[#This Row],[Year_Birth]]&lt;=2010),"OK","Invalid")</f>
        <v>OK</v>
      </c>
      <c r="AF1497" t="str">
        <f t="shared" si="300"/>
        <v>Valid</v>
      </c>
      <c r="AG1497" t="str">
        <f t="shared" si="301"/>
        <v>Valid</v>
      </c>
      <c r="AH1497" t="str">
        <f t="shared" si="302"/>
        <v>Valid</v>
      </c>
      <c r="AI1497" t="str">
        <f t="shared" si="303"/>
        <v>Valid</v>
      </c>
      <c r="AJ1497" t="str">
        <f t="shared" si="304"/>
        <v>Valid</v>
      </c>
      <c r="AK1497" t="str">
        <f t="shared" si="311"/>
        <v xml:space="preserve">Valid </v>
      </c>
      <c r="AL1497" t="str">
        <f>IF(AND(Audit_Data[[#This Row],[Recency]]&gt;=0,Audit_Data[[#This Row],[Recency]]&lt;=100),"Valid","Invalid")</f>
        <v>Valid</v>
      </c>
      <c r="AM1497" t="str">
        <f t="shared" si="305"/>
        <v>Valid</v>
      </c>
      <c r="AN1497" t="str">
        <f t="shared" si="306"/>
        <v>Valid</v>
      </c>
      <c r="AO1497" t="str">
        <f t="shared" si="307"/>
        <v>Valid</v>
      </c>
      <c r="AP1497" t="str">
        <f t="shared" si="308"/>
        <v>Valid</v>
      </c>
      <c r="AQ1497" t="str">
        <f>IF(Audit_Data[[#This Row],[Z_CostContact]]=3,"Valid","Invalid")</f>
        <v>Valid</v>
      </c>
      <c r="AR1497" t="str">
        <f t="shared" si="309"/>
        <v>Valid</v>
      </c>
      <c r="AS1497" t="str">
        <f t="shared" si="310"/>
        <v>Valid</v>
      </c>
    </row>
    <row r="1498" spans="1:45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 t="str">
        <f t="shared" si="299"/>
        <v>Ok</v>
      </c>
      <c r="AE1498" t="str">
        <f>IF(AND(Audit_Data[[#This Row],[Year_Birth]]&gt;=1900,Audit_Data[[#This Row],[Year_Birth]]&lt;=2010),"OK","Invalid")</f>
        <v>OK</v>
      </c>
      <c r="AF1498" t="str">
        <f t="shared" si="300"/>
        <v>Valid</v>
      </c>
      <c r="AG1498" t="str">
        <f t="shared" si="301"/>
        <v>Valid</v>
      </c>
      <c r="AH1498" t="str">
        <f t="shared" si="302"/>
        <v>Valid</v>
      </c>
      <c r="AI1498" t="str">
        <f t="shared" si="303"/>
        <v>Valid</v>
      </c>
      <c r="AJ1498" t="str">
        <f t="shared" si="304"/>
        <v>Valid</v>
      </c>
      <c r="AK1498" t="str">
        <f t="shared" si="311"/>
        <v xml:space="preserve">Valid </v>
      </c>
      <c r="AL1498" t="str">
        <f>IF(AND(Audit_Data[[#This Row],[Recency]]&gt;=0,Audit_Data[[#This Row],[Recency]]&lt;=100),"Valid","Invalid")</f>
        <v>Valid</v>
      </c>
      <c r="AM1498" t="str">
        <f t="shared" si="305"/>
        <v>Valid</v>
      </c>
      <c r="AN1498" t="str">
        <f t="shared" si="306"/>
        <v>Valid</v>
      </c>
      <c r="AO1498" t="str">
        <f t="shared" si="307"/>
        <v>Valid</v>
      </c>
      <c r="AP1498" t="str">
        <f t="shared" si="308"/>
        <v>Valid</v>
      </c>
      <c r="AQ1498" t="str">
        <f>IF(Audit_Data[[#This Row],[Z_CostContact]]=3,"Valid","Invalid")</f>
        <v>Valid</v>
      </c>
      <c r="AR1498" t="str">
        <f t="shared" si="309"/>
        <v>Valid</v>
      </c>
      <c r="AS1498" t="str">
        <f t="shared" si="310"/>
        <v>Valid</v>
      </c>
    </row>
    <row r="1499" spans="1:45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 t="str">
        <f t="shared" si="299"/>
        <v>Ok</v>
      </c>
      <c r="AE1499" t="str">
        <f>IF(AND(Audit_Data[[#This Row],[Year_Birth]]&gt;=1900,Audit_Data[[#This Row],[Year_Birth]]&lt;=2010),"OK","Invalid")</f>
        <v>OK</v>
      </c>
      <c r="AF1499" t="str">
        <f t="shared" si="300"/>
        <v>Valid</v>
      </c>
      <c r="AG1499" t="str">
        <f t="shared" si="301"/>
        <v>Valid</v>
      </c>
      <c r="AH1499" t="str">
        <f t="shared" si="302"/>
        <v>Valid</v>
      </c>
      <c r="AI1499" t="str">
        <f t="shared" si="303"/>
        <v>Valid</v>
      </c>
      <c r="AJ1499" t="str">
        <f t="shared" si="304"/>
        <v>Valid</v>
      </c>
      <c r="AK1499" t="str">
        <f t="shared" si="311"/>
        <v xml:space="preserve">Valid </v>
      </c>
      <c r="AL1499" t="str">
        <f>IF(AND(Audit_Data[[#This Row],[Recency]]&gt;=0,Audit_Data[[#This Row],[Recency]]&lt;=100),"Valid","Invalid")</f>
        <v>Valid</v>
      </c>
      <c r="AM1499" t="str">
        <f t="shared" si="305"/>
        <v>Valid</v>
      </c>
      <c r="AN1499" t="str">
        <f t="shared" si="306"/>
        <v>Valid</v>
      </c>
      <c r="AO1499" t="str">
        <f t="shared" si="307"/>
        <v>Valid</v>
      </c>
      <c r="AP1499" t="str">
        <f t="shared" si="308"/>
        <v>Valid</v>
      </c>
      <c r="AQ1499" t="str">
        <f>IF(Audit_Data[[#This Row],[Z_CostContact]]=3,"Valid","Invalid")</f>
        <v>Valid</v>
      </c>
      <c r="AR1499" t="str">
        <f t="shared" si="309"/>
        <v>Valid</v>
      </c>
      <c r="AS1499" t="str">
        <f t="shared" si="310"/>
        <v>Valid</v>
      </c>
    </row>
    <row r="1500" spans="1:45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 t="str">
        <f t="shared" si="299"/>
        <v>Ok</v>
      </c>
      <c r="AE1500" t="str">
        <f>IF(AND(Audit_Data[[#This Row],[Year_Birth]]&gt;=1900,Audit_Data[[#This Row],[Year_Birth]]&lt;=2010),"OK","Invalid")</f>
        <v>OK</v>
      </c>
      <c r="AF1500" t="str">
        <f t="shared" si="300"/>
        <v>Valid</v>
      </c>
      <c r="AG1500" t="str">
        <f t="shared" si="301"/>
        <v>Valid</v>
      </c>
      <c r="AH1500" t="str">
        <f t="shared" si="302"/>
        <v>Valid</v>
      </c>
      <c r="AI1500" t="str">
        <f t="shared" si="303"/>
        <v>Valid</v>
      </c>
      <c r="AJ1500" t="str">
        <f t="shared" si="304"/>
        <v>Valid</v>
      </c>
      <c r="AK1500" t="str">
        <f t="shared" si="311"/>
        <v xml:space="preserve">Valid </v>
      </c>
      <c r="AL1500" t="str">
        <f>IF(AND(Audit_Data[[#This Row],[Recency]]&gt;=0,Audit_Data[[#This Row],[Recency]]&lt;=100),"Valid","Invalid")</f>
        <v>Valid</v>
      </c>
      <c r="AM1500" t="str">
        <f t="shared" si="305"/>
        <v>Valid</v>
      </c>
      <c r="AN1500" t="str">
        <f t="shared" si="306"/>
        <v>Valid</v>
      </c>
      <c r="AO1500" t="str">
        <f t="shared" si="307"/>
        <v>Valid</v>
      </c>
      <c r="AP1500" t="str">
        <f t="shared" si="308"/>
        <v>Valid</v>
      </c>
      <c r="AQ1500" t="str">
        <f>IF(Audit_Data[[#This Row],[Z_CostContact]]=3,"Valid","Invalid")</f>
        <v>Valid</v>
      </c>
      <c r="AR1500" t="str">
        <f t="shared" si="309"/>
        <v>Valid</v>
      </c>
      <c r="AS1500" t="str">
        <f t="shared" si="310"/>
        <v>Valid</v>
      </c>
    </row>
    <row r="1501" spans="1:45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 t="str">
        <f t="shared" si="299"/>
        <v>Ok</v>
      </c>
      <c r="AE1501" t="str">
        <f>IF(AND(Audit_Data[[#This Row],[Year_Birth]]&gt;=1900,Audit_Data[[#This Row],[Year_Birth]]&lt;=2010),"OK","Invalid")</f>
        <v>OK</v>
      </c>
      <c r="AF1501" t="str">
        <f t="shared" si="300"/>
        <v>Valid</v>
      </c>
      <c r="AG1501" t="str">
        <f t="shared" si="301"/>
        <v>Valid</v>
      </c>
      <c r="AH1501" t="str">
        <f t="shared" si="302"/>
        <v>Valid</v>
      </c>
      <c r="AI1501" t="str">
        <f t="shared" si="303"/>
        <v>Valid</v>
      </c>
      <c r="AJ1501" t="str">
        <f t="shared" si="304"/>
        <v>Valid</v>
      </c>
      <c r="AK1501" t="str">
        <f t="shared" si="311"/>
        <v xml:space="preserve">Valid </v>
      </c>
      <c r="AL1501" t="str">
        <f>IF(AND(Audit_Data[[#This Row],[Recency]]&gt;=0,Audit_Data[[#This Row],[Recency]]&lt;=100),"Valid","Invalid")</f>
        <v>Valid</v>
      </c>
      <c r="AM1501" t="str">
        <f t="shared" si="305"/>
        <v>Valid</v>
      </c>
      <c r="AN1501" t="str">
        <f t="shared" si="306"/>
        <v>Valid</v>
      </c>
      <c r="AO1501" t="str">
        <f t="shared" si="307"/>
        <v>Valid</v>
      </c>
      <c r="AP1501" t="str">
        <f t="shared" si="308"/>
        <v>Valid</v>
      </c>
      <c r="AQ1501" t="str">
        <f>IF(Audit_Data[[#This Row],[Z_CostContact]]=3,"Valid","Invalid")</f>
        <v>Valid</v>
      </c>
      <c r="AR1501" t="str">
        <f t="shared" si="309"/>
        <v>Valid</v>
      </c>
      <c r="AS1501" t="str">
        <f t="shared" si="310"/>
        <v>Valid</v>
      </c>
    </row>
    <row r="1502" spans="1:45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 t="str">
        <f t="shared" si="299"/>
        <v>Ok</v>
      </c>
      <c r="AE1502" t="str">
        <f>IF(AND(Audit_Data[[#This Row],[Year_Birth]]&gt;=1900,Audit_Data[[#This Row],[Year_Birth]]&lt;=2010),"OK","Invalid")</f>
        <v>OK</v>
      </c>
      <c r="AF1502" t="str">
        <f t="shared" si="300"/>
        <v>Valid</v>
      </c>
      <c r="AG1502" t="str">
        <f t="shared" si="301"/>
        <v>Valid</v>
      </c>
      <c r="AH1502" t="str">
        <f t="shared" si="302"/>
        <v>Valid</v>
      </c>
      <c r="AI1502" t="str">
        <f t="shared" si="303"/>
        <v>Valid</v>
      </c>
      <c r="AJ1502" t="str">
        <f t="shared" si="304"/>
        <v>Valid</v>
      </c>
      <c r="AK1502" t="str">
        <f t="shared" si="311"/>
        <v xml:space="preserve">Valid </v>
      </c>
      <c r="AL1502" t="str">
        <f>IF(AND(Audit_Data[[#This Row],[Recency]]&gt;=0,Audit_Data[[#This Row],[Recency]]&lt;=100),"Valid","Invalid")</f>
        <v>Valid</v>
      </c>
      <c r="AM1502" t="str">
        <f t="shared" si="305"/>
        <v>Valid</v>
      </c>
      <c r="AN1502" t="str">
        <f t="shared" si="306"/>
        <v>Valid</v>
      </c>
      <c r="AO1502" t="str">
        <f t="shared" si="307"/>
        <v>Valid</v>
      </c>
      <c r="AP1502" t="str">
        <f t="shared" si="308"/>
        <v>Valid</v>
      </c>
      <c r="AQ1502" t="str">
        <f>IF(Audit_Data[[#This Row],[Z_CostContact]]=3,"Valid","Invalid")</f>
        <v>Valid</v>
      </c>
      <c r="AR1502" t="str">
        <f t="shared" si="309"/>
        <v>Valid</v>
      </c>
      <c r="AS1502" t="str">
        <f t="shared" si="310"/>
        <v>Valid</v>
      </c>
    </row>
    <row r="1503" spans="1:45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 t="str">
        <f t="shared" si="299"/>
        <v>Ok</v>
      </c>
      <c r="AE1503" t="str">
        <f>IF(AND(Audit_Data[[#This Row],[Year_Birth]]&gt;=1900,Audit_Data[[#This Row],[Year_Birth]]&lt;=2010),"OK","Invalid")</f>
        <v>OK</v>
      </c>
      <c r="AF1503" t="str">
        <f t="shared" si="300"/>
        <v>Valid</v>
      </c>
      <c r="AG1503" t="str">
        <f t="shared" si="301"/>
        <v>Valid</v>
      </c>
      <c r="AH1503" t="str">
        <f t="shared" si="302"/>
        <v>Valid</v>
      </c>
      <c r="AI1503" t="str">
        <f t="shared" si="303"/>
        <v>Valid</v>
      </c>
      <c r="AJ1503" t="str">
        <f t="shared" si="304"/>
        <v>Valid</v>
      </c>
      <c r="AK1503" t="str">
        <f t="shared" si="311"/>
        <v xml:space="preserve">Valid </v>
      </c>
      <c r="AL1503" t="str">
        <f>IF(AND(Audit_Data[[#This Row],[Recency]]&gt;=0,Audit_Data[[#This Row],[Recency]]&lt;=100),"Valid","Invalid")</f>
        <v>Valid</v>
      </c>
      <c r="AM1503" t="str">
        <f t="shared" si="305"/>
        <v>Valid</v>
      </c>
      <c r="AN1503" t="str">
        <f t="shared" si="306"/>
        <v>Valid</v>
      </c>
      <c r="AO1503" t="str">
        <f t="shared" si="307"/>
        <v>Valid</v>
      </c>
      <c r="AP1503" t="str">
        <f t="shared" si="308"/>
        <v>Valid</v>
      </c>
      <c r="AQ1503" t="str">
        <f>IF(Audit_Data[[#This Row],[Z_CostContact]]=3,"Valid","Invalid")</f>
        <v>Valid</v>
      </c>
      <c r="AR1503" t="str">
        <f t="shared" si="309"/>
        <v>Valid</v>
      </c>
      <c r="AS1503" t="str">
        <f t="shared" si="310"/>
        <v>Valid</v>
      </c>
    </row>
    <row r="1504" spans="1:45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 t="str">
        <f t="shared" si="299"/>
        <v>Ok</v>
      </c>
      <c r="AE1504" t="str">
        <f>IF(AND(Audit_Data[[#This Row],[Year_Birth]]&gt;=1900,Audit_Data[[#This Row],[Year_Birth]]&lt;=2010),"OK","Invalid")</f>
        <v>OK</v>
      </c>
      <c r="AF1504" t="str">
        <f t="shared" si="300"/>
        <v>Valid</v>
      </c>
      <c r="AG1504" t="str">
        <f t="shared" si="301"/>
        <v>Valid</v>
      </c>
      <c r="AH1504" t="str">
        <f t="shared" si="302"/>
        <v>Valid</v>
      </c>
      <c r="AI1504" t="str">
        <f t="shared" si="303"/>
        <v>Valid</v>
      </c>
      <c r="AJ1504" t="str">
        <f t="shared" si="304"/>
        <v>Valid</v>
      </c>
      <c r="AK1504" t="str">
        <f t="shared" si="311"/>
        <v xml:space="preserve">Valid </v>
      </c>
      <c r="AL1504" t="str">
        <f>IF(AND(Audit_Data[[#This Row],[Recency]]&gt;=0,Audit_Data[[#This Row],[Recency]]&lt;=100),"Valid","Invalid")</f>
        <v>Valid</v>
      </c>
      <c r="AM1504" t="str">
        <f t="shared" si="305"/>
        <v>Valid</v>
      </c>
      <c r="AN1504" t="str">
        <f t="shared" si="306"/>
        <v>Valid</v>
      </c>
      <c r="AO1504" t="str">
        <f t="shared" si="307"/>
        <v>Valid</v>
      </c>
      <c r="AP1504" t="str">
        <f t="shared" si="308"/>
        <v>Valid</v>
      </c>
      <c r="AQ1504" t="str">
        <f>IF(Audit_Data[[#This Row],[Z_CostContact]]=3,"Valid","Invalid")</f>
        <v>Valid</v>
      </c>
      <c r="AR1504" t="str">
        <f t="shared" si="309"/>
        <v>Valid</v>
      </c>
      <c r="AS1504" t="str">
        <f t="shared" si="310"/>
        <v>Valid</v>
      </c>
    </row>
    <row r="1505" spans="1:45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 t="str">
        <f t="shared" si="299"/>
        <v>Ok</v>
      </c>
      <c r="AE1505" t="str">
        <f>IF(AND(Audit_Data[[#This Row],[Year_Birth]]&gt;=1900,Audit_Data[[#This Row],[Year_Birth]]&lt;=2010),"OK","Invalid")</f>
        <v>OK</v>
      </c>
      <c r="AF1505" t="str">
        <f t="shared" si="300"/>
        <v>Valid</v>
      </c>
      <c r="AG1505" t="str">
        <f t="shared" si="301"/>
        <v>Valid</v>
      </c>
      <c r="AH1505" t="str">
        <f t="shared" si="302"/>
        <v>Valid</v>
      </c>
      <c r="AI1505" t="str">
        <f t="shared" si="303"/>
        <v>Valid</v>
      </c>
      <c r="AJ1505" t="str">
        <f t="shared" si="304"/>
        <v>Valid</v>
      </c>
      <c r="AK1505" t="str">
        <f t="shared" si="311"/>
        <v xml:space="preserve">Valid </v>
      </c>
      <c r="AL1505" t="str">
        <f>IF(AND(Audit_Data[[#This Row],[Recency]]&gt;=0,Audit_Data[[#This Row],[Recency]]&lt;=100),"Valid","Invalid")</f>
        <v>Valid</v>
      </c>
      <c r="AM1505" t="str">
        <f t="shared" si="305"/>
        <v>Valid</v>
      </c>
      <c r="AN1505" t="str">
        <f t="shared" si="306"/>
        <v>Valid</v>
      </c>
      <c r="AO1505" t="str">
        <f t="shared" si="307"/>
        <v>Valid</v>
      </c>
      <c r="AP1505" t="str">
        <f t="shared" si="308"/>
        <v>Valid</v>
      </c>
      <c r="AQ1505" t="str">
        <f>IF(Audit_Data[[#This Row],[Z_CostContact]]=3,"Valid","Invalid")</f>
        <v>Valid</v>
      </c>
      <c r="AR1505" t="str">
        <f t="shared" si="309"/>
        <v>Valid</v>
      </c>
      <c r="AS1505" t="str">
        <f t="shared" si="310"/>
        <v>Valid</v>
      </c>
    </row>
    <row r="1506" spans="1:45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 t="str">
        <f t="shared" si="299"/>
        <v>Ok</v>
      </c>
      <c r="AE1506" t="str">
        <f>IF(AND(Audit_Data[[#This Row],[Year_Birth]]&gt;=1900,Audit_Data[[#This Row],[Year_Birth]]&lt;=2010),"OK","Invalid")</f>
        <v>OK</v>
      </c>
      <c r="AF1506" t="str">
        <f t="shared" si="300"/>
        <v>Valid</v>
      </c>
      <c r="AG1506" t="str">
        <f t="shared" si="301"/>
        <v>Valid</v>
      </c>
      <c r="AH1506" t="str">
        <f t="shared" si="302"/>
        <v>Valid</v>
      </c>
      <c r="AI1506" t="str">
        <f t="shared" si="303"/>
        <v>Valid</v>
      </c>
      <c r="AJ1506" t="str">
        <f t="shared" si="304"/>
        <v>Valid</v>
      </c>
      <c r="AK1506" t="str">
        <f t="shared" si="311"/>
        <v xml:space="preserve">Valid </v>
      </c>
      <c r="AL1506" t="str">
        <f>IF(AND(Audit_Data[[#This Row],[Recency]]&gt;=0,Audit_Data[[#This Row],[Recency]]&lt;=100),"Valid","Invalid")</f>
        <v>Valid</v>
      </c>
      <c r="AM1506" t="str">
        <f t="shared" si="305"/>
        <v>Valid</v>
      </c>
      <c r="AN1506" t="str">
        <f t="shared" si="306"/>
        <v>Valid</v>
      </c>
      <c r="AO1506" t="str">
        <f t="shared" si="307"/>
        <v>Valid</v>
      </c>
      <c r="AP1506" t="str">
        <f t="shared" si="308"/>
        <v>Valid</v>
      </c>
      <c r="AQ1506" t="str">
        <f>IF(Audit_Data[[#This Row],[Z_CostContact]]=3,"Valid","Invalid")</f>
        <v>Valid</v>
      </c>
      <c r="AR1506" t="str">
        <f t="shared" si="309"/>
        <v>Valid</v>
      </c>
      <c r="AS1506" t="str">
        <f t="shared" si="310"/>
        <v>Valid</v>
      </c>
    </row>
    <row r="1507" spans="1:45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 t="str">
        <f t="shared" si="299"/>
        <v>Ok</v>
      </c>
      <c r="AE1507" t="str">
        <f>IF(AND(Audit_Data[[#This Row],[Year_Birth]]&gt;=1900,Audit_Data[[#This Row],[Year_Birth]]&lt;=2010),"OK","Invalid")</f>
        <v>OK</v>
      </c>
      <c r="AF1507" t="str">
        <f t="shared" si="300"/>
        <v>Valid</v>
      </c>
      <c r="AG1507" t="str">
        <f t="shared" si="301"/>
        <v>Valid</v>
      </c>
      <c r="AH1507" t="str">
        <f t="shared" si="302"/>
        <v>Valid</v>
      </c>
      <c r="AI1507" t="str">
        <f t="shared" si="303"/>
        <v>Valid</v>
      </c>
      <c r="AJ1507" t="str">
        <f t="shared" si="304"/>
        <v>Valid</v>
      </c>
      <c r="AK1507" t="str">
        <f t="shared" si="311"/>
        <v xml:space="preserve">Valid </v>
      </c>
      <c r="AL1507" t="str">
        <f>IF(AND(Audit_Data[[#This Row],[Recency]]&gt;=0,Audit_Data[[#This Row],[Recency]]&lt;=100),"Valid","Invalid")</f>
        <v>Valid</v>
      </c>
      <c r="AM1507" t="str">
        <f t="shared" si="305"/>
        <v>Valid</v>
      </c>
      <c r="AN1507" t="str">
        <f t="shared" si="306"/>
        <v>Valid</v>
      </c>
      <c r="AO1507" t="str">
        <f t="shared" si="307"/>
        <v>Valid</v>
      </c>
      <c r="AP1507" t="str">
        <f t="shared" si="308"/>
        <v>Valid</v>
      </c>
      <c r="AQ1507" t="str">
        <f>IF(Audit_Data[[#This Row],[Z_CostContact]]=3,"Valid","Invalid")</f>
        <v>Valid</v>
      </c>
      <c r="AR1507" t="str">
        <f t="shared" si="309"/>
        <v>Valid</v>
      </c>
      <c r="AS1507" t="str">
        <f t="shared" si="310"/>
        <v>Valid</v>
      </c>
    </row>
    <row r="1508" spans="1:45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 t="str">
        <f t="shared" si="299"/>
        <v>Ok</v>
      </c>
      <c r="AE1508" t="str">
        <f>IF(AND(Audit_Data[[#This Row],[Year_Birth]]&gt;=1900,Audit_Data[[#This Row],[Year_Birth]]&lt;=2010),"OK","Invalid")</f>
        <v>OK</v>
      </c>
      <c r="AF1508" t="str">
        <f t="shared" si="300"/>
        <v>Valid</v>
      </c>
      <c r="AG1508" t="str">
        <f t="shared" si="301"/>
        <v>Valid</v>
      </c>
      <c r="AH1508" t="str">
        <f t="shared" si="302"/>
        <v>Valid</v>
      </c>
      <c r="AI1508" t="str">
        <f t="shared" si="303"/>
        <v>Valid</v>
      </c>
      <c r="AJ1508" t="str">
        <f t="shared" si="304"/>
        <v>Valid</v>
      </c>
      <c r="AK1508" t="str">
        <f t="shared" si="311"/>
        <v xml:space="preserve">Valid </v>
      </c>
      <c r="AL1508" t="str">
        <f>IF(AND(Audit_Data[[#This Row],[Recency]]&gt;=0,Audit_Data[[#This Row],[Recency]]&lt;=100),"Valid","Invalid")</f>
        <v>Valid</v>
      </c>
      <c r="AM1508" t="str">
        <f t="shared" si="305"/>
        <v>Valid</v>
      </c>
      <c r="AN1508" t="str">
        <f t="shared" si="306"/>
        <v>Valid</v>
      </c>
      <c r="AO1508" t="str">
        <f t="shared" si="307"/>
        <v>Valid</v>
      </c>
      <c r="AP1508" t="str">
        <f t="shared" si="308"/>
        <v>Valid</v>
      </c>
      <c r="AQ1508" t="str">
        <f>IF(Audit_Data[[#This Row],[Z_CostContact]]=3,"Valid","Invalid")</f>
        <v>Valid</v>
      </c>
      <c r="AR1508" t="str">
        <f t="shared" si="309"/>
        <v>Valid</v>
      </c>
      <c r="AS1508" t="str">
        <f t="shared" si="310"/>
        <v>Valid</v>
      </c>
    </row>
    <row r="1509" spans="1:45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 t="str">
        <f t="shared" si="299"/>
        <v>Ok</v>
      </c>
      <c r="AE1509" t="str">
        <f>IF(AND(Audit_Data[[#This Row],[Year_Birth]]&gt;=1900,Audit_Data[[#This Row],[Year_Birth]]&lt;=2010),"OK","Invalid")</f>
        <v>OK</v>
      </c>
      <c r="AF1509" t="str">
        <f t="shared" si="300"/>
        <v>Valid</v>
      </c>
      <c r="AG1509" t="str">
        <f t="shared" si="301"/>
        <v>Valid</v>
      </c>
      <c r="AH1509" t="str">
        <f t="shared" si="302"/>
        <v>Valid</v>
      </c>
      <c r="AI1509" t="str">
        <f t="shared" si="303"/>
        <v>Valid</v>
      </c>
      <c r="AJ1509" t="str">
        <f t="shared" si="304"/>
        <v>Valid</v>
      </c>
      <c r="AK1509" t="str">
        <f t="shared" si="311"/>
        <v xml:space="preserve">Valid </v>
      </c>
      <c r="AL1509" t="str">
        <f>IF(AND(Audit_Data[[#This Row],[Recency]]&gt;=0,Audit_Data[[#This Row],[Recency]]&lt;=100),"Valid","Invalid")</f>
        <v>Valid</v>
      </c>
      <c r="AM1509" t="str">
        <f t="shared" si="305"/>
        <v>Valid</v>
      </c>
      <c r="AN1509" t="str">
        <f t="shared" si="306"/>
        <v>Valid</v>
      </c>
      <c r="AO1509" t="str">
        <f t="shared" si="307"/>
        <v>Valid</v>
      </c>
      <c r="AP1509" t="str">
        <f t="shared" si="308"/>
        <v>Valid</v>
      </c>
      <c r="AQ1509" t="str">
        <f>IF(Audit_Data[[#This Row],[Z_CostContact]]=3,"Valid","Invalid")</f>
        <v>Valid</v>
      </c>
      <c r="AR1509" t="str">
        <f t="shared" si="309"/>
        <v>Valid</v>
      </c>
      <c r="AS1509" t="str">
        <f t="shared" si="310"/>
        <v>Valid</v>
      </c>
    </row>
    <row r="1510" spans="1:45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 t="str">
        <f t="shared" si="299"/>
        <v>Ok</v>
      </c>
      <c r="AE1510" t="str">
        <f>IF(AND(Audit_Data[[#This Row],[Year_Birth]]&gt;=1900,Audit_Data[[#This Row],[Year_Birth]]&lt;=2010),"OK","Invalid")</f>
        <v>OK</v>
      </c>
      <c r="AF1510" t="str">
        <f t="shared" si="300"/>
        <v>Valid</v>
      </c>
      <c r="AG1510" t="str">
        <f t="shared" si="301"/>
        <v>Valid</v>
      </c>
      <c r="AH1510" t="str">
        <f t="shared" si="302"/>
        <v>Valid</v>
      </c>
      <c r="AI1510" t="str">
        <f t="shared" si="303"/>
        <v>Valid</v>
      </c>
      <c r="AJ1510" t="str">
        <f t="shared" si="304"/>
        <v>Valid</v>
      </c>
      <c r="AK1510" t="str">
        <f t="shared" si="311"/>
        <v xml:space="preserve">Valid </v>
      </c>
      <c r="AL1510" t="str">
        <f>IF(AND(Audit_Data[[#This Row],[Recency]]&gt;=0,Audit_Data[[#This Row],[Recency]]&lt;=100),"Valid","Invalid")</f>
        <v>Valid</v>
      </c>
      <c r="AM1510" t="str">
        <f t="shared" si="305"/>
        <v>Valid</v>
      </c>
      <c r="AN1510" t="str">
        <f t="shared" si="306"/>
        <v>Valid</v>
      </c>
      <c r="AO1510" t="str">
        <f t="shared" si="307"/>
        <v>Valid</v>
      </c>
      <c r="AP1510" t="str">
        <f t="shared" si="308"/>
        <v>Valid</v>
      </c>
      <c r="AQ1510" t="str">
        <f>IF(Audit_Data[[#This Row],[Z_CostContact]]=3,"Valid","Invalid")</f>
        <v>Valid</v>
      </c>
      <c r="AR1510" t="str">
        <f t="shared" si="309"/>
        <v>Valid</v>
      </c>
      <c r="AS1510" t="str">
        <f t="shared" si="310"/>
        <v>Valid</v>
      </c>
    </row>
    <row r="1511" spans="1:45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 t="str">
        <f t="shared" si="299"/>
        <v>Ok</v>
      </c>
      <c r="AE1511" t="str">
        <f>IF(AND(Audit_Data[[#This Row],[Year_Birth]]&gt;=1900,Audit_Data[[#This Row],[Year_Birth]]&lt;=2010),"OK","Invalid")</f>
        <v>OK</v>
      </c>
      <c r="AF1511" t="str">
        <f t="shared" si="300"/>
        <v>Valid</v>
      </c>
      <c r="AG1511" t="str">
        <f t="shared" si="301"/>
        <v>Valid</v>
      </c>
      <c r="AH1511" t="str">
        <f t="shared" si="302"/>
        <v>Valid</v>
      </c>
      <c r="AI1511" t="str">
        <f t="shared" si="303"/>
        <v>Valid</v>
      </c>
      <c r="AJ1511" t="str">
        <f t="shared" si="304"/>
        <v>Valid</v>
      </c>
      <c r="AK1511" t="str">
        <f t="shared" si="311"/>
        <v xml:space="preserve">Valid </v>
      </c>
      <c r="AL1511" t="str">
        <f>IF(AND(Audit_Data[[#This Row],[Recency]]&gt;=0,Audit_Data[[#This Row],[Recency]]&lt;=100),"Valid","Invalid")</f>
        <v>Valid</v>
      </c>
      <c r="AM1511" t="str">
        <f t="shared" si="305"/>
        <v>Valid</v>
      </c>
      <c r="AN1511" t="str">
        <f t="shared" si="306"/>
        <v>Valid</v>
      </c>
      <c r="AO1511" t="str">
        <f t="shared" si="307"/>
        <v>Valid</v>
      </c>
      <c r="AP1511" t="str">
        <f t="shared" si="308"/>
        <v>Valid</v>
      </c>
      <c r="AQ1511" t="str">
        <f>IF(Audit_Data[[#This Row],[Z_CostContact]]=3,"Valid","Invalid")</f>
        <v>Valid</v>
      </c>
      <c r="AR1511" t="str">
        <f t="shared" si="309"/>
        <v>Valid</v>
      </c>
      <c r="AS1511" t="str">
        <f t="shared" si="310"/>
        <v>Valid</v>
      </c>
    </row>
    <row r="1512" spans="1:45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 t="str">
        <f t="shared" si="299"/>
        <v>Ok</v>
      </c>
      <c r="AE1512" t="str">
        <f>IF(AND(Audit_Data[[#This Row],[Year_Birth]]&gt;=1900,Audit_Data[[#This Row],[Year_Birth]]&lt;=2010),"OK","Invalid")</f>
        <v>OK</v>
      </c>
      <c r="AF1512" t="str">
        <f t="shared" si="300"/>
        <v>Valid</v>
      </c>
      <c r="AG1512" t="str">
        <f t="shared" si="301"/>
        <v>Valid</v>
      </c>
      <c r="AH1512" t="str">
        <f t="shared" si="302"/>
        <v>Valid</v>
      </c>
      <c r="AI1512" t="str">
        <f t="shared" si="303"/>
        <v>Valid</v>
      </c>
      <c r="AJ1512" t="str">
        <f t="shared" si="304"/>
        <v>Valid</v>
      </c>
      <c r="AK1512" t="str">
        <f t="shared" si="311"/>
        <v xml:space="preserve">Valid </v>
      </c>
      <c r="AL1512" t="str">
        <f>IF(AND(Audit_Data[[#This Row],[Recency]]&gt;=0,Audit_Data[[#This Row],[Recency]]&lt;=100),"Valid","Invalid")</f>
        <v>Valid</v>
      </c>
      <c r="AM1512" t="str">
        <f t="shared" si="305"/>
        <v>Valid</v>
      </c>
      <c r="AN1512" t="str">
        <f t="shared" si="306"/>
        <v>Valid</v>
      </c>
      <c r="AO1512" t="str">
        <f t="shared" si="307"/>
        <v>Valid</v>
      </c>
      <c r="AP1512" t="str">
        <f t="shared" si="308"/>
        <v>Valid</v>
      </c>
      <c r="AQ1512" t="str">
        <f>IF(Audit_Data[[#This Row],[Z_CostContact]]=3,"Valid","Invalid")</f>
        <v>Valid</v>
      </c>
      <c r="AR1512" t="str">
        <f t="shared" si="309"/>
        <v>Valid</v>
      </c>
      <c r="AS1512" t="str">
        <f t="shared" si="310"/>
        <v>Valid</v>
      </c>
    </row>
    <row r="1513" spans="1:45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 t="str">
        <f t="shared" si="299"/>
        <v>Ok</v>
      </c>
      <c r="AE1513" t="str">
        <f>IF(AND(Audit_Data[[#This Row],[Year_Birth]]&gt;=1900,Audit_Data[[#This Row],[Year_Birth]]&lt;=2010),"OK","Invalid")</f>
        <v>OK</v>
      </c>
      <c r="AF1513" t="str">
        <f t="shared" si="300"/>
        <v>Valid</v>
      </c>
      <c r="AG1513" t="str">
        <f t="shared" si="301"/>
        <v>Valid</v>
      </c>
      <c r="AH1513" t="str">
        <f t="shared" si="302"/>
        <v>Valid</v>
      </c>
      <c r="AI1513" t="str">
        <f t="shared" si="303"/>
        <v>Valid</v>
      </c>
      <c r="AJ1513" t="str">
        <f t="shared" si="304"/>
        <v>Valid</v>
      </c>
      <c r="AK1513" t="str">
        <f t="shared" si="311"/>
        <v xml:space="preserve">Valid </v>
      </c>
      <c r="AL1513" t="str">
        <f>IF(AND(Audit_Data[[#This Row],[Recency]]&gt;=0,Audit_Data[[#This Row],[Recency]]&lt;=100),"Valid","Invalid")</f>
        <v>Valid</v>
      </c>
      <c r="AM1513" t="str">
        <f t="shared" si="305"/>
        <v>Valid</v>
      </c>
      <c r="AN1513" t="str">
        <f t="shared" si="306"/>
        <v>Valid</v>
      </c>
      <c r="AO1513" t="str">
        <f t="shared" si="307"/>
        <v>Valid</v>
      </c>
      <c r="AP1513" t="str">
        <f t="shared" si="308"/>
        <v>Valid</v>
      </c>
      <c r="AQ1513" t="str">
        <f>IF(Audit_Data[[#This Row],[Z_CostContact]]=3,"Valid","Invalid")</f>
        <v>Valid</v>
      </c>
      <c r="AR1513" t="str">
        <f t="shared" si="309"/>
        <v>Valid</v>
      </c>
      <c r="AS1513" t="str">
        <f t="shared" si="310"/>
        <v>Valid</v>
      </c>
    </row>
    <row r="1514" spans="1:45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 t="str">
        <f t="shared" si="299"/>
        <v>Ok</v>
      </c>
      <c r="AE1514" t="str">
        <f>IF(AND(Audit_Data[[#This Row],[Year_Birth]]&gt;=1900,Audit_Data[[#This Row],[Year_Birth]]&lt;=2010),"OK","Invalid")</f>
        <v>OK</v>
      </c>
      <c r="AF1514" t="str">
        <f t="shared" si="300"/>
        <v>Valid</v>
      </c>
      <c r="AG1514" t="str">
        <f t="shared" si="301"/>
        <v>Valid</v>
      </c>
      <c r="AH1514" t="str">
        <f t="shared" si="302"/>
        <v>Valid</v>
      </c>
      <c r="AI1514" t="str">
        <f t="shared" si="303"/>
        <v>Valid</v>
      </c>
      <c r="AJ1514" t="str">
        <f t="shared" si="304"/>
        <v>Valid</v>
      </c>
      <c r="AK1514" t="str">
        <f t="shared" si="311"/>
        <v xml:space="preserve">Valid </v>
      </c>
      <c r="AL1514" t="str">
        <f>IF(AND(Audit_Data[[#This Row],[Recency]]&gt;=0,Audit_Data[[#This Row],[Recency]]&lt;=100),"Valid","Invalid")</f>
        <v>Valid</v>
      </c>
      <c r="AM1514" t="str">
        <f t="shared" si="305"/>
        <v>Valid</v>
      </c>
      <c r="AN1514" t="str">
        <f t="shared" si="306"/>
        <v>Valid</v>
      </c>
      <c r="AO1514" t="str">
        <f t="shared" si="307"/>
        <v>Valid</v>
      </c>
      <c r="AP1514" t="str">
        <f t="shared" si="308"/>
        <v>Valid</v>
      </c>
      <c r="AQ1514" t="str">
        <f>IF(Audit_Data[[#This Row],[Z_CostContact]]=3,"Valid","Invalid")</f>
        <v>Valid</v>
      </c>
      <c r="AR1514" t="str">
        <f t="shared" si="309"/>
        <v>Valid</v>
      </c>
      <c r="AS1514" t="str">
        <f t="shared" si="310"/>
        <v>Valid</v>
      </c>
    </row>
    <row r="1515" spans="1:45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 t="str">
        <f t="shared" si="299"/>
        <v>Ok</v>
      </c>
      <c r="AE1515" t="str">
        <f>IF(AND(Audit_Data[[#This Row],[Year_Birth]]&gt;=1900,Audit_Data[[#This Row],[Year_Birth]]&lt;=2010),"OK","Invalid")</f>
        <v>OK</v>
      </c>
      <c r="AF1515" t="str">
        <f t="shared" si="300"/>
        <v>Valid</v>
      </c>
      <c r="AG1515" t="str">
        <f t="shared" si="301"/>
        <v>Valid</v>
      </c>
      <c r="AH1515" t="str">
        <f t="shared" si="302"/>
        <v>Valid</v>
      </c>
      <c r="AI1515" t="str">
        <f t="shared" si="303"/>
        <v>Valid</v>
      </c>
      <c r="AJ1515" t="str">
        <f t="shared" si="304"/>
        <v>Valid</v>
      </c>
      <c r="AK1515" t="str">
        <f t="shared" si="311"/>
        <v xml:space="preserve">Valid </v>
      </c>
      <c r="AL1515" t="str">
        <f>IF(AND(Audit_Data[[#This Row],[Recency]]&gt;=0,Audit_Data[[#This Row],[Recency]]&lt;=100),"Valid","Invalid")</f>
        <v>Valid</v>
      </c>
      <c r="AM1515" t="str">
        <f t="shared" si="305"/>
        <v>Valid</v>
      </c>
      <c r="AN1515" t="str">
        <f t="shared" si="306"/>
        <v>Valid</v>
      </c>
      <c r="AO1515" t="str">
        <f t="shared" si="307"/>
        <v>Valid</v>
      </c>
      <c r="AP1515" t="str">
        <f t="shared" si="308"/>
        <v>Valid</v>
      </c>
      <c r="AQ1515" t="str">
        <f>IF(Audit_Data[[#This Row],[Z_CostContact]]=3,"Valid","Invalid")</f>
        <v>Valid</v>
      </c>
      <c r="AR1515" t="str">
        <f t="shared" si="309"/>
        <v>Valid</v>
      </c>
      <c r="AS1515" t="str">
        <f t="shared" si="310"/>
        <v>Valid</v>
      </c>
    </row>
    <row r="1516" spans="1:45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 t="str">
        <f t="shared" si="299"/>
        <v>Ok</v>
      </c>
      <c r="AE1516" t="str">
        <f>IF(AND(Audit_Data[[#This Row],[Year_Birth]]&gt;=1900,Audit_Data[[#This Row],[Year_Birth]]&lt;=2010),"OK","Invalid")</f>
        <v>OK</v>
      </c>
      <c r="AF1516" t="str">
        <f t="shared" si="300"/>
        <v>Valid</v>
      </c>
      <c r="AG1516" t="str">
        <f t="shared" si="301"/>
        <v>Valid</v>
      </c>
      <c r="AH1516" t="str">
        <f t="shared" si="302"/>
        <v>Valid</v>
      </c>
      <c r="AI1516" t="str">
        <f t="shared" si="303"/>
        <v>Valid</v>
      </c>
      <c r="AJ1516" t="str">
        <f t="shared" si="304"/>
        <v>Valid</v>
      </c>
      <c r="AK1516" t="str">
        <f t="shared" si="311"/>
        <v xml:space="preserve">Valid </v>
      </c>
      <c r="AL1516" t="str">
        <f>IF(AND(Audit_Data[[#This Row],[Recency]]&gt;=0,Audit_Data[[#This Row],[Recency]]&lt;=100),"Valid","Invalid")</f>
        <v>Valid</v>
      </c>
      <c r="AM1516" t="str">
        <f t="shared" si="305"/>
        <v>Valid</v>
      </c>
      <c r="AN1516" t="str">
        <f t="shared" si="306"/>
        <v>Valid</v>
      </c>
      <c r="AO1516" t="str">
        <f t="shared" si="307"/>
        <v>Valid</v>
      </c>
      <c r="AP1516" t="str">
        <f t="shared" si="308"/>
        <v>Valid</v>
      </c>
      <c r="AQ1516" t="str">
        <f>IF(Audit_Data[[#This Row],[Z_CostContact]]=3,"Valid","Invalid")</f>
        <v>Valid</v>
      </c>
      <c r="AR1516" t="str">
        <f t="shared" si="309"/>
        <v>Valid</v>
      </c>
      <c r="AS1516" t="str">
        <f t="shared" si="310"/>
        <v>Valid</v>
      </c>
    </row>
    <row r="1517" spans="1:45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 t="str">
        <f t="shared" si="299"/>
        <v>Ok</v>
      </c>
      <c r="AE1517" t="str">
        <f>IF(AND(Audit_Data[[#This Row],[Year_Birth]]&gt;=1900,Audit_Data[[#This Row],[Year_Birth]]&lt;=2010),"OK","Invalid")</f>
        <v>OK</v>
      </c>
      <c r="AF1517" t="str">
        <f t="shared" si="300"/>
        <v>Valid</v>
      </c>
      <c r="AG1517" t="str">
        <f t="shared" si="301"/>
        <v>Valid</v>
      </c>
      <c r="AH1517" t="str">
        <f t="shared" si="302"/>
        <v>Valid</v>
      </c>
      <c r="AI1517" t="str">
        <f t="shared" si="303"/>
        <v>Valid</v>
      </c>
      <c r="AJ1517" t="str">
        <f t="shared" si="304"/>
        <v>Valid</v>
      </c>
      <c r="AK1517" t="str">
        <f t="shared" si="311"/>
        <v xml:space="preserve">Valid </v>
      </c>
      <c r="AL1517" t="str">
        <f>IF(AND(Audit_Data[[#This Row],[Recency]]&gt;=0,Audit_Data[[#This Row],[Recency]]&lt;=100),"Valid","Invalid")</f>
        <v>Valid</v>
      </c>
      <c r="AM1517" t="str">
        <f t="shared" si="305"/>
        <v>Valid</v>
      </c>
      <c r="AN1517" t="str">
        <f t="shared" si="306"/>
        <v>Valid</v>
      </c>
      <c r="AO1517" t="str">
        <f t="shared" si="307"/>
        <v>Valid</v>
      </c>
      <c r="AP1517" t="str">
        <f t="shared" si="308"/>
        <v>Valid</v>
      </c>
      <c r="AQ1517" t="str">
        <f>IF(Audit_Data[[#This Row],[Z_CostContact]]=3,"Valid","Invalid")</f>
        <v>Valid</v>
      </c>
      <c r="AR1517" t="str">
        <f t="shared" si="309"/>
        <v>Valid</v>
      </c>
      <c r="AS1517" t="str">
        <f t="shared" si="310"/>
        <v>Valid</v>
      </c>
    </row>
    <row r="1518" spans="1:45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 t="str">
        <f t="shared" si="299"/>
        <v>Ok</v>
      </c>
      <c r="AE1518" t="str">
        <f>IF(AND(Audit_Data[[#This Row],[Year_Birth]]&gt;=1900,Audit_Data[[#This Row],[Year_Birth]]&lt;=2010),"OK","Invalid")</f>
        <v>OK</v>
      </c>
      <c r="AF1518" t="str">
        <f t="shared" si="300"/>
        <v>Valid</v>
      </c>
      <c r="AG1518" t="str">
        <f t="shared" si="301"/>
        <v>Valid</v>
      </c>
      <c r="AH1518" t="str">
        <f t="shared" si="302"/>
        <v>Valid</v>
      </c>
      <c r="AI1518" t="str">
        <f t="shared" si="303"/>
        <v>Valid</v>
      </c>
      <c r="AJ1518" t="str">
        <f t="shared" si="304"/>
        <v>Valid</v>
      </c>
      <c r="AK1518" t="str">
        <f t="shared" si="311"/>
        <v xml:space="preserve">Valid </v>
      </c>
      <c r="AL1518" t="str">
        <f>IF(AND(Audit_Data[[#This Row],[Recency]]&gt;=0,Audit_Data[[#This Row],[Recency]]&lt;=100),"Valid","Invalid")</f>
        <v>Valid</v>
      </c>
      <c r="AM1518" t="str">
        <f t="shared" si="305"/>
        <v>Valid</v>
      </c>
      <c r="AN1518" t="str">
        <f t="shared" si="306"/>
        <v>Valid</v>
      </c>
      <c r="AO1518" t="str">
        <f t="shared" si="307"/>
        <v>Valid</v>
      </c>
      <c r="AP1518" t="str">
        <f t="shared" si="308"/>
        <v>Valid</v>
      </c>
      <c r="AQ1518" t="str">
        <f>IF(Audit_Data[[#This Row],[Z_CostContact]]=3,"Valid","Invalid")</f>
        <v>Valid</v>
      </c>
      <c r="AR1518" t="str">
        <f t="shared" si="309"/>
        <v>Valid</v>
      </c>
      <c r="AS1518" t="str">
        <f t="shared" si="310"/>
        <v>Valid</v>
      </c>
    </row>
    <row r="1519" spans="1:45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 t="str">
        <f t="shared" si="299"/>
        <v>Ok</v>
      </c>
      <c r="AE1519" t="str">
        <f>IF(AND(Audit_Data[[#This Row],[Year_Birth]]&gt;=1900,Audit_Data[[#This Row],[Year_Birth]]&lt;=2010),"OK","Invalid")</f>
        <v>OK</v>
      </c>
      <c r="AF1519" t="str">
        <f t="shared" si="300"/>
        <v>Valid</v>
      </c>
      <c r="AG1519" t="str">
        <f t="shared" si="301"/>
        <v>Valid</v>
      </c>
      <c r="AH1519" t="str">
        <f t="shared" si="302"/>
        <v>Valid</v>
      </c>
      <c r="AI1519" t="str">
        <f t="shared" si="303"/>
        <v>Valid</v>
      </c>
      <c r="AJ1519" t="str">
        <f t="shared" si="304"/>
        <v>Valid</v>
      </c>
      <c r="AK1519" t="str">
        <f t="shared" si="311"/>
        <v xml:space="preserve">Valid </v>
      </c>
      <c r="AL1519" t="str">
        <f>IF(AND(Audit_Data[[#This Row],[Recency]]&gt;=0,Audit_Data[[#This Row],[Recency]]&lt;=100),"Valid","Invalid")</f>
        <v>Valid</v>
      </c>
      <c r="AM1519" t="str">
        <f t="shared" si="305"/>
        <v>Valid</v>
      </c>
      <c r="AN1519" t="str">
        <f t="shared" si="306"/>
        <v>Valid</v>
      </c>
      <c r="AO1519" t="str">
        <f t="shared" si="307"/>
        <v>Valid</v>
      </c>
      <c r="AP1519" t="str">
        <f t="shared" si="308"/>
        <v>Valid</v>
      </c>
      <c r="AQ1519" t="str">
        <f>IF(Audit_Data[[#This Row],[Z_CostContact]]=3,"Valid","Invalid")</f>
        <v>Valid</v>
      </c>
      <c r="AR1519" t="str">
        <f t="shared" si="309"/>
        <v>Valid</v>
      </c>
      <c r="AS1519" t="str">
        <f t="shared" si="310"/>
        <v>Valid</v>
      </c>
    </row>
    <row r="1520" spans="1:45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 t="str">
        <f t="shared" si="299"/>
        <v>Ok</v>
      </c>
      <c r="AE1520" t="str">
        <f>IF(AND(Audit_Data[[#This Row],[Year_Birth]]&gt;=1900,Audit_Data[[#This Row],[Year_Birth]]&lt;=2010),"OK","Invalid")</f>
        <v>OK</v>
      </c>
      <c r="AF1520" t="str">
        <f t="shared" si="300"/>
        <v>Valid</v>
      </c>
      <c r="AG1520" t="str">
        <f t="shared" si="301"/>
        <v>Valid</v>
      </c>
      <c r="AH1520" t="str">
        <f t="shared" si="302"/>
        <v>Valid</v>
      </c>
      <c r="AI1520" t="str">
        <f t="shared" si="303"/>
        <v>Valid</v>
      </c>
      <c r="AJ1520" t="str">
        <f t="shared" si="304"/>
        <v>Valid</v>
      </c>
      <c r="AK1520" t="str">
        <f t="shared" si="311"/>
        <v xml:space="preserve">Valid </v>
      </c>
      <c r="AL1520" t="str">
        <f>IF(AND(Audit_Data[[#This Row],[Recency]]&gt;=0,Audit_Data[[#This Row],[Recency]]&lt;=100),"Valid","Invalid")</f>
        <v>Valid</v>
      </c>
      <c r="AM1520" t="str">
        <f t="shared" si="305"/>
        <v>Valid</v>
      </c>
      <c r="AN1520" t="str">
        <f t="shared" si="306"/>
        <v>Valid</v>
      </c>
      <c r="AO1520" t="str">
        <f t="shared" si="307"/>
        <v>Valid</v>
      </c>
      <c r="AP1520" t="str">
        <f t="shared" si="308"/>
        <v>Valid</v>
      </c>
      <c r="AQ1520" t="str">
        <f>IF(Audit_Data[[#This Row],[Z_CostContact]]=3,"Valid","Invalid")</f>
        <v>Valid</v>
      </c>
      <c r="AR1520" t="str">
        <f t="shared" si="309"/>
        <v>Valid</v>
      </c>
      <c r="AS1520" t="str">
        <f t="shared" si="310"/>
        <v>Valid</v>
      </c>
    </row>
    <row r="1521" spans="1:45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 t="str">
        <f t="shared" si="299"/>
        <v>Ok</v>
      </c>
      <c r="AE1521" t="str">
        <f>IF(AND(Audit_Data[[#This Row],[Year_Birth]]&gt;=1900,Audit_Data[[#This Row],[Year_Birth]]&lt;=2010),"OK","Invalid")</f>
        <v>OK</v>
      </c>
      <c r="AF1521" t="str">
        <f t="shared" si="300"/>
        <v>Valid</v>
      </c>
      <c r="AG1521" t="str">
        <f t="shared" si="301"/>
        <v>Valid</v>
      </c>
      <c r="AH1521" t="str">
        <f t="shared" si="302"/>
        <v>Valid</v>
      </c>
      <c r="AI1521" t="str">
        <f t="shared" si="303"/>
        <v>Valid</v>
      </c>
      <c r="AJ1521" t="str">
        <f t="shared" si="304"/>
        <v>Valid</v>
      </c>
      <c r="AK1521" t="str">
        <f t="shared" si="311"/>
        <v xml:space="preserve">Valid </v>
      </c>
      <c r="AL1521" t="str">
        <f>IF(AND(Audit_Data[[#This Row],[Recency]]&gt;=0,Audit_Data[[#This Row],[Recency]]&lt;=100),"Valid","Invalid")</f>
        <v>Valid</v>
      </c>
      <c r="AM1521" t="str">
        <f t="shared" si="305"/>
        <v>Valid</v>
      </c>
      <c r="AN1521" t="str">
        <f t="shared" si="306"/>
        <v>Valid</v>
      </c>
      <c r="AO1521" t="str">
        <f t="shared" si="307"/>
        <v>Valid</v>
      </c>
      <c r="AP1521" t="str">
        <f t="shared" si="308"/>
        <v>Valid</v>
      </c>
      <c r="AQ1521" t="str">
        <f>IF(Audit_Data[[#This Row],[Z_CostContact]]=3,"Valid","Invalid")</f>
        <v>Valid</v>
      </c>
      <c r="AR1521" t="str">
        <f t="shared" si="309"/>
        <v>Valid</v>
      </c>
      <c r="AS1521" t="str">
        <f t="shared" si="310"/>
        <v>Valid</v>
      </c>
    </row>
    <row r="1522" spans="1:45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 t="str">
        <f t="shared" si="299"/>
        <v>Ok</v>
      </c>
      <c r="AE1522" t="str">
        <f>IF(AND(Audit_Data[[#This Row],[Year_Birth]]&gt;=1900,Audit_Data[[#This Row],[Year_Birth]]&lt;=2010),"OK","Invalid")</f>
        <v>OK</v>
      </c>
      <c r="AF1522" t="str">
        <f t="shared" si="300"/>
        <v>Valid</v>
      </c>
      <c r="AG1522" t="str">
        <f t="shared" si="301"/>
        <v>Valid</v>
      </c>
      <c r="AH1522" t="str">
        <f t="shared" si="302"/>
        <v>Valid</v>
      </c>
      <c r="AI1522" t="str">
        <f t="shared" si="303"/>
        <v>Valid</v>
      </c>
      <c r="AJ1522" t="str">
        <f t="shared" si="304"/>
        <v>Valid</v>
      </c>
      <c r="AK1522" t="str">
        <f t="shared" si="311"/>
        <v xml:space="preserve">Valid </v>
      </c>
      <c r="AL1522" t="str">
        <f>IF(AND(Audit_Data[[#This Row],[Recency]]&gt;=0,Audit_Data[[#This Row],[Recency]]&lt;=100),"Valid","Invalid")</f>
        <v>Valid</v>
      </c>
      <c r="AM1522" t="str">
        <f t="shared" si="305"/>
        <v>Valid</v>
      </c>
      <c r="AN1522" t="str">
        <f t="shared" si="306"/>
        <v>Valid</v>
      </c>
      <c r="AO1522" t="str">
        <f t="shared" si="307"/>
        <v>Valid</v>
      </c>
      <c r="AP1522" t="str">
        <f t="shared" si="308"/>
        <v>Valid</v>
      </c>
      <c r="AQ1522" t="str">
        <f>IF(Audit_Data[[#This Row],[Z_CostContact]]=3,"Valid","Invalid")</f>
        <v>Valid</v>
      </c>
      <c r="AR1522" t="str">
        <f t="shared" si="309"/>
        <v>Valid</v>
      </c>
      <c r="AS1522" t="str">
        <f t="shared" si="310"/>
        <v>Valid</v>
      </c>
    </row>
    <row r="1523" spans="1:45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 t="str">
        <f t="shared" si="299"/>
        <v>Ok</v>
      </c>
      <c r="AE1523" t="str">
        <f>IF(AND(Audit_Data[[#This Row],[Year_Birth]]&gt;=1900,Audit_Data[[#This Row],[Year_Birth]]&lt;=2010),"OK","Invalid")</f>
        <v>OK</v>
      </c>
      <c r="AF1523" t="str">
        <f t="shared" si="300"/>
        <v>Valid</v>
      </c>
      <c r="AG1523" t="str">
        <f t="shared" si="301"/>
        <v>Valid</v>
      </c>
      <c r="AH1523" t="str">
        <f t="shared" si="302"/>
        <v>Valid</v>
      </c>
      <c r="AI1523" t="str">
        <f t="shared" si="303"/>
        <v>Valid</v>
      </c>
      <c r="AJ1523" t="str">
        <f t="shared" si="304"/>
        <v>Valid</v>
      </c>
      <c r="AK1523" t="str">
        <f t="shared" si="311"/>
        <v xml:space="preserve">Valid </v>
      </c>
      <c r="AL1523" t="str">
        <f>IF(AND(Audit_Data[[#This Row],[Recency]]&gt;=0,Audit_Data[[#This Row],[Recency]]&lt;=100),"Valid","Invalid")</f>
        <v>Valid</v>
      </c>
      <c r="AM1523" t="str">
        <f t="shared" si="305"/>
        <v>Valid</v>
      </c>
      <c r="AN1523" t="str">
        <f t="shared" si="306"/>
        <v>Valid</v>
      </c>
      <c r="AO1523" t="str">
        <f t="shared" si="307"/>
        <v>Valid</v>
      </c>
      <c r="AP1523" t="str">
        <f t="shared" si="308"/>
        <v>Valid</v>
      </c>
      <c r="AQ1523" t="str">
        <f>IF(Audit_Data[[#This Row],[Z_CostContact]]=3,"Valid","Invalid")</f>
        <v>Valid</v>
      </c>
      <c r="AR1523" t="str">
        <f t="shared" si="309"/>
        <v>Valid</v>
      </c>
      <c r="AS1523" t="str">
        <f t="shared" si="310"/>
        <v>Valid</v>
      </c>
    </row>
    <row r="1524" spans="1:45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 t="str">
        <f t="shared" si="299"/>
        <v>Ok</v>
      </c>
      <c r="AE1524" t="str">
        <f>IF(AND(Audit_Data[[#This Row],[Year_Birth]]&gt;=1900,Audit_Data[[#This Row],[Year_Birth]]&lt;=2010),"OK","Invalid")</f>
        <v>OK</v>
      </c>
      <c r="AF1524" t="str">
        <f t="shared" si="300"/>
        <v>Valid</v>
      </c>
      <c r="AG1524" t="str">
        <f t="shared" si="301"/>
        <v>Valid</v>
      </c>
      <c r="AH1524" t="str">
        <f t="shared" si="302"/>
        <v>Valid</v>
      </c>
      <c r="AI1524" t="str">
        <f t="shared" si="303"/>
        <v>Valid</v>
      </c>
      <c r="AJ1524" t="str">
        <f t="shared" si="304"/>
        <v>Valid</v>
      </c>
      <c r="AK1524" t="str">
        <f t="shared" si="311"/>
        <v xml:space="preserve">Valid </v>
      </c>
      <c r="AL1524" t="str">
        <f>IF(AND(Audit_Data[[#This Row],[Recency]]&gt;=0,Audit_Data[[#This Row],[Recency]]&lt;=100),"Valid","Invalid")</f>
        <v>Valid</v>
      </c>
      <c r="AM1524" t="str">
        <f t="shared" si="305"/>
        <v>Valid</v>
      </c>
      <c r="AN1524" t="str">
        <f t="shared" si="306"/>
        <v>Valid</v>
      </c>
      <c r="AO1524" t="str">
        <f t="shared" si="307"/>
        <v>Valid</v>
      </c>
      <c r="AP1524" t="str">
        <f t="shared" si="308"/>
        <v>Valid</v>
      </c>
      <c r="AQ1524" t="str">
        <f>IF(Audit_Data[[#This Row],[Z_CostContact]]=3,"Valid","Invalid")</f>
        <v>Valid</v>
      </c>
      <c r="AR1524" t="str">
        <f t="shared" si="309"/>
        <v>Valid</v>
      </c>
      <c r="AS1524" t="str">
        <f t="shared" si="310"/>
        <v>Valid</v>
      </c>
    </row>
    <row r="1525" spans="1:45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 t="str">
        <f t="shared" si="299"/>
        <v>Ok</v>
      </c>
      <c r="AE1525" t="str">
        <f>IF(AND(Audit_Data[[#This Row],[Year_Birth]]&gt;=1900,Audit_Data[[#This Row],[Year_Birth]]&lt;=2010),"OK","Invalid")</f>
        <v>OK</v>
      </c>
      <c r="AF1525" t="str">
        <f t="shared" si="300"/>
        <v>Valid</v>
      </c>
      <c r="AG1525" t="str">
        <f t="shared" si="301"/>
        <v>Valid</v>
      </c>
      <c r="AH1525" t="str">
        <f t="shared" si="302"/>
        <v>Valid</v>
      </c>
      <c r="AI1525" t="str">
        <f t="shared" si="303"/>
        <v>Valid</v>
      </c>
      <c r="AJ1525" t="str">
        <f t="shared" si="304"/>
        <v>Valid</v>
      </c>
      <c r="AK1525" t="str">
        <f t="shared" si="311"/>
        <v xml:space="preserve">Valid </v>
      </c>
      <c r="AL1525" t="str">
        <f>IF(AND(Audit_Data[[#This Row],[Recency]]&gt;=0,Audit_Data[[#This Row],[Recency]]&lt;=100),"Valid","Invalid")</f>
        <v>Valid</v>
      </c>
      <c r="AM1525" t="str">
        <f t="shared" si="305"/>
        <v>Valid</v>
      </c>
      <c r="AN1525" t="str">
        <f t="shared" si="306"/>
        <v>Valid</v>
      </c>
      <c r="AO1525" t="str">
        <f t="shared" si="307"/>
        <v>Valid</v>
      </c>
      <c r="AP1525" t="str">
        <f t="shared" si="308"/>
        <v>Valid</v>
      </c>
      <c r="AQ1525" t="str">
        <f>IF(Audit_Data[[#This Row],[Z_CostContact]]=3,"Valid","Invalid")</f>
        <v>Valid</v>
      </c>
      <c r="AR1525" t="str">
        <f t="shared" si="309"/>
        <v>Valid</v>
      </c>
      <c r="AS1525" t="str">
        <f t="shared" si="310"/>
        <v>Valid</v>
      </c>
    </row>
    <row r="1526" spans="1:45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 t="str">
        <f t="shared" si="299"/>
        <v>Ok</v>
      </c>
      <c r="AE1526" t="str">
        <f>IF(AND(Audit_Data[[#This Row],[Year_Birth]]&gt;=1900,Audit_Data[[#This Row],[Year_Birth]]&lt;=2010),"OK","Invalid")</f>
        <v>OK</v>
      </c>
      <c r="AF1526" t="str">
        <f t="shared" si="300"/>
        <v>Valid</v>
      </c>
      <c r="AG1526" t="str">
        <f t="shared" si="301"/>
        <v>Valid</v>
      </c>
      <c r="AH1526" t="str">
        <f t="shared" si="302"/>
        <v>Valid</v>
      </c>
      <c r="AI1526" t="str">
        <f t="shared" si="303"/>
        <v>Valid</v>
      </c>
      <c r="AJ1526" t="str">
        <f t="shared" si="304"/>
        <v>Valid</v>
      </c>
      <c r="AK1526" t="str">
        <f t="shared" si="311"/>
        <v xml:space="preserve">Valid </v>
      </c>
      <c r="AL1526" t="str">
        <f>IF(AND(Audit_Data[[#This Row],[Recency]]&gt;=0,Audit_Data[[#This Row],[Recency]]&lt;=100),"Valid","Invalid")</f>
        <v>Valid</v>
      </c>
      <c r="AM1526" t="str">
        <f t="shared" si="305"/>
        <v>Valid</v>
      </c>
      <c r="AN1526" t="str">
        <f t="shared" si="306"/>
        <v>Valid</v>
      </c>
      <c r="AO1526" t="str">
        <f t="shared" si="307"/>
        <v>Valid</v>
      </c>
      <c r="AP1526" t="str">
        <f t="shared" si="308"/>
        <v>Valid</v>
      </c>
      <c r="AQ1526" t="str">
        <f>IF(Audit_Data[[#This Row],[Z_CostContact]]=3,"Valid","Invalid")</f>
        <v>Valid</v>
      </c>
      <c r="AR1526" t="str">
        <f t="shared" si="309"/>
        <v>Valid</v>
      </c>
      <c r="AS1526" t="str">
        <f t="shared" si="310"/>
        <v>Valid</v>
      </c>
    </row>
    <row r="1527" spans="1:45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 t="str">
        <f t="shared" si="299"/>
        <v>Ok</v>
      </c>
      <c r="AE1527" t="str">
        <f>IF(AND(Audit_Data[[#This Row],[Year_Birth]]&gt;=1900,Audit_Data[[#This Row],[Year_Birth]]&lt;=2010),"OK","Invalid")</f>
        <v>OK</v>
      </c>
      <c r="AF1527" t="str">
        <f t="shared" si="300"/>
        <v>Valid</v>
      </c>
      <c r="AG1527" t="str">
        <f t="shared" si="301"/>
        <v>Valid</v>
      </c>
      <c r="AH1527" t="str">
        <f t="shared" si="302"/>
        <v>Valid</v>
      </c>
      <c r="AI1527" t="str">
        <f t="shared" si="303"/>
        <v>Valid</v>
      </c>
      <c r="AJ1527" t="str">
        <f t="shared" si="304"/>
        <v>Valid</v>
      </c>
      <c r="AK1527" t="str">
        <f t="shared" si="311"/>
        <v xml:space="preserve">Valid </v>
      </c>
      <c r="AL1527" t="str">
        <f>IF(AND(Audit_Data[[#This Row],[Recency]]&gt;=0,Audit_Data[[#This Row],[Recency]]&lt;=100),"Valid","Invalid")</f>
        <v>Valid</v>
      </c>
      <c r="AM1527" t="str">
        <f t="shared" si="305"/>
        <v>Valid</v>
      </c>
      <c r="AN1527" t="str">
        <f t="shared" si="306"/>
        <v>Valid</v>
      </c>
      <c r="AO1527" t="str">
        <f t="shared" si="307"/>
        <v>Valid</v>
      </c>
      <c r="AP1527" t="str">
        <f t="shared" si="308"/>
        <v>Valid</v>
      </c>
      <c r="AQ1527" t="str">
        <f>IF(Audit_Data[[#This Row],[Z_CostContact]]=3,"Valid","Invalid")</f>
        <v>Valid</v>
      </c>
      <c r="AR1527" t="str">
        <f t="shared" si="309"/>
        <v>Valid</v>
      </c>
      <c r="AS1527" t="str">
        <f t="shared" si="310"/>
        <v>Valid</v>
      </c>
    </row>
    <row r="1528" spans="1:45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 t="str">
        <f t="shared" si="299"/>
        <v>Ok</v>
      </c>
      <c r="AE1528" t="str">
        <f>IF(AND(Audit_Data[[#This Row],[Year_Birth]]&gt;=1900,Audit_Data[[#This Row],[Year_Birth]]&lt;=2010),"OK","Invalid")</f>
        <v>OK</v>
      </c>
      <c r="AF1528" t="str">
        <f t="shared" si="300"/>
        <v>Valid</v>
      </c>
      <c r="AG1528" t="str">
        <f t="shared" si="301"/>
        <v>Valid</v>
      </c>
      <c r="AH1528" t="str">
        <f t="shared" si="302"/>
        <v>Valid</v>
      </c>
      <c r="AI1528" t="str">
        <f t="shared" si="303"/>
        <v>Valid</v>
      </c>
      <c r="AJ1528" t="str">
        <f t="shared" si="304"/>
        <v>Valid</v>
      </c>
      <c r="AK1528" t="str">
        <f t="shared" si="311"/>
        <v xml:space="preserve">Valid </v>
      </c>
      <c r="AL1528" t="str">
        <f>IF(AND(Audit_Data[[#This Row],[Recency]]&gt;=0,Audit_Data[[#This Row],[Recency]]&lt;=100),"Valid","Invalid")</f>
        <v>Valid</v>
      </c>
      <c r="AM1528" t="str">
        <f t="shared" si="305"/>
        <v>Valid</v>
      </c>
      <c r="AN1528" t="str">
        <f t="shared" si="306"/>
        <v>Valid</v>
      </c>
      <c r="AO1528" t="str">
        <f t="shared" si="307"/>
        <v>Valid</v>
      </c>
      <c r="AP1528" t="str">
        <f t="shared" si="308"/>
        <v>Valid</v>
      </c>
      <c r="AQ1528" t="str">
        <f>IF(Audit_Data[[#This Row],[Z_CostContact]]=3,"Valid","Invalid")</f>
        <v>Valid</v>
      </c>
      <c r="AR1528" t="str">
        <f t="shared" si="309"/>
        <v>Valid</v>
      </c>
      <c r="AS1528" t="str">
        <f t="shared" si="310"/>
        <v>Valid</v>
      </c>
    </row>
    <row r="1529" spans="1:45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 t="str">
        <f t="shared" si="299"/>
        <v>Ok</v>
      </c>
      <c r="AE1529" t="str">
        <f>IF(AND(Audit_Data[[#This Row],[Year_Birth]]&gt;=1900,Audit_Data[[#This Row],[Year_Birth]]&lt;=2010),"OK","Invalid")</f>
        <v>OK</v>
      </c>
      <c r="AF1529" t="str">
        <f t="shared" si="300"/>
        <v>Valid</v>
      </c>
      <c r="AG1529" t="str">
        <f t="shared" si="301"/>
        <v>Valid</v>
      </c>
      <c r="AH1529" t="str">
        <f t="shared" si="302"/>
        <v>Valid</v>
      </c>
      <c r="AI1529" t="str">
        <f t="shared" si="303"/>
        <v>Valid</v>
      </c>
      <c r="AJ1529" t="str">
        <f t="shared" si="304"/>
        <v>Valid</v>
      </c>
      <c r="AK1529" t="str">
        <f t="shared" si="311"/>
        <v xml:space="preserve">Valid </v>
      </c>
      <c r="AL1529" t="str">
        <f>IF(AND(Audit_Data[[#This Row],[Recency]]&gt;=0,Audit_Data[[#This Row],[Recency]]&lt;=100),"Valid","Invalid")</f>
        <v>Valid</v>
      </c>
      <c r="AM1529" t="str">
        <f t="shared" si="305"/>
        <v>Valid</v>
      </c>
      <c r="AN1529" t="str">
        <f t="shared" si="306"/>
        <v>Valid</v>
      </c>
      <c r="AO1529" t="str">
        <f t="shared" si="307"/>
        <v>Valid</v>
      </c>
      <c r="AP1529" t="str">
        <f t="shared" si="308"/>
        <v>Valid</v>
      </c>
      <c r="AQ1529" t="str">
        <f>IF(Audit_Data[[#This Row],[Z_CostContact]]=3,"Valid","Invalid")</f>
        <v>Valid</v>
      </c>
      <c r="AR1529" t="str">
        <f t="shared" si="309"/>
        <v>Valid</v>
      </c>
      <c r="AS1529" t="str">
        <f t="shared" si="310"/>
        <v>Valid</v>
      </c>
    </row>
    <row r="1530" spans="1:45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 t="str">
        <f t="shared" si="299"/>
        <v>Ok</v>
      </c>
      <c r="AE1530" t="str">
        <f>IF(AND(Audit_Data[[#This Row],[Year_Birth]]&gt;=1900,Audit_Data[[#This Row],[Year_Birth]]&lt;=2010),"OK","Invalid")</f>
        <v>OK</v>
      </c>
      <c r="AF1530" t="str">
        <f t="shared" si="300"/>
        <v>Valid</v>
      </c>
      <c r="AG1530" t="str">
        <f t="shared" si="301"/>
        <v>Valid</v>
      </c>
      <c r="AH1530" t="str">
        <f t="shared" si="302"/>
        <v>Valid</v>
      </c>
      <c r="AI1530" t="str">
        <f t="shared" si="303"/>
        <v>Valid</v>
      </c>
      <c r="AJ1530" t="str">
        <f t="shared" si="304"/>
        <v>Valid</v>
      </c>
      <c r="AK1530" t="str">
        <f t="shared" si="311"/>
        <v xml:space="preserve">Valid </v>
      </c>
      <c r="AL1530" t="str">
        <f>IF(AND(Audit_Data[[#This Row],[Recency]]&gt;=0,Audit_Data[[#This Row],[Recency]]&lt;=100),"Valid","Invalid")</f>
        <v>Valid</v>
      </c>
      <c r="AM1530" t="str">
        <f t="shared" si="305"/>
        <v>Valid</v>
      </c>
      <c r="AN1530" t="str">
        <f t="shared" si="306"/>
        <v>Valid</v>
      </c>
      <c r="AO1530" t="str">
        <f t="shared" si="307"/>
        <v>Valid</v>
      </c>
      <c r="AP1530" t="str">
        <f t="shared" si="308"/>
        <v>Valid</v>
      </c>
      <c r="AQ1530" t="str">
        <f>IF(Audit_Data[[#This Row],[Z_CostContact]]=3,"Valid","Invalid")</f>
        <v>Valid</v>
      </c>
      <c r="AR1530" t="str">
        <f t="shared" si="309"/>
        <v>Valid</v>
      </c>
      <c r="AS1530" t="str">
        <f t="shared" si="310"/>
        <v>Valid</v>
      </c>
    </row>
    <row r="1531" spans="1:45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 t="str">
        <f t="shared" si="299"/>
        <v>Ok</v>
      </c>
      <c r="AE1531" t="str">
        <f>IF(AND(Audit_Data[[#This Row],[Year_Birth]]&gt;=1900,Audit_Data[[#This Row],[Year_Birth]]&lt;=2010),"OK","Invalid")</f>
        <v>OK</v>
      </c>
      <c r="AF1531" t="str">
        <f t="shared" si="300"/>
        <v>Valid</v>
      </c>
      <c r="AG1531" t="str">
        <f t="shared" si="301"/>
        <v>Valid</v>
      </c>
      <c r="AH1531" t="str">
        <f t="shared" si="302"/>
        <v>Valid</v>
      </c>
      <c r="AI1531" t="str">
        <f t="shared" si="303"/>
        <v>Valid</v>
      </c>
      <c r="AJ1531" t="str">
        <f t="shared" si="304"/>
        <v>Valid</v>
      </c>
      <c r="AK1531" t="str">
        <f t="shared" si="311"/>
        <v xml:space="preserve">Valid </v>
      </c>
      <c r="AL1531" t="str">
        <f>IF(AND(Audit_Data[[#This Row],[Recency]]&gt;=0,Audit_Data[[#This Row],[Recency]]&lt;=100),"Valid","Invalid")</f>
        <v>Valid</v>
      </c>
      <c r="AM1531" t="str">
        <f t="shared" si="305"/>
        <v>Valid</v>
      </c>
      <c r="AN1531" t="str">
        <f t="shared" si="306"/>
        <v>Valid</v>
      </c>
      <c r="AO1531" t="str">
        <f t="shared" si="307"/>
        <v>Valid</v>
      </c>
      <c r="AP1531" t="str">
        <f t="shared" si="308"/>
        <v>Valid</v>
      </c>
      <c r="AQ1531" t="str">
        <f>IF(Audit_Data[[#This Row],[Z_CostContact]]=3,"Valid","Invalid")</f>
        <v>Valid</v>
      </c>
      <c r="AR1531" t="str">
        <f t="shared" si="309"/>
        <v>Valid</v>
      </c>
      <c r="AS1531" t="str">
        <f t="shared" si="310"/>
        <v>Valid</v>
      </c>
    </row>
    <row r="1532" spans="1:45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 t="str">
        <f t="shared" si="299"/>
        <v>Ok</v>
      </c>
      <c r="AE1532" t="str">
        <f>IF(AND(Audit_Data[[#This Row],[Year_Birth]]&gt;=1900,Audit_Data[[#This Row],[Year_Birth]]&lt;=2010),"OK","Invalid")</f>
        <v>OK</v>
      </c>
      <c r="AF1532" t="str">
        <f t="shared" si="300"/>
        <v>Valid</v>
      </c>
      <c r="AG1532" t="str">
        <f t="shared" si="301"/>
        <v>Valid</v>
      </c>
      <c r="AH1532" t="str">
        <f t="shared" si="302"/>
        <v>Valid</v>
      </c>
      <c r="AI1532" t="str">
        <f t="shared" si="303"/>
        <v>Valid</v>
      </c>
      <c r="AJ1532" t="str">
        <f t="shared" si="304"/>
        <v>Valid</v>
      </c>
      <c r="AK1532" t="str">
        <f t="shared" si="311"/>
        <v xml:space="preserve">Valid </v>
      </c>
      <c r="AL1532" t="str">
        <f>IF(AND(Audit_Data[[#This Row],[Recency]]&gt;=0,Audit_Data[[#This Row],[Recency]]&lt;=100),"Valid","Invalid")</f>
        <v>Valid</v>
      </c>
      <c r="AM1532" t="str">
        <f t="shared" si="305"/>
        <v>Valid</v>
      </c>
      <c r="AN1532" t="str">
        <f t="shared" si="306"/>
        <v>Valid</v>
      </c>
      <c r="AO1532" t="str">
        <f t="shared" si="307"/>
        <v>Valid</v>
      </c>
      <c r="AP1532" t="str">
        <f t="shared" si="308"/>
        <v>Valid</v>
      </c>
      <c r="AQ1532" t="str">
        <f>IF(Audit_Data[[#This Row],[Z_CostContact]]=3,"Valid","Invalid")</f>
        <v>Valid</v>
      </c>
      <c r="AR1532" t="str">
        <f t="shared" si="309"/>
        <v>Valid</v>
      </c>
      <c r="AS1532" t="str">
        <f t="shared" si="310"/>
        <v>Valid</v>
      </c>
    </row>
    <row r="1533" spans="1:45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 t="str">
        <f t="shared" si="299"/>
        <v>Ok</v>
      </c>
      <c r="AE1533" t="str">
        <f>IF(AND(Audit_Data[[#This Row],[Year_Birth]]&gt;=1900,Audit_Data[[#This Row],[Year_Birth]]&lt;=2010),"OK","Invalid")</f>
        <v>OK</v>
      </c>
      <c r="AF1533" t="str">
        <f t="shared" si="300"/>
        <v>Valid</v>
      </c>
      <c r="AG1533" t="str">
        <f t="shared" si="301"/>
        <v>Valid</v>
      </c>
      <c r="AH1533" t="str">
        <f t="shared" si="302"/>
        <v>Valid</v>
      </c>
      <c r="AI1533" t="str">
        <f t="shared" si="303"/>
        <v>Valid</v>
      </c>
      <c r="AJ1533" t="str">
        <f t="shared" si="304"/>
        <v>Valid</v>
      </c>
      <c r="AK1533" t="str">
        <f t="shared" si="311"/>
        <v xml:space="preserve">Valid </v>
      </c>
      <c r="AL1533" t="str">
        <f>IF(AND(Audit_Data[[#This Row],[Recency]]&gt;=0,Audit_Data[[#This Row],[Recency]]&lt;=100),"Valid","Invalid")</f>
        <v>Valid</v>
      </c>
      <c r="AM1533" t="str">
        <f t="shared" si="305"/>
        <v>Valid</v>
      </c>
      <c r="AN1533" t="str">
        <f t="shared" si="306"/>
        <v>Valid</v>
      </c>
      <c r="AO1533" t="str">
        <f t="shared" si="307"/>
        <v>Valid</v>
      </c>
      <c r="AP1533" t="str">
        <f t="shared" si="308"/>
        <v>Valid</v>
      </c>
      <c r="AQ1533" t="str">
        <f>IF(Audit_Data[[#This Row],[Z_CostContact]]=3,"Valid","Invalid")</f>
        <v>Valid</v>
      </c>
      <c r="AR1533" t="str">
        <f t="shared" si="309"/>
        <v>Valid</v>
      </c>
      <c r="AS1533" t="str">
        <f t="shared" si="310"/>
        <v>Valid</v>
      </c>
    </row>
    <row r="1534" spans="1:45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 t="str">
        <f t="shared" si="299"/>
        <v>Ok</v>
      </c>
      <c r="AE1534" t="str">
        <f>IF(AND(Audit_Data[[#This Row],[Year_Birth]]&gt;=1900,Audit_Data[[#This Row],[Year_Birth]]&lt;=2010),"OK","Invalid")</f>
        <v>OK</v>
      </c>
      <c r="AF1534" t="str">
        <f t="shared" si="300"/>
        <v>Valid</v>
      </c>
      <c r="AG1534" t="str">
        <f t="shared" si="301"/>
        <v>Valid</v>
      </c>
      <c r="AH1534" t="str">
        <f t="shared" si="302"/>
        <v>Valid</v>
      </c>
      <c r="AI1534" t="str">
        <f t="shared" si="303"/>
        <v>Valid</v>
      </c>
      <c r="AJ1534" t="str">
        <f t="shared" si="304"/>
        <v>Valid</v>
      </c>
      <c r="AK1534" t="str">
        <f t="shared" si="311"/>
        <v xml:space="preserve">Valid </v>
      </c>
      <c r="AL1534" t="str">
        <f>IF(AND(Audit_Data[[#This Row],[Recency]]&gt;=0,Audit_Data[[#This Row],[Recency]]&lt;=100),"Valid","Invalid")</f>
        <v>Valid</v>
      </c>
      <c r="AM1534" t="str">
        <f t="shared" si="305"/>
        <v>Valid</v>
      </c>
      <c r="AN1534" t="str">
        <f t="shared" si="306"/>
        <v>Valid</v>
      </c>
      <c r="AO1534" t="str">
        <f t="shared" si="307"/>
        <v>Valid</v>
      </c>
      <c r="AP1534" t="str">
        <f t="shared" si="308"/>
        <v>Valid</v>
      </c>
      <c r="AQ1534" t="str">
        <f>IF(Audit_Data[[#This Row],[Z_CostContact]]=3,"Valid","Invalid")</f>
        <v>Valid</v>
      </c>
      <c r="AR1534" t="str">
        <f t="shared" si="309"/>
        <v>Valid</v>
      </c>
      <c r="AS1534" t="str">
        <f t="shared" si="310"/>
        <v>Valid</v>
      </c>
    </row>
    <row r="1535" spans="1:45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 t="str">
        <f t="shared" si="299"/>
        <v>Ok</v>
      </c>
      <c r="AE1535" t="str">
        <f>IF(AND(Audit_Data[[#This Row],[Year_Birth]]&gt;=1900,Audit_Data[[#This Row],[Year_Birth]]&lt;=2010),"OK","Invalid")</f>
        <v>OK</v>
      </c>
      <c r="AF1535" t="str">
        <f t="shared" si="300"/>
        <v>Valid</v>
      </c>
      <c r="AG1535" t="str">
        <f t="shared" si="301"/>
        <v>Valid</v>
      </c>
      <c r="AH1535" t="str">
        <f t="shared" si="302"/>
        <v>Valid</v>
      </c>
      <c r="AI1535" t="str">
        <f t="shared" si="303"/>
        <v>Valid</v>
      </c>
      <c r="AJ1535" t="str">
        <f t="shared" si="304"/>
        <v>Valid</v>
      </c>
      <c r="AK1535" t="str">
        <f t="shared" si="311"/>
        <v xml:space="preserve">Valid </v>
      </c>
      <c r="AL1535" t="str">
        <f>IF(AND(Audit_Data[[#This Row],[Recency]]&gt;=0,Audit_Data[[#This Row],[Recency]]&lt;=100),"Valid","Invalid")</f>
        <v>Valid</v>
      </c>
      <c r="AM1535" t="str">
        <f t="shared" si="305"/>
        <v>Valid</v>
      </c>
      <c r="AN1535" t="str">
        <f t="shared" si="306"/>
        <v>Valid</v>
      </c>
      <c r="AO1535" t="str">
        <f t="shared" si="307"/>
        <v>Valid</v>
      </c>
      <c r="AP1535" t="str">
        <f t="shared" si="308"/>
        <v>Valid</v>
      </c>
      <c r="AQ1535" t="str">
        <f>IF(Audit_Data[[#This Row],[Z_CostContact]]=3,"Valid","Invalid")</f>
        <v>Valid</v>
      </c>
      <c r="AR1535" t="str">
        <f t="shared" si="309"/>
        <v>Valid</v>
      </c>
      <c r="AS1535" t="str">
        <f t="shared" si="310"/>
        <v>Valid</v>
      </c>
    </row>
    <row r="1536" spans="1:45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 t="str">
        <f t="shared" si="299"/>
        <v>Ok</v>
      </c>
      <c r="AE1536" t="str">
        <f>IF(AND(Audit_Data[[#This Row],[Year_Birth]]&gt;=1900,Audit_Data[[#This Row],[Year_Birth]]&lt;=2010),"OK","Invalid")</f>
        <v>OK</v>
      </c>
      <c r="AF1536" t="str">
        <f t="shared" si="300"/>
        <v>Valid</v>
      </c>
      <c r="AG1536" t="str">
        <f t="shared" si="301"/>
        <v>Valid</v>
      </c>
      <c r="AH1536" t="str">
        <f t="shared" si="302"/>
        <v>Valid</v>
      </c>
      <c r="AI1536" t="str">
        <f t="shared" si="303"/>
        <v>Valid</v>
      </c>
      <c r="AJ1536" t="str">
        <f t="shared" si="304"/>
        <v>Valid</v>
      </c>
      <c r="AK1536" t="str">
        <f t="shared" si="311"/>
        <v xml:space="preserve">Valid </v>
      </c>
      <c r="AL1536" t="str">
        <f>IF(AND(Audit_Data[[#This Row],[Recency]]&gt;=0,Audit_Data[[#This Row],[Recency]]&lt;=100),"Valid","Invalid")</f>
        <v>Valid</v>
      </c>
      <c r="AM1536" t="str">
        <f t="shared" si="305"/>
        <v>Valid</v>
      </c>
      <c r="AN1536" t="str">
        <f t="shared" si="306"/>
        <v>Valid</v>
      </c>
      <c r="AO1536" t="str">
        <f t="shared" si="307"/>
        <v>Valid</v>
      </c>
      <c r="AP1536" t="str">
        <f t="shared" si="308"/>
        <v>Valid</v>
      </c>
      <c r="AQ1536" t="str">
        <f>IF(Audit_Data[[#This Row],[Z_CostContact]]=3,"Valid","Invalid")</f>
        <v>Valid</v>
      </c>
      <c r="AR1536" t="str">
        <f t="shared" si="309"/>
        <v>Valid</v>
      </c>
      <c r="AS1536" t="str">
        <f t="shared" si="310"/>
        <v>Valid</v>
      </c>
    </row>
    <row r="1537" spans="1:45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 t="str">
        <f t="shared" si="299"/>
        <v>Ok</v>
      </c>
      <c r="AE1537" t="str">
        <f>IF(AND(Audit_Data[[#This Row],[Year_Birth]]&gt;=1900,Audit_Data[[#This Row],[Year_Birth]]&lt;=2010),"OK","Invalid")</f>
        <v>OK</v>
      </c>
      <c r="AF1537" t="str">
        <f t="shared" si="300"/>
        <v>Valid</v>
      </c>
      <c r="AG1537" t="str">
        <f t="shared" si="301"/>
        <v>Valid</v>
      </c>
      <c r="AH1537" t="str">
        <f t="shared" si="302"/>
        <v>Valid</v>
      </c>
      <c r="AI1537" t="str">
        <f t="shared" si="303"/>
        <v>Valid</v>
      </c>
      <c r="AJ1537" t="str">
        <f t="shared" si="304"/>
        <v>Valid</v>
      </c>
      <c r="AK1537" t="str">
        <f t="shared" si="311"/>
        <v xml:space="preserve">Valid </v>
      </c>
      <c r="AL1537" t="str">
        <f>IF(AND(Audit_Data[[#This Row],[Recency]]&gt;=0,Audit_Data[[#This Row],[Recency]]&lt;=100),"Valid","Invalid")</f>
        <v>Valid</v>
      </c>
      <c r="AM1537" t="str">
        <f t="shared" si="305"/>
        <v>Valid</v>
      </c>
      <c r="AN1537" t="str">
        <f t="shared" si="306"/>
        <v>Valid</v>
      </c>
      <c r="AO1537" t="str">
        <f t="shared" si="307"/>
        <v>Valid</v>
      </c>
      <c r="AP1537" t="str">
        <f t="shared" si="308"/>
        <v>Valid</v>
      </c>
      <c r="AQ1537" t="str">
        <f>IF(Audit_Data[[#This Row],[Z_CostContact]]=3,"Valid","Invalid")</f>
        <v>Valid</v>
      </c>
      <c r="AR1537" t="str">
        <f t="shared" si="309"/>
        <v>Valid</v>
      </c>
      <c r="AS1537" t="str">
        <f t="shared" si="310"/>
        <v>Valid</v>
      </c>
    </row>
    <row r="1538" spans="1:45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 t="str">
        <f t="shared" ref="AD1538:AD1601" si="312">IF(COUNTIF(A:A,A1538)&gt;1,"Duplicate","Ok")</f>
        <v>Ok</v>
      </c>
      <c r="AE1538" t="str">
        <f>IF(AND(Audit_Data[[#This Row],[Year_Birth]]&gt;=1900,Audit_Data[[#This Row],[Year_Birth]]&lt;=2010),"OK","Invalid")</f>
        <v>OK</v>
      </c>
      <c r="AF1538" t="str">
        <f t="shared" ref="AF1538:AF1601" si="313">IF(OR(C1538="Graduation",C1538="phD",C1538="Master",C1538="Basic",C1538="2n Cycle"),"Valid","Invalid")</f>
        <v>Valid</v>
      </c>
      <c r="AG1538" t="str">
        <f t="shared" ref="AG1538:AG1601" si="314">IF(OR(D1538="Single",D1538="Married",D1538="Divorced",D1538="Together",D1538="Widow",D1538="Alone"),"Valid","Invalid")</f>
        <v>Valid</v>
      </c>
      <c r="AH1538" t="str">
        <f t="shared" ref="AH1538:AH1601" si="315">IF(AND(ISNUMBER(E1538),E1538&lt;&gt;""),"Valid","Invalid")</f>
        <v>Valid</v>
      </c>
      <c r="AI1538" t="str">
        <f t="shared" ref="AI1538:AI1601" si="316">IF(AND(F1538&gt;=0,F1538&lt;=2),"Valid","Invalid")</f>
        <v>Valid</v>
      </c>
      <c r="AJ1538" t="str">
        <f t="shared" ref="AJ1538:AJ1601" si="317">IF(AND(G1538&gt;=0,G1538&lt;=2),"Valid","Invalid")</f>
        <v>Valid</v>
      </c>
      <c r="AK1538" t="str">
        <f t="shared" si="311"/>
        <v xml:space="preserve">Valid </v>
      </c>
      <c r="AL1538" t="str">
        <f>IF(AND(Audit_Data[[#This Row],[Recency]]&gt;=0,Audit_Data[[#This Row],[Recency]]&lt;=100),"Valid","Invalid")</f>
        <v>Valid</v>
      </c>
      <c r="AM1538" t="str">
        <f t="shared" ref="AM1538:AM1601" si="318">IF(AND(ISNUMBER(J1538),J1538&gt;=0,ISNUMBER(K1538),K1538&gt;=0,ISNUMBER(L1538),L1538&gt;=0,ISNUMBER(M1538),M1538&gt;=0,ISNUMBER(N1538),N1538&gt;=0,ISNUMBER(O1538),O1538&gt;=0),"Valid","Invalid")</f>
        <v>Valid</v>
      </c>
      <c r="AN1538" t="str">
        <f t="shared" ref="AN1538:AN1601" si="319">IF(AND(ISNUMBER(P1538),P1538&gt;=0,ISNUMBER(Q1538),Q1538&gt;=0,ISNUMBER(R1538),R1538&gt;=0,ISNUMBER(S1538),S1538&gt;=0,ISNUMBER(T1538),T1538&gt;=0),"Valid","Invalid")</f>
        <v>Valid</v>
      </c>
      <c r="AO1538" t="str">
        <f t="shared" ref="AO1538:AO1601" si="320">IF(AND(U1538&lt;=1,V1538&lt;=1,W1538&lt;=1,X1538&lt;=1,Y1538&lt;=1),"Valid","Invalid")</f>
        <v>Valid</v>
      </c>
      <c r="AP1538" t="str">
        <f t="shared" ref="AP1538:AP1601" si="321">IF(OR(Z1538=0,Z1538=1),"Valid","Invalid")</f>
        <v>Valid</v>
      </c>
      <c r="AQ1538" t="str">
        <f>IF(Audit_Data[[#This Row],[Z_CostContact]]=3,"Valid","Invalid")</f>
        <v>Valid</v>
      </c>
      <c r="AR1538" t="str">
        <f t="shared" ref="AR1538:AR1601" si="322">IF(AB1538=11,"Valid","Invalid")</f>
        <v>Valid</v>
      </c>
      <c r="AS1538" t="str">
        <f t="shared" ref="AS1538:AS1601" si="323">IF(OR(AC1538=0,AC1538=1),"Valid","Invalid")</f>
        <v>Valid</v>
      </c>
    </row>
    <row r="1539" spans="1:45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 t="str">
        <f t="shared" si="312"/>
        <v>Ok</v>
      </c>
      <c r="AE1539" t="str">
        <f>IF(AND(Audit_Data[[#This Row],[Year_Birth]]&gt;=1900,Audit_Data[[#This Row],[Year_Birth]]&lt;=2010),"OK","Invalid")</f>
        <v>OK</v>
      </c>
      <c r="AF1539" t="str">
        <f t="shared" si="313"/>
        <v>Valid</v>
      </c>
      <c r="AG1539" t="str">
        <f t="shared" si="314"/>
        <v>Valid</v>
      </c>
      <c r="AH1539" t="str">
        <f t="shared" si="315"/>
        <v>Valid</v>
      </c>
      <c r="AI1539" t="str">
        <f t="shared" si="316"/>
        <v>Valid</v>
      </c>
      <c r="AJ1539" t="str">
        <f t="shared" si="317"/>
        <v>Valid</v>
      </c>
      <c r="AK1539" t="str">
        <f t="shared" ref="AK1539:AK1602" si="324">IF(AND(ISNUMBER(H1539),H1539&gt;=DATE(2012,1,1),H1539&lt;=DATE(2014,12,31)),"Valid ","Invalid")</f>
        <v xml:space="preserve">Valid </v>
      </c>
      <c r="AL1539" t="str">
        <f>IF(AND(Audit_Data[[#This Row],[Recency]]&gt;=0,Audit_Data[[#This Row],[Recency]]&lt;=100),"Valid","Invalid")</f>
        <v>Valid</v>
      </c>
      <c r="AM1539" t="str">
        <f t="shared" si="318"/>
        <v>Valid</v>
      </c>
      <c r="AN1539" t="str">
        <f t="shared" si="319"/>
        <v>Valid</v>
      </c>
      <c r="AO1539" t="str">
        <f t="shared" si="320"/>
        <v>Valid</v>
      </c>
      <c r="AP1539" t="str">
        <f t="shared" si="321"/>
        <v>Valid</v>
      </c>
      <c r="AQ1539" t="str">
        <f>IF(Audit_Data[[#This Row],[Z_CostContact]]=3,"Valid","Invalid")</f>
        <v>Valid</v>
      </c>
      <c r="AR1539" t="str">
        <f t="shared" si="322"/>
        <v>Valid</v>
      </c>
      <c r="AS1539" t="str">
        <f t="shared" si="323"/>
        <v>Valid</v>
      </c>
    </row>
    <row r="1540" spans="1:45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 t="str">
        <f t="shared" si="312"/>
        <v>Ok</v>
      </c>
      <c r="AE1540" t="str">
        <f>IF(AND(Audit_Data[[#This Row],[Year_Birth]]&gt;=1900,Audit_Data[[#This Row],[Year_Birth]]&lt;=2010),"OK","Invalid")</f>
        <v>OK</v>
      </c>
      <c r="AF1540" t="str">
        <f t="shared" si="313"/>
        <v>Valid</v>
      </c>
      <c r="AG1540" t="str">
        <f t="shared" si="314"/>
        <v>Valid</v>
      </c>
      <c r="AH1540" t="str">
        <f t="shared" si="315"/>
        <v>Valid</v>
      </c>
      <c r="AI1540" t="str">
        <f t="shared" si="316"/>
        <v>Valid</v>
      </c>
      <c r="AJ1540" t="str">
        <f t="shared" si="317"/>
        <v>Valid</v>
      </c>
      <c r="AK1540" t="str">
        <f t="shared" si="324"/>
        <v xml:space="preserve">Valid </v>
      </c>
      <c r="AL1540" t="str">
        <f>IF(AND(Audit_Data[[#This Row],[Recency]]&gt;=0,Audit_Data[[#This Row],[Recency]]&lt;=100),"Valid","Invalid")</f>
        <v>Valid</v>
      </c>
      <c r="AM1540" t="str">
        <f t="shared" si="318"/>
        <v>Valid</v>
      </c>
      <c r="AN1540" t="str">
        <f t="shared" si="319"/>
        <v>Valid</v>
      </c>
      <c r="AO1540" t="str">
        <f t="shared" si="320"/>
        <v>Valid</v>
      </c>
      <c r="AP1540" t="str">
        <f t="shared" si="321"/>
        <v>Valid</v>
      </c>
      <c r="AQ1540" t="str">
        <f>IF(Audit_Data[[#This Row],[Z_CostContact]]=3,"Valid","Invalid")</f>
        <v>Valid</v>
      </c>
      <c r="AR1540" t="str">
        <f t="shared" si="322"/>
        <v>Valid</v>
      </c>
      <c r="AS1540" t="str">
        <f t="shared" si="323"/>
        <v>Valid</v>
      </c>
    </row>
    <row r="1541" spans="1:45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 t="str">
        <f t="shared" si="312"/>
        <v>Ok</v>
      </c>
      <c r="AE1541" t="str">
        <f>IF(AND(Audit_Data[[#This Row],[Year_Birth]]&gt;=1900,Audit_Data[[#This Row],[Year_Birth]]&lt;=2010),"OK","Invalid")</f>
        <v>OK</v>
      </c>
      <c r="AF1541" t="str">
        <f t="shared" si="313"/>
        <v>Valid</v>
      </c>
      <c r="AG1541" t="str">
        <f t="shared" si="314"/>
        <v>Valid</v>
      </c>
      <c r="AH1541" t="str">
        <f t="shared" si="315"/>
        <v>Valid</v>
      </c>
      <c r="AI1541" t="str">
        <f t="shared" si="316"/>
        <v>Valid</v>
      </c>
      <c r="AJ1541" t="str">
        <f t="shared" si="317"/>
        <v>Valid</v>
      </c>
      <c r="AK1541" t="str">
        <f t="shared" si="324"/>
        <v xml:space="preserve">Valid </v>
      </c>
      <c r="AL1541" t="str">
        <f>IF(AND(Audit_Data[[#This Row],[Recency]]&gt;=0,Audit_Data[[#This Row],[Recency]]&lt;=100),"Valid","Invalid")</f>
        <v>Valid</v>
      </c>
      <c r="AM1541" t="str">
        <f t="shared" si="318"/>
        <v>Valid</v>
      </c>
      <c r="AN1541" t="str">
        <f t="shared" si="319"/>
        <v>Valid</v>
      </c>
      <c r="AO1541" t="str">
        <f t="shared" si="320"/>
        <v>Valid</v>
      </c>
      <c r="AP1541" t="str">
        <f t="shared" si="321"/>
        <v>Valid</v>
      </c>
      <c r="AQ1541" t="str">
        <f>IF(Audit_Data[[#This Row],[Z_CostContact]]=3,"Valid","Invalid")</f>
        <v>Valid</v>
      </c>
      <c r="AR1541" t="str">
        <f t="shared" si="322"/>
        <v>Valid</v>
      </c>
      <c r="AS1541" t="str">
        <f t="shared" si="323"/>
        <v>Valid</v>
      </c>
    </row>
    <row r="1542" spans="1:45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 t="str">
        <f t="shared" si="312"/>
        <v>Ok</v>
      </c>
      <c r="AE1542" t="str">
        <f>IF(AND(Audit_Data[[#This Row],[Year_Birth]]&gt;=1900,Audit_Data[[#This Row],[Year_Birth]]&lt;=2010),"OK","Invalid")</f>
        <v>OK</v>
      </c>
      <c r="AF1542" t="str">
        <f t="shared" si="313"/>
        <v>Valid</v>
      </c>
      <c r="AG1542" t="str">
        <f t="shared" si="314"/>
        <v>Valid</v>
      </c>
      <c r="AH1542" t="str">
        <f t="shared" si="315"/>
        <v>Valid</v>
      </c>
      <c r="AI1542" t="str">
        <f t="shared" si="316"/>
        <v>Valid</v>
      </c>
      <c r="AJ1542" t="str">
        <f t="shared" si="317"/>
        <v>Valid</v>
      </c>
      <c r="AK1542" t="str">
        <f t="shared" si="324"/>
        <v xml:space="preserve">Valid </v>
      </c>
      <c r="AL1542" t="str">
        <f>IF(AND(Audit_Data[[#This Row],[Recency]]&gt;=0,Audit_Data[[#This Row],[Recency]]&lt;=100),"Valid","Invalid")</f>
        <v>Valid</v>
      </c>
      <c r="AM1542" t="str">
        <f t="shared" si="318"/>
        <v>Valid</v>
      </c>
      <c r="AN1542" t="str">
        <f t="shared" si="319"/>
        <v>Valid</v>
      </c>
      <c r="AO1542" t="str">
        <f t="shared" si="320"/>
        <v>Valid</v>
      </c>
      <c r="AP1542" t="str">
        <f t="shared" si="321"/>
        <v>Valid</v>
      </c>
      <c r="AQ1542" t="str">
        <f>IF(Audit_Data[[#This Row],[Z_CostContact]]=3,"Valid","Invalid")</f>
        <v>Valid</v>
      </c>
      <c r="AR1542" t="str">
        <f t="shared" si="322"/>
        <v>Valid</v>
      </c>
      <c r="AS1542" t="str">
        <f t="shared" si="323"/>
        <v>Valid</v>
      </c>
    </row>
    <row r="1543" spans="1:45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 t="str">
        <f t="shared" si="312"/>
        <v>Ok</v>
      </c>
      <c r="AE1543" t="str">
        <f>IF(AND(Audit_Data[[#This Row],[Year_Birth]]&gt;=1900,Audit_Data[[#This Row],[Year_Birth]]&lt;=2010),"OK","Invalid")</f>
        <v>OK</v>
      </c>
      <c r="AF1543" t="str">
        <f t="shared" si="313"/>
        <v>Valid</v>
      </c>
      <c r="AG1543" t="str">
        <f t="shared" si="314"/>
        <v>Valid</v>
      </c>
      <c r="AH1543" t="str">
        <f t="shared" si="315"/>
        <v>Valid</v>
      </c>
      <c r="AI1543" t="str">
        <f t="shared" si="316"/>
        <v>Valid</v>
      </c>
      <c r="AJ1543" t="str">
        <f t="shared" si="317"/>
        <v>Valid</v>
      </c>
      <c r="AK1543" t="str">
        <f t="shared" si="324"/>
        <v xml:space="preserve">Valid </v>
      </c>
      <c r="AL1543" t="str">
        <f>IF(AND(Audit_Data[[#This Row],[Recency]]&gt;=0,Audit_Data[[#This Row],[Recency]]&lt;=100),"Valid","Invalid")</f>
        <v>Valid</v>
      </c>
      <c r="AM1543" t="str">
        <f t="shared" si="318"/>
        <v>Valid</v>
      </c>
      <c r="AN1543" t="str">
        <f t="shared" si="319"/>
        <v>Valid</v>
      </c>
      <c r="AO1543" t="str">
        <f t="shared" si="320"/>
        <v>Valid</v>
      </c>
      <c r="AP1543" t="str">
        <f t="shared" si="321"/>
        <v>Valid</v>
      </c>
      <c r="AQ1543" t="str">
        <f>IF(Audit_Data[[#This Row],[Z_CostContact]]=3,"Valid","Invalid")</f>
        <v>Valid</v>
      </c>
      <c r="AR1543" t="str">
        <f t="shared" si="322"/>
        <v>Valid</v>
      </c>
      <c r="AS1543" t="str">
        <f t="shared" si="323"/>
        <v>Valid</v>
      </c>
    </row>
    <row r="1544" spans="1:45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 t="str">
        <f t="shared" si="312"/>
        <v>Ok</v>
      </c>
      <c r="AE1544" t="str">
        <f>IF(AND(Audit_Data[[#This Row],[Year_Birth]]&gt;=1900,Audit_Data[[#This Row],[Year_Birth]]&lt;=2010),"OK","Invalid")</f>
        <v>OK</v>
      </c>
      <c r="AF1544" t="str">
        <f t="shared" si="313"/>
        <v>Valid</v>
      </c>
      <c r="AG1544" t="str">
        <f t="shared" si="314"/>
        <v>Valid</v>
      </c>
      <c r="AH1544" t="str">
        <f t="shared" si="315"/>
        <v>Valid</v>
      </c>
      <c r="AI1544" t="str">
        <f t="shared" si="316"/>
        <v>Valid</v>
      </c>
      <c r="AJ1544" t="str">
        <f t="shared" si="317"/>
        <v>Valid</v>
      </c>
      <c r="AK1544" t="str">
        <f t="shared" si="324"/>
        <v xml:space="preserve">Valid </v>
      </c>
      <c r="AL1544" t="str">
        <f>IF(AND(Audit_Data[[#This Row],[Recency]]&gt;=0,Audit_Data[[#This Row],[Recency]]&lt;=100),"Valid","Invalid")</f>
        <v>Valid</v>
      </c>
      <c r="AM1544" t="str">
        <f t="shared" si="318"/>
        <v>Valid</v>
      </c>
      <c r="AN1544" t="str">
        <f t="shared" si="319"/>
        <v>Valid</v>
      </c>
      <c r="AO1544" t="str">
        <f t="shared" si="320"/>
        <v>Valid</v>
      </c>
      <c r="AP1544" t="str">
        <f t="shared" si="321"/>
        <v>Valid</v>
      </c>
      <c r="AQ1544" t="str">
        <f>IF(Audit_Data[[#This Row],[Z_CostContact]]=3,"Valid","Invalid")</f>
        <v>Valid</v>
      </c>
      <c r="AR1544" t="str">
        <f t="shared" si="322"/>
        <v>Valid</v>
      </c>
      <c r="AS1544" t="str">
        <f t="shared" si="323"/>
        <v>Valid</v>
      </c>
    </row>
    <row r="1545" spans="1:45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 t="str">
        <f t="shared" si="312"/>
        <v>Ok</v>
      </c>
      <c r="AE1545" t="str">
        <f>IF(AND(Audit_Data[[#This Row],[Year_Birth]]&gt;=1900,Audit_Data[[#This Row],[Year_Birth]]&lt;=2010),"OK","Invalid")</f>
        <v>OK</v>
      </c>
      <c r="AF1545" t="str">
        <f t="shared" si="313"/>
        <v>Valid</v>
      </c>
      <c r="AG1545" t="str">
        <f t="shared" si="314"/>
        <v>Valid</v>
      </c>
      <c r="AH1545" t="str">
        <f t="shared" si="315"/>
        <v>Valid</v>
      </c>
      <c r="AI1545" t="str">
        <f t="shared" si="316"/>
        <v>Valid</v>
      </c>
      <c r="AJ1545" t="str">
        <f t="shared" si="317"/>
        <v>Valid</v>
      </c>
      <c r="AK1545" t="str">
        <f t="shared" si="324"/>
        <v xml:space="preserve">Valid </v>
      </c>
      <c r="AL1545" t="str">
        <f>IF(AND(Audit_Data[[#This Row],[Recency]]&gt;=0,Audit_Data[[#This Row],[Recency]]&lt;=100),"Valid","Invalid")</f>
        <v>Valid</v>
      </c>
      <c r="AM1545" t="str">
        <f t="shared" si="318"/>
        <v>Valid</v>
      </c>
      <c r="AN1545" t="str">
        <f t="shared" si="319"/>
        <v>Valid</v>
      </c>
      <c r="AO1545" t="str">
        <f t="shared" si="320"/>
        <v>Valid</v>
      </c>
      <c r="AP1545" t="str">
        <f t="shared" si="321"/>
        <v>Valid</v>
      </c>
      <c r="AQ1545" t="str">
        <f>IF(Audit_Data[[#This Row],[Z_CostContact]]=3,"Valid","Invalid")</f>
        <v>Valid</v>
      </c>
      <c r="AR1545" t="str">
        <f t="shared" si="322"/>
        <v>Valid</v>
      </c>
      <c r="AS1545" t="str">
        <f t="shared" si="323"/>
        <v>Valid</v>
      </c>
    </row>
    <row r="1546" spans="1:45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 t="str">
        <f t="shared" si="312"/>
        <v>Ok</v>
      </c>
      <c r="AE1546" t="str">
        <f>IF(AND(Audit_Data[[#This Row],[Year_Birth]]&gt;=1900,Audit_Data[[#This Row],[Year_Birth]]&lt;=2010),"OK","Invalid")</f>
        <v>OK</v>
      </c>
      <c r="AF1546" t="str">
        <f t="shared" si="313"/>
        <v>Valid</v>
      </c>
      <c r="AG1546" t="str">
        <f t="shared" si="314"/>
        <v>Valid</v>
      </c>
      <c r="AH1546" t="str">
        <f t="shared" si="315"/>
        <v>Valid</v>
      </c>
      <c r="AI1546" t="str">
        <f t="shared" si="316"/>
        <v>Valid</v>
      </c>
      <c r="AJ1546" t="str">
        <f t="shared" si="317"/>
        <v>Valid</v>
      </c>
      <c r="AK1546" t="str">
        <f t="shared" si="324"/>
        <v xml:space="preserve">Valid </v>
      </c>
      <c r="AL1546" t="str">
        <f>IF(AND(Audit_Data[[#This Row],[Recency]]&gt;=0,Audit_Data[[#This Row],[Recency]]&lt;=100),"Valid","Invalid")</f>
        <v>Valid</v>
      </c>
      <c r="AM1546" t="str">
        <f t="shared" si="318"/>
        <v>Valid</v>
      </c>
      <c r="AN1546" t="str">
        <f t="shared" si="319"/>
        <v>Valid</v>
      </c>
      <c r="AO1546" t="str">
        <f t="shared" si="320"/>
        <v>Valid</v>
      </c>
      <c r="AP1546" t="str">
        <f t="shared" si="321"/>
        <v>Valid</v>
      </c>
      <c r="AQ1546" t="str">
        <f>IF(Audit_Data[[#This Row],[Z_CostContact]]=3,"Valid","Invalid")</f>
        <v>Valid</v>
      </c>
      <c r="AR1546" t="str">
        <f t="shared" si="322"/>
        <v>Valid</v>
      </c>
      <c r="AS1546" t="str">
        <f t="shared" si="323"/>
        <v>Valid</v>
      </c>
    </row>
    <row r="1547" spans="1:45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 t="str">
        <f t="shared" si="312"/>
        <v>Ok</v>
      </c>
      <c r="AE1547" t="str">
        <f>IF(AND(Audit_Data[[#This Row],[Year_Birth]]&gt;=1900,Audit_Data[[#This Row],[Year_Birth]]&lt;=2010),"OK","Invalid")</f>
        <v>OK</v>
      </c>
      <c r="AF1547" t="str">
        <f t="shared" si="313"/>
        <v>Valid</v>
      </c>
      <c r="AG1547" t="str">
        <f t="shared" si="314"/>
        <v>Valid</v>
      </c>
      <c r="AH1547" t="str">
        <f t="shared" si="315"/>
        <v>Valid</v>
      </c>
      <c r="AI1547" t="str">
        <f t="shared" si="316"/>
        <v>Valid</v>
      </c>
      <c r="AJ1547" t="str">
        <f t="shared" si="317"/>
        <v>Valid</v>
      </c>
      <c r="AK1547" t="str">
        <f t="shared" si="324"/>
        <v xml:space="preserve">Valid </v>
      </c>
      <c r="AL1547" t="str">
        <f>IF(AND(Audit_Data[[#This Row],[Recency]]&gt;=0,Audit_Data[[#This Row],[Recency]]&lt;=100),"Valid","Invalid")</f>
        <v>Valid</v>
      </c>
      <c r="AM1547" t="str">
        <f t="shared" si="318"/>
        <v>Valid</v>
      </c>
      <c r="AN1547" t="str">
        <f t="shared" si="319"/>
        <v>Valid</v>
      </c>
      <c r="AO1547" t="str">
        <f t="shared" si="320"/>
        <v>Valid</v>
      </c>
      <c r="AP1547" t="str">
        <f t="shared" si="321"/>
        <v>Valid</v>
      </c>
      <c r="AQ1547" t="str">
        <f>IF(Audit_Data[[#This Row],[Z_CostContact]]=3,"Valid","Invalid")</f>
        <v>Valid</v>
      </c>
      <c r="AR1547" t="str">
        <f t="shared" si="322"/>
        <v>Valid</v>
      </c>
      <c r="AS1547" t="str">
        <f t="shared" si="323"/>
        <v>Valid</v>
      </c>
    </row>
    <row r="1548" spans="1:45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 t="str">
        <f t="shared" si="312"/>
        <v>Ok</v>
      </c>
      <c r="AE1548" t="str">
        <f>IF(AND(Audit_Data[[#This Row],[Year_Birth]]&gt;=1900,Audit_Data[[#This Row],[Year_Birth]]&lt;=2010),"OK","Invalid")</f>
        <v>OK</v>
      </c>
      <c r="AF1548" t="str">
        <f t="shared" si="313"/>
        <v>Valid</v>
      </c>
      <c r="AG1548" t="str">
        <f t="shared" si="314"/>
        <v>Valid</v>
      </c>
      <c r="AH1548" t="str">
        <f t="shared" si="315"/>
        <v>Valid</v>
      </c>
      <c r="AI1548" t="str">
        <f t="shared" si="316"/>
        <v>Valid</v>
      </c>
      <c r="AJ1548" t="str">
        <f t="shared" si="317"/>
        <v>Valid</v>
      </c>
      <c r="AK1548" t="str">
        <f t="shared" si="324"/>
        <v xml:space="preserve">Valid </v>
      </c>
      <c r="AL1548" t="str">
        <f>IF(AND(Audit_Data[[#This Row],[Recency]]&gt;=0,Audit_Data[[#This Row],[Recency]]&lt;=100),"Valid","Invalid")</f>
        <v>Valid</v>
      </c>
      <c r="AM1548" t="str">
        <f t="shared" si="318"/>
        <v>Valid</v>
      </c>
      <c r="AN1548" t="str">
        <f t="shared" si="319"/>
        <v>Valid</v>
      </c>
      <c r="AO1548" t="str">
        <f t="shared" si="320"/>
        <v>Valid</v>
      </c>
      <c r="AP1548" t="str">
        <f t="shared" si="321"/>
        <v>Valid</v>
      </c>
      <c r="AQ1548" t="str">
        <f>IF(Audit_Data[[#This Row],[Z_CostContact]]=3,"Valid","Invalid")</f>
        <v>Valid</v>
      </c>
      <c r="AR1548" t="str">
        <f t="shared" si="322"/>
        <v>Valid</v>
      </c>
      <c r="AS1548" t="str">
        <f t="shared" si="323"/>
        <v>Valid</v>
      </c>
    </row>
    <row r="1549" spans="1:45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 t="str">
        <f t="shared" si="312"/>
        <v>Ok</v>
      </c>
      <c r="AE1549" t="str">
        <f>IF(AND(Audit_Data[[#This Row],[Year_Birth]]&gt;=1900,Audit_Data[[#This Row],[Year_Birth]]&lt;=2010),"OK","Invalid")</f>
        <v>OK</v>
      </c>
      <c r="AF1549" t="str">
        <f t="shared" si="313"/>
        <v>Valid</v>
      </c>
      <c r="AG1549" t="str">
        <f t="shared" si="314"/>
        <v>Valid</v>
      </c>
      <c r="AH1549" t="str">
        <f t="shared" si="315"/>
        <v>Valid</v>
      </c>
      <c r="AI1549" t="str">
        <f t="shared" si="316"/>
        <v>Valid</v>
      </c>
      <c r="AJ1549" t="str">
        <f t="shared" si="317"/>
        <v>Valid</v>
      </c>
      <c r="AK1549" t="str">
        <f t="shared" si="324"/>
        <v xml:space="preserve">Valid </v>
      </c>
      <c r="AL1549" t="str">
        <f>IF(AND(Audit_Data[[#This Row],[Recency]]&gt;=0,Audit_Data[[#This Row],[Recency]]&lt;=100),"Valid","Invalid")</f>
        <v>Valid</v>
      </c>
      <c r="AM1549" t="str">
        <f t="shared" si="318"/>
        <v>Valid</v>
      </c>
      <c r="AN1549" t="str">
        <f t="shared" si="319"/>
        <v>Valid</v>
      </c>
      <c r="AO1549" t="str">
        <f t="shared" si="320"/>
        <v>Valid</v>
      </c>
      <c r="AP1549" t="str">
        <f t="shared" si="321"/>
        <v>Valid</v>
      </c>
      <c r="AQ1549" t="str">
        <f>IF(Audit_Data[[#This Row],[Z_CostContact]]=3,"Valid","Invalid")</f>
        <v>Valid</v>
      </c>
      <c r="AR1549" t="str">
        <f t="shared" si="322"/>
        <v>Valid</v>
      </c>
      <c r="AS1549" t="str">
        <f t="shared" si="323"/>
        <v>Valid</v>
      </c>
    </row>
    <row r="1550" spans="1:45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 t="str">
        <f t="shared" si="312"/>
        <v>Ok</v>
      </c>
      <c r="AE1550" t="str">
        <f>IF(AND(Audit_Data[[#This Row],[Year_Birth]]&gt;=1900,Audit_Data[[#This Row],[Year_Birth]]&lt;=2010),"OK","Invalid")</f>
        <v>OK</v>
      </c>
      <c r="AF1550" t="str">
        <f t="shared" si="313"/>
        <v>Valid</v>
      </c>
      <c r="AG1550" t="str">
        <f t="shared" si="314"/>
        <v>Valid</v>
      </c>
      <c r="AH1550" t="str">
        <f t="shared" si="315"/>
        <v>Valid</v>
      </c>
      <c r="AI1550" t="str">
        <f t="shared" si="316"/>
        <v>Valid</v>
      </c>
      <c r="AJ1550" t="str">
        <f t="shared" si="317"/>
        <v>Valid</v>
      </c>
      <c r="AK1550" t="str">
        <f t="shared" si="324"/>
        <v xml:space="preserve">Valid </v>
      </c>
      <c r="AL1550" t="str">
        <f>IF(AND(Audit_Data[[#This Row],[Recency]]&gt;=0,Audit_Data[[#This Row],[Recency]]&lt;=100),"Valid","Invalid")</f>
        <v>Valid</v>
      </c>
      <c r="AM1550" t="str">
        <f t="shared" si="318"/>
        <v>Valid</v>
      </c>
      <c r="AN1550" t="str">
        <f t="shared" si="319"/>
        <v>Valid</v>
      </c>
      <c r="AO1550" t="str">
        <f t="shared" si="320"/>
        <v>Valid</v>
      </c>
      <c r="AP1550" t="str">
        <f t="shared" si="321"/>
        <v>Valid</v>
      </c>
      <c r="AQ1550" t="str">
        <f>IF(Audit_Data[[#This Row],[Z_CostContact]]=3,"Valid","Invalid")</f>
        <v>Valid</v>
      </c>
      <c r="AR1550" t="str">
        <f t="shared" si="322"/>
        <v>Valid</v>
      </c>
      <c r="AS1550" t="str">
        <f t="shared" si="323"/>
        <v>Valid</v>
      </c>
    </row>
    <row r="1551" spans="1:45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 t="str">
        <f t="shared" si="312"/>
        <v>Ok</v>
      </c>
      <c r="AE1551" t="str">
        <f>IF(AND(Audit_Data[[#This Row],[Year_Birth]]&gt;=1900,Audit_Data[[#This Row],[Year_Birth]]&lt;=2010),"OK","Invalid")</f>
        <v>OK</v>
      </c>
      <c r="AF1551" t="str">
        <f t="shared" si="313"/>
        <v>Valid</v>
      </c>
      <c r="AG1551" t="str">
        <f t="shared" si="314"/>
        <v>Valid</v>
      </c>
      <c r="AH1551" t="str">
        <f t="shared" si="315"/>
        <v>Valid</v>
      </c>
      <c r="AI1551" t="str">
        <f t="shared" si="316"/>
        <v>Valid</v>
      </c>
      <c r="AJ1551" t="str">
        <f t="shared" si="317"/>
        <v>Valid</v>
      </c>
      <c r="AK1551" t="str">
        <f t="shared" si="324"/>
        <v xml:space="preserve">Valid </v>
      </c>
      <c r="AL1551" t="str">
        <f>IF(AND(Audit_Data[[#This Row],[Recency]]&gt;=0,Audit_Data[[#This Row],[Recency]]&lt;=100),"Valid","Invalid")</f>
        <v>Valid</v>
      </c>
      <c r="AM1551" t="str">
        <f t="shared" si="318"/>
        <v>Valid</v>
      </c>
      <c r="AN1551" t="str">
        <f t="shared" si="319"/>
        <v>Valid</v>
      </c>
      <c r="AO1551" t="str">
        <f t="shared" si="320"/>
        <v>Valid</v>
      </c>
      <c r="AP1551" t="str">
        <f t="shared" si="321"/>
        <v>Valid</v>
      </c>
      <c r="AQ1551" t="str">
        <f>IF(Audit_Data[[#This Row],[Z_CostContact]]=3,"Valid","Invalid")</f>
        <v>Valid</v>
      </c>
      <c r="AR1551" t="str">
        <f t="shared" si="322"/>
        <v>Valid</v>
      </c>
      <c r="AS1551" t="str">
        <f t="shared" si="323"/>
        <v>Valid</v>
      </c>
    </row>
    <row r="1552" spans="1:45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 t="str">
        <f t="shared" si="312"/>
        <v>Ok</v>
      </c>
      <c r="AE1552" t="str">
        <f>IF(AND(Audit_Data[[#This Row],[Year_Birth]]&gt;=1900,Audit_Data[[#This Row],[Year_Birth]]&lt;=2010),"OK","Invalid")</f>
        <v>OK</v>
      </c>
      <c r="AF1552" t="str">
        <f t="shared" si="313"/>
        <v>Valid</v>
      </c>
      <c r="AG1552" t="str">
        <f t="shared" si="314"/>
        <v>Valid</v>
      </c>
      <c r="AH1552" t="str">
        <f t="shared" si="315"/>
        <v>Valid</v>
      </c>
      <c r="AI1552" t="str">
        <f t="shared" si="316"/>
        <v>Valid</v>
      </c>
      <c r="AJ1552" t="str">
        <f t="shared" si="317"/>
        <v>Valid</v>
      </c>
      <c r="AK1552" t="str">
        <f t="shared" si="324"/>
        <v xml:space="preserve">Valid </v>
      </c>
      <c r="AL1552" t="str">
        <f>IF(AND(Audit_Data[[#This Row],[Recency]]&gt;=0,Audit_Data[[#This Row],[Recency]]&lt;=100),"Valid","Invalid")</f>
        <v>Valid</v>
      </c>
      <c r="AM1552" t="str">
        <f t="shared" si="318"/>
        <v>Valid</v>
      </c>
      <c r="AN1552" t="str">
        <f t="shared" si="319"/>
        <v>Valid</v>
      </c>
      <c r="AO1552" t="str">
        <f t="shared" si="320"/>
        <v>Valid</v>
      </c>
      <c r="AP1552" t="str">
        <f t="shared" si="321"/>
        <v>Valid</v>
      </c>
      <c r="AQ1552" t="str">
        <f>IF(Audit_Data[[#This Row],[Z_CostContact]]=3,"Valid","Invalid")</f>
        <v>Valid</v>
      </c>
      <c r="AR1552" t="str">
        <f t="shared" si="322"/>
        <v>Valid</v>
      </c>
      <c r="AS1552" t="str">
        <f t="shared" si="323"/>
        <v>Valid</v>
      </c>
    </row>
    <row r="1553" spans="1:45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 t="str">
        <f t="shared" si="312"/>
        <v>Ok</v>
      </c>
      <c r="AE1553" t="str">
        <f>IF(AND(Audit_Data[[#This Row],[Year_Birth]]&gt;=1900,Audit_Data[[#This Row],[Year_Birth]]&lt;=2010),"OK","Invalid")</f>
        <v>OK</v>
      </c>
      <c r="AF1553" t="str">
        <f t="shared" si="313"/>
        <v>Valid</v>
      </c>
      <c r="AG1553" t="str">
        <f t="shared" si="314"/>
        <v>Valid</v>
      </c>
      <c r="AH1553" t="str">
        <f t="shared" si="315"/>
        <v>Valid</v>
      </c>
      <c r="AI1553" t="str">
        <f t="shared" si="316"/>
        <v>Valid</v>
      </c>
      <c r="AJ1553" t="str">
        <f t="shared" si="317"/>
        <v>Valid</v>
      </c>
      <c r="AK1553" t="str">
        <f t="shared" si="324"/>
        <v xml:space="preserve">Valid </v>
      </c>
      <c r="AL1553" t="str">
        <f>IF(AND(Audit_Data[[#This Row],[Recency]]&gt;=0,Audit_Data[[#This Row],[Recency]]&lt;=100),"Valid","Invalid")</f>
        <v>Valid</v>
      </c>
      <c r="AM1553" t="str">
        <f t="shared" si="318"/>
        <v>Valid</v>
      </c>
      <c r="AN1553" t="str">
        <f t="shared" si="319"/>
        <v>Valid</v>
      </c>
      <c r="AO1553" t="str">
        <f t="shared" si="320"/>
        <v>Valid</v>
      </c>
      <c r="AP1553" t="str">
        <f t="shared" si="321"/>
        <v>Valid</v>
      </c>
      <c r="AQ1553" t="str">
        <f>IF(Audit_Data[[#This Row],[Z_CostContact]]=3,"Valid","Invalid")</f>
        <v>Valid</v>
      </c>
      <c r="AR1553" t="str">
        <f t="shared" si="322"/>
        <v>Valid</v>
      </c>
      <c r="AS1553" t="str">
        <f t="shared" si="323"/>
        <v>Valid</v>
      </c>
    </row>
    <row r="1554" spans="1:45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 t="str">
        <f t="shared" si="312"/>
        <v>Ok</v>
      </c>
      <c r="AE1554" t="str">
        <f>IF(AND(Audit_Data[[#This Row],[Year_Birth]]&gt;=1900,Audit_Data[[#This Row],[Year_Birth]]&lt;=2010),"OK","Invalid")</f>
        <v>OK</v>
      </c>
      <c r="AF1554" t="str">
        <f t="shared" si="313"/>
        <v>Valid</v>
      </c>
      <c r="AG1554" t="str">
        <f t="shared" si="314"/>
        <v>Valid</v>
      </c>
      <c r="AH1554" t="str">
        <f t="shared" si="315"/>
        <v>Valid</v>
      </c>
      <c r="AI1554" t="str">
        <f t="shared" si="316"/>
        <v>Valid</v>
      </c>
      <c r="AJ1554" t="str">
        <f t="shared" si="317"/>
        <v>Valid</v>
      </c>
      <c r="AK1554" t="str">
        <f t="shared" si="324"/>
        <v xml:space="preserve">Valid </v>
      </c>
      <c r="AL1554" t="str">
        <f>IF(AND(Audit_Data[[#This Row],[Recency]]&gt;=0,Audit_Data[[#This Row],[Recency]]&lt;=100),"Valid","Invalid")</f>
        <v>Valid</v>
      </c>
      <c r="AM1554" t="str">
        <f t="shared" si="318"/>
        <v>Valid</v>
      </c>
      <c r="AN1554" t="str">
        <f t="shared" si="319"/>
        <v>Valid</v>
      </c>
      <c r="AO1554" t="str">
        <f t="shared" si="320"/>
        <v>Valid</v>
      </c>
      <c r="AP1554" t="str">
        <f t="shared" si="321"/>
        <v>Valid</v>
      </c>
      <c r="AQ1554" t="str">
        <f>IF(Audit_Data[[#This Row],[Z_CostContact]]=3,"Valid","Invalid")</f>
        <v>Valid</v>
      </c>
      <c r="AR1554" t="str">
        <f t="shared" si="322"/>
        <v>Valid</v>
      </c>
      <c r="AS1554" t="str">
        <f t="shared" si="323"/>
        <v>Valid</v>
      </c>
    </row>
    <row r="1555" spans="1:45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 t="str">
        <f t="shared" si="312"/>
        <v>Ok</v>
      </c>
      <c r="AE1555" t="str">
        <f>IF(AND(Audit_Data[[#This Row],[Year_Birth]]&gt;=1900,Audit_Data[[#This Row],[Year_Birth]]&lt;=2010),"OK","Invalid")</f>
        <v>OK</v>
      </c>
      <c r="AF1555" t="str">
        <f t="shared" si="313"/>
        <v>Valid</v>
      </c>
      <c r="AG1555" t="str">
        <f t="shared" si="314"/>
        <v>Valid</v>
      </c>
      <c r="AH1555" t="str">
        <f t="shared" si="315"/>
        <v>Valid</v>
      </c>
      <c r="AI1555" t="str">
        <f t="shared" si="316"/>
        <v>Valid</v>
      </c>
      <c r="AJ1555" t="str">
        <f t="shared" si="317"/>
        <v>Valid</v>
      </c>
      <c r="AK1555" t="str">
        <f t="shared" si="324"/>
        <v xml:space="preserve">Valid </v>
      </c>
      <c r="AL1555" t="str">
        <f>IF(AND(Audit_Data[[#This Row],[Recency]]&gt;=0,Audit_Data[[#This Row],[Recency]]&lt;=100),"Valid","Invalid")</f>
        <v>Valid</v>
      </c>
      <c r="AM1555" t="str">
        <f t="shared" si="318"/>
        <v>Valid</v>
      </c>
      <c r="AN1555" t="str">
        <f t="shared" si="319"/>
        <v>Valid</v>
      </c>
      <c r="AO1555" t="str">
        <f t="shared" si="320"/>
        <v>Valid</v>
      </c>
      <c r="AP1555" t="str">
        <f t="shared" si="321"/>
        <v>Valid</v>
      </c>
      <c r="AQ1555" t="str">
        <f>IF(Audit_Data[[#This Row],[Z_CostContact]]=3,"Valid","Invalid")</f>
        <v>Valid</v>
      </c>
      <c r="AR1555" t="str">
        <f t="shared" si="322"/>
        <v>Valid</v>
      </c>
      <c r="AS1555" t="str">
        <f t="shared" si="323"/>
        <v>Valid</v>
      </c>
    </row>
    <row r="1556" spans="1:45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 t="str">
        <f t="shared" si="312"/>
        <v>Ok</v>
      </c>
      <c r="AE1556" t="str">
        <f>IF(AND(Audit_Data[[#This Row],[Year_Birth]]&gt;=1900,Audit_Data[[#This Row],[Year_Birth]]&lt;=2010),"OK","Invalid")</f>
        <v>OK</v>
      </c>
      <c r="AF1556" t="str">
        <f t="shared" si="313"/>
        <v>Valid</v>
      </c>
      <c r="AG1556" t="str">
        <f t="shared" si="314"/>
        <v>Valid</v>
      </c>
      <c r="AH1556" t="str">
        <f t="shared" si="315"/>
        <v>Valid</v>
      </c>
      <c r="AI1556" t="str">
        <f t="shared" si="316"/>
        <v>Valid</v>
      </c>
      <c r="AJ1556" t="str">
        <f t="shared" si="317"/>
        <v>Valid</v>
      </c>
      <c r="AK1556" t="str">
        <f t="shared" si="324"/>
        <v xml:space="preserve">Valid </v>
      </c>
      <c r="AL1556" t="str">
        <f>IF(AND(Audit_Data[[#This Row],[Recency]]&gt;=0,Audit_Data[[#This Row],[Recency]]&lt;=100),"Valid","Invalid")</f>
        <v>Valid</v>
      </c>
      <c r="AM1556" t="str">
        <f t="shared" si="318"/>
        <v>Valid</v>
      </c>
      <c r="AN1556" t="str">
        <f t="shared" si="319"/>
        <v>Valid</v>
      </c>
      <c r="AO1556" t="str">
        <f t="shared" si="320"/>
        <v>Valid</v>
      </c>
      <c r="AP1556" t="str">
        <f t="shared" si="321"/>
        <v>Valid</v>
      </c>
      <c r="AQ1556" t="str">
        <f>IF(Audit_Data[[#This Row],[Z_CostContact]]=3,"Valid","Invalid")</f>
        <v>Valid</v>
      </c>
      <c r="AR1556" t="str">
        <f t="shared" si="322"/>
        <v>Valid</v>
      </c>
      <c r="AS1556" t="str">
        <f t="shared" si="323"/>
        <v>Valid</v>
      </c>
    </row>
    <row r="1557" spans="1:45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 t="str">
        <f t="shared" si="312"/>
        <v>Ok</v>
      </c>
      <c r="AE1557" t="str">
        <f>IF(AND(Audit_Data[[#This Row],[Year_Birth]]&gt;=1900,Audit_Data[[#This Row],[Year_Birth]]&lt;=2010),"OK","Invalid")</f>
        <v>OK</v>
      </c>
      <c r="AF1557" t="str">
        <f t="shared" si="313"/>
        <v>Valid</v>
      </c>
      <c r="AG1557" t="str">
        <f t="shared" si="314"/>
        <v>Valid</v>
      </c>
      <c r="AH1557" t="str">
        <f t="shared" si="315"/>
        <v>Valid</v>
      </c>
      <c r="AI1557" t="str">
        <f t="shared" si="316"/>
        <v>Valid</v>
      </c>
      <c r="AJ1557" t="str">
        <f t="shared" si="317"/>
        <v>Valid</v>
      </c>
      <c r="AK1557" t="str">
        <f t="shared" si="324"/>
        <v xml:space="preserve">Valid </v>
      </c>
      <c r="AL1557" t="str">
        <f>IF(AND(Audit_Data[[#This Row],[Recency]]&gt;=0,Audit_Data[[#This Row],[Recency]]&lt;=100),"Valid","Invalid")</f>
        <v>Valid</v>
      </c>
      <c r="AM1557" t="str">
        <f t="shared" si="318"/>
        <v>Valid</v>
      </c>
      <c r="AN1557" t="str">
        <f t="shared" si="319"/>
        <v>Valid</v>
      </c>
      <c r="AO1557" t="str">
        <f t="shared" si="320"/>
        <v>Valid</v>
      </c>
      <c r="AP1557" t="str">
        <f t="shared" si="321"/>
        <v>Valid</v>
      </c>
      <c r="AQ1557" t="str">
        <f>IF(Audit_Data[[#This Row],[Z_CostContact]]=3,"Valid","Invalid")</f>
        <v>Valid</v>
      </c>
      <c r="AR1557" t="str">
        <f t="shared" si="322"/>
        <v>Valid</v>
      </c>
      <c r="AS1557" t="str">
        <f t="shared" si="323"/>
        <v>Valid</v>
      </c>
    </row>
    <row r="1558" spans="1:45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 t="str">
        <f t="shared" si="312"/>
        <v>Ok</v>
      </c>
      <c r="AE1558" t="str">
        <f>IF(AND(Audit_Data[[#This Row],[Year_Birth]]&gt;=1900,Audit_Data[[#This Row],[Year_Birth]]&lt;=2010),"OK","Invalid")</f>
        <v>OK</v>
      </c>
      <c r="AF1558" t="str">
        <f t="shared" si="313"/>
        <v>Valid</v>
      </c>
      <c r="AG1558" t="str">
        <f t="shared" si="314"/>
        <v>Valid</v>
      </c>
      <c r="AH1558" t="str">
        <f t="shared" si="315"/>
        <v>Valid</v>
      </c>
      <c r="AI1558" t="str">
        <f t="shared" si="316"/>
        <v>Valid</v>
      </c>
      <c r="AJ1558" t="str">
        <f t="shared" si="317"/>
        <v>Valid</v>
      </c>
      <c r="AK1558" t="str">
        <f t="shared" si="324"/>
        <v xml:space="preserve">Valid </v>
      </c>
      <c r="AL1558" t="str">
        <f>IF(AND(Audit_Data[[#This Row],[Recency]]&gt;=0,Audit_Data[[#This Row],[Recency]]&lt;=100),"Valid","Invalid")</f>
        <v>Valid</v>
      </c>
      <c r="AM1558" t="str">
        <f t="shared" si="318"/>
        <v>Valid</v>
      </c>
      <c r="AN1558" t="str">
        <f t="shared" si="319"/>
        <v>Valid</v>
      </c>
      <c r="AO1558" t="str">
        <f t="shared" si="320"/>
        <v>Valid</v>
      </c>
      <c r="AP1558" t="str">
        <f t="shared" si="321"/>
        <v>Valid</v>
      </c>
      <c r="AQ1558" t="str">
        <f>IF(Audit_Data[[#This Row],[Z_CostContact]]=3,"Valid","Invalid")</f>
        <v>Valid</v>
      </c>
      <c r="AR1558" t="str">
        <f t="shared" si="322"/>
        <v>Valid</v>
      </c>
      <c r="AS1558" t="str">
        <f t="shared" si="323"/>
        <v>Valid</v>
      </c>
    </row>
    <row r="1559" spans="1:45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 t="str">
        <f t="shared" si="312"/>
        <v>Ok</v>
      </c>
      <c r="AE1559" t="str">
        <f>IF(AND(Audit_Data[[#This Row],[Year_Birth]]&gt;=1900,Audit_Data[[#This Row],[Year_Birth]]&lt;=2010),"OK","Invalid")</f>
        <v>OK</v>
      </c>
      <c r="AF1559" t="str">
        <f t="shared" si="313"/>
        <v>Valid</v>
      </c>
      <c r="AG1559" t="str">
        <f t="shared" si="314"/>
        <v>Valid</v>
      </c>
      <c r="AH1559" t="str">
        <f t="shared" si="315"/>
        <v>Valid</v>
      </c>
      <c r="AI1559" t="str">
        <f t="shared" si="316"/>
        <v>Valid</v>
      </c>
      <c r="AJ1559" t="str">
        <f t="shared" si="317"/>
        <v>Valid</v>
      </c>
      <c r="AK1559" t="str">
        <f t="shared" si="324"/>
        <v xml:space="preserve">Valid </v>
      </c>
      <c r="AL1559" t="str">
        <f>IF(AND(Audit_Data[[#This Row],[Recency]]&gt;=0,Audit_Data[[#This Row],[Recency]]&lt;=100),"Valid","Invalid")</f>
        <v>Valid</v>
      </c>
      <c r="AM1559" t="str">
        <f t="shared" si="318"/>
        <v>Valid</v>
      </c>
      <c r="AN1559" t="str">
        <f t="shared" si="319"/>
        <v>Valid</v>
      </c>
      <c r="AO1559" t="str">
        <f t="shared" si="320"/>
        <v>Valid</v>
      </c>
      <c r="AP1559" t="str">
        <f t="shared" si="321"/>
        <v>Valid</v>
      </c>
      <c r="AQ1559" t="str">
        <f>IF(Audit_Data[[#This Row],[Z_CostContact]]=3,"Valid","Invalid")</f>
        <v>Valid</v>
      </c>
      <c r="AR1559" t="str">
        <f t="shared" si="322"/>
        <v>Valid</v>
      </c>
      <c r="AS1559" t="str">
        <f t="shared" si="323"/>
        <v>Valid</v>
      </c>
    </row>
    <row r="1560" spans="1:45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 t="str">
        <f t="shared" si="312"/>
        <v>Ok</v>
      </c>
      <c r="AE1560" t="str">
        <f>IF(AND(Audit_Data[[#This Row],[Year_Birth]]&gt;=1900,Audit_Data[[#This Row],[Year_Birth]]&lt;=2010),"OK","Invalid")</f>
        <v>OK</v>
      </c>
      <c r="AF1560" t="str">
        <f t="shared" si="313"/>
        <v>Valid</v>
      </c>
      <c r="AG1560" t="str">
        <f t="shared" si="314"/>
        <v>Valid</v>
      </c>
      <c r="AH1560" t="str">
        <f t="shared" si="315"/>
        <v>Valid</v>
      </c>
      <c r="AI1560" t="str">
        <f t="shared" si="316"/>
        <v>Valid</v>
      </c>
      <c r="AJ1560" t="str">
        <f t="shared" si="317"/>
        <v>Valid</v>
      </c>
      <c r="AK1560" t="str">
        <f t="shared" si="324"/>
        <v xml:space="preserve">Valid </v>
      </c>
      <c r="AL1560" t="str">
        <f>IF(AND(Audit_Data[[#This Row],[Recency]]&gt;=0,Audit_Data[[#This Row],[Recency]]&lt;=100),"Valid","Invalid")</f>
        <v>Valid</v>
      </c>
      <c r="AM1560" t="str">
        <f t="shared" si="318"/>
        <v>Valid</v>
      </c>
      <c r="AN1560" t="str">
        <f t="shared" si="319"/>
        <v>Valid</v>
      </c>
      <c r="AO1560" t="str">
        <f t="shared" si="320"/>
        <v>Valid</v>
      </c>
      <c r="AP1560" t="str">
        <f t="shared" si="321"/>
        <v>Valid</v>
      </c>
      <c r="AQ1560" t="str">
        <f>IF(Audit_Data[[#This Row],[Z_CostContact]]=3,"Valid","Invalid")</f>
        <v>Valid</v>
      </c>
      <c r="AR1560" t="str">
        <f t="shared" si="322"/>
        <v>Valid</v>
      </c>
      <c r="AS1560" t="str">
        <f t="shared" si="323"/>
        <v>Valid</v>
      </c>
    </row>
    <row r="1561" spans="1:45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 t="str">
        <f t="shared" si="312"/>
        <v>Ok</v>
      </c>
      <c r="AE1561" t="str">
        <f>IF(AND(Audit_Data[[#This Row],[Year_Birth]]&gt;=1900,Audit_Data[[#This Row],[Year_Birth]]&lt;=2010),"OK","Invalid")</f>
        <v>OK</v>
      </c>
      <c r="AF1561" t="str">
        <f t="shared" si="313"/>
        <v>Valid</v>
      </c>
      <c r="AG1561" t="str">
        <f t="shared" si="314"/>
        <v>Valid</v>
      </c>
      <c r="AH1561" t="str">
        <f t="shared" si="315"/>
        <v>Valid</v>
      </c>
      <c r="AI1561" t="str">
        <f t="shared" si="316"/>
        <v>Valid</v>
      </c>
      <c r="AJ1561" t="str">
        <f t="shared" si="317"/>
        <v>Valid</v>
      </c>
      <c r="AK1561" t="str">
        <f t="shared" si="324"/>
        <v xml:space="preserve">Valid </v>
      </c>
      <c r="AL1561" t="str">
        <f>IF(AND(Audit_Data[[#This Row],[Recency]]&gt;=0,Audit_Data[[#This Row],[Recency]]&lt;=100),"Valid","Invalid")</f>
        <v>Valid</v>
      </c>
      <c r="AM1561" t="str">
        <f t="shared" si="318"/>
        <v>Valid</v>
      </c>
      <c r="AN1561" t="str">
        <f t="shared" si="319"/>
        <v>Valid</v>
      </c>
      <c r="AO1561" t="str">
        <f t="shared" si="320"/>
        <v>Valid</v>
      </c>
      <c r="AP1561" t="str">
        <f t="shared" si="321"/>
        <v>Valid</v>
      </c>
      <c r="AQ1561" t="str">
        <f>IF(Audit_Data[[#This Row],[Z_CostContact]]=3,"Valid","Invalid")</f>
        <v>Valid</v>
      </c>
      <c r="AR1561" t="str">
        <f t="shared" si="322"/>
        <v>Valid</v>
      </c>
      <c r="AS1561" t="str">
        <f t="shared" si="323"/>
        <v>Valid</v>
      </c>
    </row>
    <row r="1562" spans="1:45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 t="str">
        <f t="shared" si="312"/>
        <v>Ok</v>
      </c>
      <c r="AE1562" t="str">
        <f>IF(AND(Audit_Data[[#This Row],[Year_Birth]]&gt;=1900,Audit_Data[[#This Row],[Year_Birth]]&lt;=2010),"OK","Invalid")</f>
        <v>OK</v>
      </c>
      <c r="AF1562" t="str">
        <f t="shared" si="313"/>
        <v>Valid</v>
      </c>
      <c r="AG1562" t="str">
        <f t="shared" si="314"/>
        <v>Valid</v>
      </c>
      <c r="AH1562" t="str">
        <f t="shared" si="315"/>
        <v>Valid</v>
      </c>
      <c r="AI1562" t="str">
        <f t="shared" si="316"/>
        <v>Valid</v>
      </c>
      <c r="AJ1562" t="str">
        <f t="shared" si="317"/>
        <v>Valid</v>
      </c>
      <c r="AK1562" t="str">
        <f t="shared" si="324"/>
        <v xml:space="preserve">Valid </v>
      </c>
      <c r="AL1562" t="str">
        <f>IF(AND(Audit_Data[[#This Row],[Recency]]&gt;=0,Audit_Data[[#This Row],[Recency]]&lt;=100),"Valid","Invalid")</f>
        <v>Valid</v>
      </c>
      <c r="AM1562" t="str">
        <f t="shared" si="318"/>
        <v>Valid</v>
      </c>
      <c r="AN1562" t="str">
        <f t="shared" si="319"/>
        <v>Valid</v>
      </c>
      <c r="AO1562" t="str">
        <f t="shared" si="320"/>
        <v>Valid</v>
      </c>
      <c r="AP1562" t="str">
        <f t="shared" si="321"/>
        <v>Valid</v>
      </c>
      <c r="AQ1562" t="str">
        <f>IF(Audit_Data[[#This Row],[Z_CostContact]]=3,"Valid","Invalid")</f>
        <v>Valid</v>
      </c>
      <c r="AR1562" t="str">
        <f t="shared" si="322"/>
        <v>Valid</v>
      </c>
      <c r="AS1562" t="str">
        <f t="shared" si="323"/>
        <v>Valid</v>
      </c>
    </row>
    <row r="1563" spans="1:45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 t="str">
        <f t="shared" si="312"/>
        <v>Ok</v>
      </c>
      <c r="AE1563" t="str">
        <f>IF(AND(Audit_Data[[#This Row],[Year_Birth]]&gt;=1900,Audit_Data[[#This Row],[Year_Birth]]&lt;=2010),"OK","Invalid")</f>
        <v>OK</v>
      </c>
      <c r="AF1563" t="str">
        <f t="shared" si="313"/>
        <v>Valid</v>
      </c>
      <c r="AG1563" t="str">
        <f t="shared" si="314"/>
        <v>Valid</v>
      </c>
      <c r="AH1563" t="str">
        <f t="shared" si="315"/>
        <v>Valid</v>
      </c>
      <c r="AI1563" t="str">
        <f t="shared" si="316"/>
        <v>Valid</v>
      </c>
      <c r="AJ1563" t="str">
        <f t="shared" si="317"/>
        <v>Valid</v>
      </c>
      <c r="AK1563" t="str">
        <f t="shared" si="324"/>
        <v xml:space="preserve">Valid </v>
      </c>
      <c r="AL1563" t="str">
        <f>IF(AND(Audit_Data[[#This Row],[Recency]]&gt;=0,Audit_Data[[#This Row],[Recency]]&lt;=100),"Valid","Invalid")</f>
        <v>Valid</v>
      </c>
      <c r="AM1563" t="str">
        <f t="shared" si="318"/>
        <v>Valid</v>
      </c>
      <c r="AN1563" t="str">
        <f t="shared" si="319"/>
        <v>Valid</v>
      </c>
      <c r="AO1563" t="str">
        <f t="shared" si="320"/>
        <v>Valid</v>
      </c>
      <c r="AP1563" t="str">
        <f t="shared" si="321"/>
        <v>Valid</v>
      </c>
      <c r="AQ1563" t="str">
        <f>IF(Audit_Data[[#This Row],[Z_CostContact]]=3,"Valid","Invalid")</f>
        <v>Valid</v>
      </c>
      <c r="AR1563" t="str">
        <f t="shared" si="322"/>
        <v>Valid</v>
      </c>
      <c r="AS1563" t="str">
        <f t="shared" si="323"/>
        <v>Valid</v>
      </c>
    </row>
    <row r="1564" spans="1:45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 t="str">
        <f t="shared" si="312"/>
        <v>Ok</v>
      </c>
      <c r="AE1564" t="str">
        <f>IF(AND(Audit_Data[[#This Row],[Year_Birth]]&gt;=1900,Audit_Data[[#This Row],[Year_Birth]]&lt;=2010),"OK","Invalid")</f>
        <v>OK</v>
      </c>
      <c r="AF1564" t="str">
        <f t="shared" si="313"/>
        <v>Valid</v>
      </c>
      <c r="AG1564" t="str">
        <f t="shared" si="314"/>
        <v>Valid</v>
      </c>
      <c r="AH1564" t="str">
        <f t="shared" si="315"/>
        <v>Valid</v>
      </c>
      <c r="AI1564" t="str">
        <f t="shared" si="316"/>
        <v>Valid</v>
      </c>
      <c r="AJ1564" t="str">
        <f t="shared" si="317"/>
        <v>Valid</v>
      </c>
      <c r="AK1564" t="str">
        <f t="shared" si="324"/>
        <v xml:space="preserve">Valid </v>
      </c>
      <c r="AL1564" t="str">
        <f>IF(AND(Audit_Data[[#This Row],[Recency]]&gt;=0,Audit_Data[[#This Row],[Recency]]&lt;=100),"Valid","Invalid")</f>
        <v>Valid</v>
      </c>
      <c r="AM1564" t="str">
        <f t="shared" si="318"/>
        <v>Valid</v>
      </c>
      <c r="AN1564" t="str">
        <f t="shared" si="319"/>
        <v>Valid</v>
      </c>
      <c r="AO1564" t="str">
        <f t="shared" si="320"/>
        <v>Valid</v>
      </c>
      <c r="AP1564" t="str">
        <f t="shared" si="321"/>
        <v>Valid</v>
      </c>
      <c r="AQ1564" t="str">
        <f>IF(Audit_Data[[#This Row],[Z_CostContact]]=3,"Valid","Invalid")</f>
        <v>Valid</v>
      </c>
      <c r="AR1564" t="str">
        <f t="shared" si="322"/>
        <v>Valid</v>
      </c>
      <c r="AS1564" t="str">
        <f t="shared" si="323"/>
        <v>Valid</v>
      </c>
    </row>
    <row r="1565" spans="1:45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 t="str">
        <f t="shared" si="312"/>
        <v>Ok</v>
      </c>
      <c r="AE1565" t="str">
        <f>IF(AND(Audit_Data[[#This Row],[Year_Birth]]&gt;=1900,Audit_Data[[#This Row],[Year_Birth]]&lt;=2010),"OK","Invalid")</f>
        <v>OK</v>
      </c>
      <c r="AF1565" t="str">
        <f t="shared" si="313"/>
        <v>Valid</v>
      </c>
      <c r="AG1565" t="str">
        <f t="shared" si="314"/>
        <v>Valid</v>
      </c>
      <c r="AH1565" t="str">
        <f t="shared" si="315"/>
        <v>Valid</v>
      </c>
      <c r="AI1565" t="str">
        <f t="shared" si="316"/>
        <v>Valid</v>
      </c>
      <c r="AJ1565" t="str">
        <f t="shared" si="317"/>
        <v>Valid</v>
      </c>
      <c r="AK1565" t="str">
        <f t="shared" si="324"/>
        <v xml:space="preserve">Valid </v>
      </c>
      <c r="AL1565" t="str">
        <f>IF(AND(Audit_Data[[#This Row],[Recency]]&gt;=0,Audit_Data[[#This Row],[Recency]]&lt;=100),"Valid","Invalid")</f>
        <v>Valid</v>
      </c>
      <c r="AM1565" t="str">
        <f t="shared" si="318"/>
        <v>Valid</v>
      </c>
      <c r="AN1565" t="str">
        <f t="shared" si="319"/>
        <v>Valid</v>
      </c>
      <c r="AO1565" t="str">
        <f t="shared" si="320"/>
        <v>Valid</v>
      </c>
      <c r="AP1565" t="str">
        <f t="shared" si="321"/>
        <v>Valid</v>
      </c>
      <c r="AQ1565" t="str">
        <f>IF(Audit_Data[[#This Row],[Z_CostContact]]=3,"Valid","Invalid")</f>
        <v>Valid</v>
      </c>
      <c r="AR1565" t="str">
        <f t="shared" si="322"/>
        <v>Valid</v>
      </c>
      <c r="AS1565" t="str">
        <f t="shared" si="323"/>
        <v>Valid</v>
      </c>
    </row>
    <row r="1566" spans="1:45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 t="str">
        <f t="shared" si="312"/>
        <v>Ok</v>
      </c>
      <c r="AE1566" t="str">
        <f>IF(AND(Audit_Data[[#This Row],[Year_Birth]]&gt;=1900,Audit_Data[[#This Row],[Year_Birth]]&lt;=2010),"OK","Invalid")</f>
        <v>OK</v>
      </c>
      <c r="AF1566" t="str">
        <f t="shared" si="313"/>
        <v>Valid</v>
      </c>
      <c r="AG1566" t="str">
        <f t="shared" si="314"/>
        <v>Valid</v>
      </c>
      <c r="AH1566" t="str">
        <f t="shared" si="315"/>
        <v>Valid</v>
      </c>
      <c r="AI1566" t="str">
        <f t="shared" si="316"/>
        <v>Valid</v>
      </c>
      <c r="AJ1566" t="str">
        <f t="shared" si="317"/>
        <v>Valid</v>
      </c>
      <c r="AK1566" t="str">
        <f t="shared" si="324"/>
        <v xml:space="preserve">Valid </v>
      </c>
      <c r="AL1566" t="str">
        <f>IF(AND(Audit_Data[[#This Row],[Recency]]&gt;=0,Audit_Data[[#This Row],[Recency]]&lt;=100),"Valid","Invalid")</f>
        <v>Valid</v>
      </c>
      <c r="AM1566" t="str">
        <f t="shared" si="318"/>
        <v>Valid</v>
      </c>
      <c r="AN1566" t="str">
        <f t="shared" si="319"/>
        <v>Valid</v>
      </c>
      <c r="AO1566" t="str">
        <f t="shared" si="320"/>
        <v>Valid</v>
      </c>
      <c r="AP1566" t="str">
        <f t="shared" si="321"/>
        <v>Valid</v>
      </c>
      <c r="AQ1566" t="str">
        <f>IF(Audit_Data[[#This Row],[Z_CostContact]]=3,"Valid","Invalid")</f>
        <v>Valid</v>
      </c>
      <c r="AR1566" t="str">
        <f t="shared" si="322"/>
        <v>Valid</v>
      </c>
      <c r="AS1566" t="str">
        <f t="shared" si="323"/>
        <v>Valid</v>
      </c>
    </row>
    <row r="1567" spans="1:45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 t="str">
        <f t="shared" si="312"/>
        <v>Ok</v>
      </c>
      <c r="AE1567" t="str">
        <f>IF(AND(Audit_Data[[#This Row],[Year_Birth]]&gt;=1900,Audit_Data[[#This Row],[Year_Birth]]&lt;=2010),"OK","Invalid")</f>
        <v>OK</v>
      </c>
      <c r="AF1567" t="str">
        <f t="shared" si="313"/>
        <v>Valid</v>
      </c>
      <c r="AG1567" t="str">
        <f t="shared" si="314"/>
        <v>Valid</v>
      </c>
      <c r="AH1567" t="str">
        <f t="shared" si="315"/>
        <v>Valid</v>
      </c>
      <c r="AI1567" t="str">
        <f t="shared" si="316"/>
        <v>Valid</v>
      </c>
      <c r="AJ1567" t="str">
        <f t="shared" si="317"/>
        <v>Valid</v>
      </c>
      <c r="AK1567" t="str">
        <f t="shared" si="324"/>
        <v xml:space="preserve">Valid </v>
      </c>
      <c r="AL1567" t="str">
        <f>IF(AND(Audit_Data[[#This Row],[Recency]]&gt;=0,Audit_Data[[#This Row],[Recency]]&lt;=100),"Valid","Invalid")</f>
        <v>Valid</v>
      </c>
      <c r="AM1567" t="str">
        <f t="shared" si="318"/>
        <v>Valid</v>
      </c>
      <c r="AN1567" t="str">
        <f t="shared" si="319"/>
        <v>Valid</v>
      </c>
      <c r="AO1567" t="str">
        <f t="shared" si="320"/>
        <v>Valid</v>
      </c>
      <c r="AP1567" t="str">
        <f t="shared" si="321"/>
        <v>Valid</v>
      </c>
      <c r="AQ1567" t="str">
        <f>IF(Audit_Data[[#This Row],[Z_CostContact]]=3,"Valid","Invalid")</f>
        <v>Valid</v>
      </c>
      <c r="AR1567" t="str">
        <f t="shared" si="322"/>
        <v>Valid</v>
      </c>
      <c r="AS1567" t="str">
        <f t="shared" si="323"/>
        <v>Valid</v>
      </c>
    </row>
    <row r="1568" spans="1:45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 t="str">
        <f t="shared" si="312"/>
        <v>Ok</v>
      </c>
      <c r="AE1568" t="str">
        <f>IF(AND(Audit_Data[[#This Row],[Year_Birth]]&gt;=1900,Audit_Data[[#This Row],[Year_Birth]]&lt;=2010),"OK","Invalid")</f>
        <v>OK</v>
      </c>
      <c r="AF1568" t="str">
        <f t="shared" si="313"/>
        <v>Valid</v>
      </c>
      <c r="AG1568" t="str">
        <f t="shared" si="314"/>
        <v>Valid</v>
      </c>
      <c r="AH1568" t="str">
        <f t="shared" si="315"/>
        <v>Valid</v>
      </c>
      <c r="AI1568" t="str">
        <f t="shared" si="316"/>
        <v>Valid</v>
      </c>
      <c r="AJ1568" t="str">
        <f t="shared" si="317"/>
        <v>Valid</v>
      </c>
      <c r="AK1568" t="str">
        <f t="shared" si="324"/>
        <v xml:space="preserve">Valid </v>
      </c>
      <c r="AL1568" t="str">
        <f>IF(AND(Audit_Data[[#This Row],[Recency]]&gt;=0,Audit_Data[[#This Row],[Recency]]&lt;=100),"Valid","Invalid")</f>
        <v>Valid</v>
      </c>
      <c r="AM1568" t="str">
        <f t="shared" si="318"/>
        <v>Valid</v>
      </c>
      <c r="AN1568" t="str">
        <f t="shared" si="319"/>
        <v>Valid</v>
      </c>
      <c r="AO1568" t="str">
        <f t="shared" si="320"/>
        <v>Valid</v>
      </c>
      <c r="AP1568" t="str">
        <f t="shared" si="321"/>
        <v>Valid</v>
      </c>
      <c r="AQ1568" t="str">
        <f>IF(Audit_Data[[#This Row],[Z_CostContact]]=3,"Valid","Invalid")</f>
        <v>Valid</v>
      </c>
      <c r="AR1568" t="str">
        <f t="shared" si="322"/>
        <v>Valid</v>
      </c>
      <c r="AS1568" t="str">
        <f t="shared" si="323"/>
        <v>Valid</v>
      </c>
    </row>
    <row r="1569" spans="1:45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 t="str">
        <f t="shared" si="312"/>
        <v>Ok</v>
      </c>
      <c r="AE1569" t="str">
        <f>IF(AND(Audit_Data[[#This Row],[Year_Birth]]&gt;=1900,Audit_Data[[#This Row],[Year_Birth]]&lt;=2010),"OK","Invalid")</f>
        <v>OK</v>
      </c>
      <c r="AF1569" t="str">
        <f t="shared" si="313"/>
        <v>Valid</v>
      </c>
      <c r="AG1569" t="str">
        <f t="shared" si="314"/>
        <v>Valid</v>
      </c>
      <c r="AH1569" t="str">
        <f t="shared" si="315"/>
        <v>Valid</v>
      </c>
      <c r="AI1569" t="str">
        <f t="shared" si="316"/>
        <v>Valid</v>
      </c>
      <c r="AJ1569" t="str">
        <f t="shared" si="317"/>
        <v>Valid</v>
      </c>
      <c r="AK1569" t="str">
        <f t="shared" si="324"/>
        <v xml:space="preserve">Valid </v>
      </c>
      <c r="AL1569" t="str">
        <f>IF(AND(Audit_Data[[#This Row],[Recency]]&gt;=0,Audit_Data[[#This Row],[Recency]]&lt;=100),"Valid","Invalid")</f>
        <v>Valid</v>
      </c>
      <c r="AM1569" t="str">
        <f t="shared" si="318"/>
        <v>Valid</v>
      </c>
      <c r="AN1569" t="str">
        <f t="shared" si="319"/>
        <v>Valid</v>
      </c>
      <c r="AO1569" t="str">
        <f t="shared" si="320"/>
        <v>Valid</v>
      </c>
      <c r="AP1569" t="str">
        <f t="shared" si="321"/>
        <v>Valid</v>
      </c>
      <c r="AQ1569" t="str">
        <f>IF(Audit_Data[[#This Row],[Z_CostContact]]=3,"Valid","Invalid")</f>
        <v>Valid</v>
      </c>
      <c r="AR1569" t="str">
        <f t="shared" si="322"/>
        <v>Valid</v>
      </c>
      <c r="AS1569" t="str">
        <f t="shared" si="323"/>
        <v>Valid</v>
      </c>
    </row>
    <row r="1570" spans="1:45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 t="str">
        <f t="shared" si="312"/>
        <v>Ok</v>
      </c>
      <c r="AE1570" t="str">
        <f>IF(AND(Audit_Data[[#This Row],[Year_Birth]]&gt;=1900,Audit_Data[[#This Row],[Year_Birth]]&lt;=2010),"OK","Invalid")</f>
        <v>OK</v>
      </c>
      <c r="AF1570" t="str">
        <f t="shared" si="313"/>
        <v>Valid</v>
      </c>
      <c r="AG1570" t="str">
        <f t="shared" si="314"/>
        <v>Valid</v>
      </c>
      <c r="AH1570" t="str">
        <f t="shared" si="315"/>
        <v>Valid</v>
      </c>
      <c r="AI1570" t="str">
        <f t="shared" si="316"/>
        <v>Valid</v>
      </c>
      <c r="AJ1570" t="str">
        <f t="shared" si="317"/>
        <v>Valid</v>
      </c>
      <c r="AK1570" t="str">
        <f t="shared" si="324"/>
        <v xml:space="preserve">Valid </v>
      </c>
      <c r="AL1570" t="str">
        <f>IF(AND(Audit_Data[[#This Row],[Recency]]&gt;=0,Audit_Data[[#This Row],[Recency]]&lt;=100),"Valid","Invalid")</f>
        <v>Valid</v>
      </c>
      <c r="AM1570" t="str">
        <f t="shared" si="318"/>
        <v>Valid</v>
      </c>
      <c r="AN1570" t="str">
        <f t="shared" si="319"/>
        <v>Valid</v>
      </c>
      <c r="AO1570" t="str">
        <f t="shared" si="320"/>
        <v>Valid</v>
      </c>
      <c r="AP1570" t="str">
        <f t="shared" si="321"/>
        <v>Valid</v>
      </c>
      <c r="AQ1570" t="str">
        <f>IF(Audit_Data[[#This Row],[Z_CostContact]]=3,"Valid","Invalid")</f>
        <v>Valid</v>
      </c>
      <c r="AR1570" t="str">
        <f t="shared" si="322"/>
        <v>Valid</v>
      </c>
      <c r="AS1570" t="str">
        <f t="shared" si="323"/>
        <v>Valid</v>
      </c>
    </row>
    <row r="1571" spans="1:45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 t="str">
        <f t="shared" si="312"/>
        <v>Ok</v>
      </c>
      <c r="AE1571" t="str">
        <f>IF(AND(Audit_Data[[#This Row],[Year_Birth]]&gt;=1900,Audit_Data[[#This Row],[Year_Birth]]&lt;=2010),"OK","Invalid")</f>
        <v>OK</v>
      </c>
      <c r="AF1571" t="str">
        <f t="shared" si="313"/>
        <v>Valid</v>
      </c>
      <c r="AG1571" t="str">
        <f t="shared" si="314"/>
        <v>Valid</v>
      </c>
      <c r="AH1571" t="str">
        <f t="shared" si="315"/>
        <v>Valid</v>
      </c>
      <c r="AI1571" t="str">
        <f t="shared" si="316"/>
        <v>Valid</v>
      </c>
      <c r="AJ1571" t="str">
        <f t="shared" si="317"/>
        <v>Valid</v>
      </c>
      <c r="AK1571" t="str">
        <f t="shared" si="324"/>
        <v xml:space="preserve">Valid </v>
      </c>
      <c r="AL1571" t="str">
        <f>IF(AND(Audit_Data[[#This Row],[Recency]]&gt;=0,Audit_Data[[#This Row],[Recency]]&lt;=100),"Valid","Invalid")</f>
        <v>Valid</v>
      </c>
      <c r="AM1571" t="str">
        <f t="shared" si="318"/>
        <v>Valid</v>
      </c>
      <c r="AN1571" t="str">
        <f t="shared" si="319"/>
        <v>Valid</v>
      </c>
      <c r="AO1571" t="str">
        <f t="shared" si="320"/>
        <v>Valid</v>
      </c>
      <c r="AP1571" t="str">
        <f t="shared" si="321"/>
        <v>Valid</v>
      </c>
      <c r="AQ1571" t="str">
        <f>IF(Audit_Data[[#This Row],[Z_CostContact]]=3,"Valid","Invalid")</f>
        <v>Valid</v>
      </c>
      <c r="AR1571" t="str">
        <f t="shared" si="322"/>
        <v>Valid</v>
      </c>
      <c r="AS1571" t="str">
        <f t="shared" si="323"/>
        <v>Valid</v>
      </c>
    </row>
    <row r="1572" spans="1:45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 t="str">
        <f t="shared" si="312"/>
        <v>Ok</v>
      </c>
      <c r="AE1572" t="str">
        <f>IF(AND(Audit_Data[[#This Row],[Year_Birth]]&gt;=1900,Audit_Data[[#This Row],[Year_Birth]]&lt;=2010),"OK","Invalid")</f>
        <v>OK</v>
      </c>
      <c r="AF1572" t="str">
        <f t="shared" si="313"/>
        <v>Valid</v>
      </c>
      <c r="AG1572" t="str">
        <f t="shared" si="314"/>
        <v>Valid</v>
      </c>
      <c r="AH1572" t="str">
        <f t="shared" si="315"/>
        <v>Valid</v>
      </c>
      <c r="AI1572" t="str">
        <f t="shared" si="316"/>
        <v>Valid</v>
      </c>
      <c r="AJ1572" t="str">
        <f t="shared" si="317"/>
        <v>Valid</v>
      </c>
      <c r="AK1572" t="str">
        <f t="shared" si="324"/>
        <v xml:space="preserve">Valid </v>
      </c>
      <c r="AL1572" t="str">
        <f>IF(AND(Audit_Data[[#This Row],[Recency]]&gt;=0,Audit_Data[[#This Row],[Recency]]&lt;=100),"Valid","Invalid")</f>
        <v>Valid</v>
      </c>
      <c r="AM1572" t="str">
        <f t="shared" si="318"/>
        <v>Valid</v>
      </c>
      <c r="AN1572" t="str">
        <f t="shared" si="319"/>
        <v>Valid</v>
      </c>
      <c r="AO1572" t="str">
        <f t="shared" si="320"/>
        <v>Valid</v>
      </c>
      <c r="AP1572" t="str">
        <f t="shared" si="321"/>
        <v>Valid</v>
      </c>
      <c r="AQ1572" t="str">
        <f>IF(Audit_Data[[#This Row],[Z_CostContact]]=3,"Valid","Invalid")</f>
        <v>Valid</v>
      </c>
      <c r="AR1572" t="str">
        <f t="shared" si="322"/>
        <v>Valid</v>
      </c>
      <c r="AS1572" t="str">
        <f t="shared" si="323"/>
        <v>Valid</v>
      </c>
    </row>
    <row r="1573" spans="1:45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 t="str">
        <f t="shared" si="312"/>
        <v>Ok</v>
      </c>
      <c r="AE1573" t="str">
        <f>IF(AND(Audit_Data[[#This Row],[Year_Birth]]&gt;=1900,Audit_Data[[#This Row],[Year_Birth]]&lt;=2010),"OK","Invalid")</f>
        <v>OK</v>
      </c>
      <c r="AF1573" t="str">
        <f t="shared" si="313"/>
        <v>Valid</v>
      </c>
      <c r="AG1573" t="str">
        <f t="shared" si="314"/>
        <v>Valid</v>
      </c>
      <c r="AH1573" t="str">
        <f t="shared" si="315"/>
        <v>Valid</v>
      </c>
      <c r="AI1573" t="str">
        <f t="shared" si="316"/>
        <v>Valid</v>
      </c>
      <c r="AJ1573" t="str">
        <f t="shared" si="317"/>
        <v>Valid</v>
      </c>
      <c r="AK1573" t="str">
        <f t="shared" si="324"/>
        <v xml:space="preserve">Valid </v>
      </c>
      <c r="AL1573" t="str">
        <f>IF(AND(Audit_Data[[#This Row],[Recency]]&gt;=0,Audit_Data[[#This Row],[Recency]]&lt;=100),"Valid","Invalid")</f>
        <v>Valid</v>
      </c>
      <c r="AM1573" t="str">
        <f t="shared" si="318"/>
        <v>Valid</v>
      </c>
      <c r="AN1573" t="str">
        <f t="shared" si="319"/>
        <v>Valid</v>
      </c>
      <c r="AO1573" t="str">
        <f t="shared" si="320"/>
        <v>Valid</v>
      </c>
      <c r="AP1573" t="str">
        <f t="shared" si="321"/>
        <v>Valid</v>
      </c>
      <c r="AQ1573" t="str">
        <f>IF(Audit_Data[[#This Row],[Z_CostContact]]=3,"Valid","Invalid")</f>
        <v>Valid</v>
      </c>
      <c r="AR1573" t="str">
        <f t="shared" si="322"/>
        <v>Valid</v>
      </c>
      <c r="AS1573" t="str">
        <f t="shared" si="323"/>
        <v>Valid</v>
      </c>
    </row>
    <row r="1574" spans="1:45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 t="str">
        <f t="shared" si="312"/>
        <v>Ok</v>
      </c>
      <c r="AE1574" t="str">
        <f>IF(AND(Audit_Data[[#This Row],[Year_Birth]]&gt;=1900,Audit_Data[[#This Row],[Year_Birth]]&lt;=2010),"OK","Invalid")</f>
        <v>OK</v>
      </c>
      <c r="AF1574" t="str">
        <f t="shared" si="313"/>
        <v>Valid</v>
      </c>
      <c r="AG1574" t="str">
        <f t="shared" si="314"/>
        <v>Valid</v>
      </c>
      <c r="AH1574" t="str">
        <f t="shared" si="315"/>
        <v>Valid</v>
      </c>
      <c r="AI1574" t="str">
        <f t="shared" si="316"/>
        <v>Valid</v>
      </c>
      <c r="AJ1574" t="str">
        <f t="shared" si="317"/>
        <v>Valid</v>
      </c>
      <c r="AK1574" t="str">
        <f t="shared" si="324"/>
        <v xml:space="preserve">Valid </v>
      </c>
      <c r="AL1574" t="str">
        <f>IF(AND(Audit_Data[[#This Row],[Recency]]&gt;=0,Audit_Data[[#This Row],[Recency]]&lt;=100),"Valid","Invalid")</f>
        <v>Valid</v>
      </c>
      <c r="AM1574" t="str">
        <f t="shared" si="318"/>
        <v>Valid</v>
      </c>
      <c r="AN1574" t="str">
        <f t="shared" si="319"/>
        <v>Valid</v>
      </c>
      <c r="AO1574" t="str">
        <f t="shared" si="320"/>
        <v>Valid</v>
      </c>
      <c r="AP1574" t="str">
        <f t="shared" si="321"/>
        <v>Valid</v>
      </c>
      <c r="AQ1574" t="str">
        <f>IF(Audit_Data[[#This Row],[Z_CostContact]]=3,"Valid","Invalid")</f>
        <v>Valid</v>
      </c>
      <c r="AR1574" t="str">
        <f t="shared" si="322"/>
        <v>Valid</v>
      </c>
      <c r="AS1574" t="str">
        <f t="shared" si="323"/>
        <v>Valid</v>
      </c>
    </row>
    <row r="1575" spans="1:45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 t="str">
        <f t="shared" si="312"/>
        <v>Ok</v>
      </c>
      <c r="AE1575" t="str">
        <f>IF(AND(Audit_Data[[#This Row],[Year_Birth]]&gt;=1900,Audit_Data[[#This Row],[Year_Birth]]&lt;=2010),"OK","Invalid")</f>
        <v>OK</v>
      </c>
      <c r="AF1575" t="str">
        <f t="shared" si="313"/>
        <v>Valid</v>
      </c>
      <c r="AG1575" t="str">
        <f t="shared" si="314"/>
        <v>Valid</v>
      </c>
      <c r="AH1575" t="str">
        <f t="shared" si="315"/>
        <v>Valid</v>
      </c>
      <c r="AI1575" t="str">
        <f t="shared" si="316"/>
        <v>Valid</v>
      </c>
      <c r="AJ1575" t="str">
        <f t="shared" si="317"/>
        <v>Valid</v>
      </c>
      <c r="AK1575" t="str">
        <f t="shared" si="324"/>
        <v xml:space="preserve">Valid </v>
      </c>
      <c r="AL1575" t="str">
        <f>IF(AND(Audit_Data[[#This Row],[Recency]]&gt;=0,Audit_Data[[#This Row],[Recency]]&lt;=100),"Valid","Invalid")</f>
        <v>Valid</v>
      </c>
      <c r="AM1575" t="str">
        <f t="shared" si="318"/>
        <v>Valid</v>
      </c>
      <c r="AN1575" t="str">
        <f t="shared" si="319"/>
        <v>Valid</v>
      </c>
      <c r="AO1575" t="str">
        <f t="shared" si="320"/>
        <v>Valid</v>
      </c>
      <c r="AP1575" t="str">
        <f t="shared" si="321"/>
        <v>Valid</v>
      </c>
      <c r="AQ1575" t="str">
        <f>IF(Audit_Data[[#This Row],[Z_CostContact]]=3,"Valid","Invalid")</f>
        <v>Valid</v>
      </c>
      <c r="AR1575" t="str">
        <f t="shared" si="322"/>
        <v>Valid</v>
      </c>
      <c r="AS1575" t="str">
        <f t="shared" si="323"/>
        <v>Valid</v>
      </c>
    </row>
    <row r="1576" spans="1:45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 t="str">
        <f t="shared" si="312"/>
        <v>Ok</v>
      </c>
      <c r="AE1576" t="str">
        <f>IF(AND(Audit_Data[[#This Row],[Year_Birth]]&gt;=1900,Audit_Data[[#This Row],[Year_Birth]]&lt;=2010),"OK","Invalid")</f>
        <v>OK</v>
      </c>
      <c r="AF1576" t="str">
        <f t="shared" si="313"/>
        <v>Valid</v>
      </c>
      <c r="AG1576" t="str">
        <f t="shared" si="314"/>
        <v>Valid</v>
      </c>
      <c r="AH1576" t="str">
        <f t="shared" si="315"/>
        <v>Valid</v>
      </c>
      <c r="AI1576" t="str">
        <f t="shared" si="316"/>
        <v>Valid</v>
      </c>
      <c r="AJ1576" t="str">
        <f t="shared" si="317"/>
        <v>Valid</v>
      </c>
      <c r="AK1576" t="str">
        <f t="shared" si="324"/>
        <v xml:space="preserve">Valid </v>
      </c>
      <c r="AL1576" t="str">
        <f>IF(AND(Audit_Data[[#This Row],[Recency]]&gt;=0,Audit_Data[[#This Row],[Recency]]&lt;=100),"Valid","Invalid")</f>
        <v>Valid</v>
      </c>
      <c r="AM1576" t="str">
        <f t="shared" si="318"/>
        <v>Valid</v>
      </c>
      <c r="AN1576" t="str">
        <f t="shared" si="319"/>
        <v>Valid</v>
      </c>
      <c r="AO1576" t="str">
        <f t="shared" si="320"/>
        <v>Valid</v>
      </c>
      <c r="AP1576" t="str">
        <f t="shared" si="321"/>
        <v>Valid</v>
      </c>
      <c r="AQ1576" t="str">
        <f>IF(Audit_Data[[#This Row],[Z_CostContact]]=3,"Valid","Invalid")</f>
        <v>Valid</v>
      </c>
      <c r="AR1576" t="str">
        <f t="shared" si="322"/>
        <v>Valid</v>
      </c>
      <c r="AS1576" t="str">
        <f t="shared" si="323"/>
        <v>Valid</v>
      </c>
    </row>
    <row r="1577" spans="1:45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 t="str">
        <f t="shared" si="312"/>
        <v>Ok</v>
      </c>
      <c r="AE1577" t="str">
        <f>IF(AND(Audit_Data[[#This Row],[Year_Birth]]&gt;=1900,Audit_Data[[#This Row],[Year_Birth]]&lt;=2010),"OK","Invalid")</f>
        <v>OK</v>
      </c>
      <c r="AF1577" t="str">
        <f t="shared" si="313"/>
        <v>Valid</v>
      </c>
      <c r="AG1577" t="str">
        <f t="shared" si="314"/>
        <v>Valid</v>
      </c>
      <c r="AH1577" t="str">
        <f t="shared" si="315"/>
        <v>Valid</v>
      </c>
      <c r="AI1577" t="str">
        <f t="shared" si="316"/>
        <v>Valid</v>
      </c>
      <c r="AJ1577" t="str">
        <f t="shared" si="317"/>
        <v>Valid</v>
      </c>
      <c r="AK1577" t="str">
        <f t="shared" si="324"/>
        <v xml:space="preserve">Valid </v>
      </c>
      <c r="AL1577" t="str">
        <f>IF(AND(Audit_Data[[#This Row],[Recency]]&gt;=0,Audit_Data[[#This Row],[Recency]]&lt;=100),"Valid","Invalid")</f>
        <v>Valid</v>
      </c>
      <c r="AM1577" t="str">
        <f t="shared" si="318"/>
        <v>Valid</v>
      </c>
      <c r="AN1577" t="str">
        <f t="shared" si="319"/>
        <v>Valid</v>
      </c>
      <c r="AO1577" t="str">
        <f t="shared" si="320"/>
        <v>Valid</v>
      </c>
      <c r="AP1577" t="str">
        <f t="shared" si="321"/>
        <v>Valid</v>
      </c>
      <c r="AQ1577" t="str">
        <f>IF(Audit_Data[[#This Row],[Z_CostContact]]=3,"Valid","Invalid")</f>
        <v>Valid</v>
      </c>
      <c r="AR1577" t="str">
        <f t="shared" si="322"/>
        <v>Valid</v>
      </c>
      <c r="AS1577" t="str">
        <f t="shared" si="323"/>
        <v>Valid</v>
      </c>
    </row>
    <row r="1578" spans="1:45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 t="str">
        <f t="shared" si="312"/>
        <v>Ok</v>
      </c>
      <c r="AE1578" t="str">
        <f>IF(AND(Audit_Data[[#This Row],[Year_Birth]]&gt;=1900,Audit_Data[[#This Row],[Year_Birth]]&lt;=2010),"OK","Invalid")</f>
        <v>OK</v>
      </c>
      <c r="AF1578" t="str">
        <f t="shared" si="313"/>
        <v>Valid</v>
      </c>
      <c r="AG1578" t="str">
        <f t="shared" si="314"/>
        <v>Valid</v>
      </c>
      <c r="AH1578" t="str">
        <f t="shared" si="315"/>
        <v>Valid</v>
      </c>
      <c r="AI1578" t="str">
        <f t="shared" si="316"/>
        <v>Valid</v>
      </c>
      <c r="AJ1578" t="str">
        <f t="shared" si="317"/>
        <v>Valid</v>
      </c>
      <c r="AK1578" t="str">
        <f t="shared" si="324"/>
        <v xml:space="preserve">Valid </v>
      </c>
      <c r="AL1578" t="str">
        <f>IF(AND(Audit_Data[[#This Row],[Recency]]&gt;=0,Audit_Data[[#This Row],[Recency]]&lt;=100),"Valid","Invalid")</f>
        <v>Valid</v>
      </c>
      <c r="AM1578" t="str">
        <f t="shared" si="318"/>
        <v>Valid</v>
      </c>
      <c r="AN1578" t="str">
        <f t="shared" si="319"/>
        <v>Valid</v>
      </c>
      <c r="AO1578" t="str">
        <f t="shared" si="320"/>
        <v>Valid</v>
      </c>
      <c r="AP1578" t="str">
        <f t="shared" si="321"/>
        <v>Valid</v>
      </c>
      <c r="AQ1578" t="str">
        <f>IF(Audit_Data[[#This Row],[Z_CostContact]]=3,"Valid","Invalid")</f>
        <v>Valid</v>
      </c>
      <c r="AR1578" t="str">
        <f t="shared" si="322"/>
        <v>Valid</v>
      </c>
      <c r="AS1578" t="str">
        <f t="shared" si="323"/>
        <v>Valid</v>
      </c>
    </row>
    <row r="1579" spans="1:45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 t="str">
        <f t="shared" si="312"/>
        <v>Ok</v>
      </c>
      <c r="AE1579" t="str">
        <f>IF(AND(Audit_Data[[#This Row],[Year_Birth]]&gt;=1900,Audit_Data[[#This Row],[Year_Birth]]&lt;=2010),"OK","Invalid")</f>
        <v>OK</v>
      </c>
      <c r="AF1579" t="str">
        <f t="shared" si="313"/>
        <v>Valid</v>
      </c>
      <c r="AG1579" t="str">
        <f t="shared" si="314"/>
        <v>Valid</v>
      </c>
      <c r="AH1579" t="str">
        <f t="shared" si="315"/>
        <v>Valid</v>
      </c>
      <c r="AI1579" t="str">
        <f t="shared" si="316"/>
        <v>Valid</v>
      </c>
      <c r="AJ1579" t="str">
        <f t="shared" si="317"/>
        <v>Valid</v>
      </c>
      <c r="AK1579" t="str">
        <f t="shared" si="324"/>
        <v xml:space="preserve">Valid </v>
      </c>
      <c r="AL1579" t="str">
        <f>IF(AND(Audit_Data[[#This Row],[Recency]]&gt;=0,Audit_Data[[#This Row],[Recency]]&lt;=100),"Valid","Invalid")</f>
        <v>Valid</v>
      </c>
      <c r="AM1579" t="str">
        <f t="shared" si="318"/>
        <v>Valid</v>
      </c>
      <c r="AN1579" t="str">
        <f t="shared" si="319"/>
        <v>Valid</v>
      </c>
      <c r="AO1579" t="str">
        <f t="shared" si="320"/>
        <v>Valid</v>
      </c>
      <c r="AP1579" t="str">
        <f t="shared" si="321"/>
        <v>Valid</v>
      </c>
      <c r="AQ1579" t="str">
        <f>IF(Audit_Data[[#This Row],[Z_CostContact]]=3,"Valid","Invalid")</f>
        <v>Valid</v>
      </c>
      <c r="AR1579" t="str">
        <f t="shared" si="322"/>
        <v>Valid</v>
      </c>
      <c r="AS1579" t="str">
        <f t="shared" si="323"/>
        <v>Valid</v>
      </c>
    </row>
    <row r="1580" spans="1:45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 t="str">
        <f t="shared" si="312"/>
        <v>Ok</v>
      </c>
      <c r="AE1580" t="str">
        <f>IF(AND(Audit_Data[[#This Row],[Year_Birth]]&gt;=1900,Audit_Data[[#This Row],[Year_Birth]]&lt;=2010),"OK","Invalid")</f>
        <v>OK</v>
      </c>
      <c r="AF1580" t="str">
        <f t="shared" si="313"/>
        <v>Valid</v>
      </c>
      <c r="AG1580" t="str">
        <f t="shared" si="314"/>
        <v>Valid</v>
      </c>
      <c r="AH1580" t="str">
        <f t="shared" si="315"/>
        <v>Valid</v>
      </c>
      <c r="AI1580" t="str">
        <f t="shared" si="316"/>
        <v>Valid</v>
      </c>
      <c r="AJ1580" t="str">
        <f t="shared" si="317"/>
        <v>Valid</v>
      </c>
      <c r="AK1580" t="str">
        <f t="shared" si="324"/>
        <v xml:space="preserve">Valid </v>
      </c>
      <c r="AL1580" t="str">
        <f>IF(AND(Audit_Data[[#This Row],[Recency]]&gt;=0,Audit_Data[[#This Row],[Recency]]&lt;=100),"Valid","Invalid")</f>
        <v>Valid</v>
      </c>
      <c r="AM1580" t="str">
        <f t="shared" si="318"/>
        <v>Valid</v>
      </c>
      <c r="AN1580" t="str">
        <f t="shared" si="319"/>
        <v>Valid</v>
      </c>
      <c r="AO1580" t="str">
        <f t="shared" si="320"/>
        <v>Valid</v>
      </c>
      <c r="AP1580" t="str">
        <f t="shared" si="321"/>
        <v>Valid</v>
      </c>
      <c r="AQ1580" t="str">
        <f>IF(Audit_Data[[#This Row],[Z_CostContact]]=3,"Valid","Invalid")</f>
        <v>Valid</v>
      </c>
      <c r="AR1580" t="str">
        <f t="shared" si="322"/>
        <v>Valid</v>
      </c>
      <c r="AS1580" t="str">
        <f t="shared" si="323"/>
        <v>Valid</v>
      </c>
    </row>
    <row r="1581" spans="1:45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 t="str">
        <f t="shared" si="312"/>
        <v>Ok</v>
      </c>
      <c r="AE1581" t="str">
        <f>IF(AND(Audit_Data[[#This Row],[Year_Birth]]&gt;=1900,Audit_Data[[#This Row],[Year_Birth]]&lt;=2010),"OK","Invalid")</f>
        <v>OK</v>
      </c>
      <c r="AF1581" t="str">
        <f t="shared" si="313"/>
        <v>Valid</v>
      </c>
      <c r="AG1581" t="str">
        <f t="shared" si="314"/>
        <v>Valid</v>
      </c>
      <c r="AH1581" t="str">
        <f t="shared" si="315"/>
        <v>Valid</v>
      </c>
      <c r="AI1581" t="str">
        <f t="shared" si="316"/>
        <v>Valid</v>
      </c>
      <c r="AJ1581" t="str">
        <f t="shared" si="317"/>
        <v>Valid</v>
      </c>
      <c r="AK1581" t="str">
        <f t="shared" si="324"/>
        <v xml:space="preserve">Valid </v>
      </c>
      <c r="AL1581" t="str">
        <f>IF(AND(Audit_Data[[#This Row],[Recency]]&gt;=0,Audit_Data[[#This Row],[Recency]]&lt;=100),"Valid","Invalid")</f>
        <v>Valid</v>
      </c>
      <c r="AM1581" t="str">
        <f t="shared" si="318"/>
        <v>Valid</v>
      </c>
      <c r="AN1581" t="str">
        <f t="shared" si="319"/>
        <v>Valid</v>
      </c>
      <c r="AO1581" t="str">
        <f t="shared" si="320"/>
        <v>Valid</v>
      </c>
      <c r="AP1581" t="str">
        <f t="shared" si="321"/>
        <v>Valid</v>
      </c>
      <c r="AQ1581" t="str">
        <f>IF(Audit_Data[[#This Row],[Z_CostContact]]=3,"Valid","Invalid")</f>
        <v>Valid</v>
      </c>
      <c r="AR1581" t="str">
        <f t="shared" si="322"/>
        <v>Valid</v>
      </c>
      <c r="AS1581" t="str">
        <f t="shared" si="323"/>
        <v>Valid</v>
      </c>
    </row>
    <row r="1582" spans="1:45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 t="str">
        <f t="shared" si="312"/>
        <v>Ok</v>
      </c>
      <c r="AE1582" t="str">
        <f>IF(AND(Audit_Data[[#This Row],[Year_Birth]]&gt;=1900,Audit_Data[[#This Row],[Year_Birth]]&lt;=2010),"OK","Invalid")</f>
        <v>OK</v>
      </c>
      <c r="AF1582" t="str">
        <f t="shared" si="313"/>
        <v>Valid</v>
      </c>
      <c r="AG1582" t="str">
        <f t="shared" si="314"/>
        <v>Valid</v>
      </c>
      <c r="AH1582" t="str">
        <f t="shared" si="315"/>
        <v>Valid</v>
      </c>
      <c r="AI1582" t="str">
        <f t="shared" si="316"/>
        <v>Valid</v>
      </c>
      <c r="AJ1582" t="str">
        <f t="shared" si="317"/>
        <v>Valid</v>
      </c>
      <c r="AK1582" t="str">
        <f t="shared" si="324"/>
        <v xml:space="preserve">Valid </v>
      </c>
      <c r="AL1582" t="str">
        <f>IF(AND(Audit_Data[[#This Row],[Recency]]&gt;=0,Audit_Data[[#This Row],[Recency]]&lt;=100),"Valid","Invalid")</f>
        <v>Valid</v>
      </c>
      <c r="AM1582" t="str">
        <f t="shared" si="318"/>
        <v>Valid</v>
      </c>
      <c r="AN1582" t="str">
        <f t="shared" si="319"/>
        <v>Valid</v>
      </c>
      <c r="AO1582" t="str">
        <f t="shared" si="320"/>
        <v>Valid</v>
      </c>
      <c r="AP1582" t="str">
        <f t="shared" si="321"/>
        <v>Valid</v>
      </c>
      <c r="AQ1582" t="str">
        <f>IF(Audit_Data[[#This Row],[Z_CostContact]]=3,"Valid","Invalid")</f>
        <v>Valid</v>
      </c>
      <c r="AR1582" t="str">
        <f t="shared" si="322"/>
        <v>Valid</v>
      </c>
      <c r="AS1582" t="str">
        <f t="shared" si="323"/>
        <v>Valid</v>
      </c>
    </row>
    <row r="1583" spans="1:45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 t="str">
        <f t="shared" si="312"/>
        <v>Ok</v>
      </c>
      <c r="AE1583" t="str">
        <f>IF(AND(Audit_Data[[#This Row],[Year_Birth]]&gt;=1900,Audit_Data[[#This Row],[Year_Birth]]&lt;=2010),"OK","Invalid")</f>
        <v>OK</v>
      </c>
      <c r="AF1583" t="str">
        <f t="shared" si="313"/>
        <v>Valid</v>
      </c>
      <c r="AG1583" t="str">
        <f t="shared" si="314"/>
        <v>Valid</v>
      </c>
      <c r="AH1583" t="str">
        <f t="shared" si="315"/>
        <v>Valid</v>
      </c>
      <c r="AI1583" t="str">
        <f t="shared" si="316"/>
        <v>Valid</v>
      </c>
      <c r="AJ1583" t="str">
        <f t="shared" si="317"/>
        <v>Valid</v>
      </c>
      <c r="AK1583" t="str">
        <f t="shared" si="324"/>
        <v xml:space="preserve">Valid </v>
      </c>
      <c r="AL1583" t="str">
        <f>IF(AND(Audit_Data[[#This Row],[Recency]]&gt;=0,Audit_Data[[#This Row],[Recency]]&lt;=100),"Valid","Invalid")</f>
        <v>Valid</v>
      </c>
      <c r="AM1583" t="str">
        <f t="shared" si="318"/>
        <v>Valid</v>
      </c>
      <c r="AN1583" t="str">
        <f t="shared" si="319"/>
        <v>Valid</v>
      </c>
      <c r="AO1583" t="str">
        <f t="shared" si="320"/>
        <v>Valid</v>
      </c>
      <c r="AP1583" t="str">
        <f t="shared" si="321"/>
        <v>Valid</v>
      </c>
      <c r="AQ1583" t="str">
        <f>IF(Audit_Data[[#This Row],[Z_CostContact]]=3,"Valid","Invalid")</f>
        <v>Valid</v>
      </c>
      <c r="AR1583" t="str">
        <f t="shared" si="322"/>
        <v>Valid</v>
      </c>
      <c r="AS1583" t="str">
        <f t="shared" si="323"/>
        <v>Valid</v>
      </c>
    </row>
    <row r="1584" spans="1:45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 t="str">
        <f t="shared" si="312"/>
        <v>Ok</v>
      </c>
      <c r="AE1584" t="str">
        <f>IF(AND(Audit_Data[[#This Row],[Year_Birth]]&gt;=1900,Audit_Data[[#This Row],[Year_Birth]]&lt;=2010),"OK","Invalid")</f>
        <v>OK</v>
      </c>
      <c r="AF1584" t="str">
        <f t="shared" si="313"/>
        <v>Valid</v>
      </c>
      <c r="AG1584" t="str">
        <f t="shared" si="314"/>
        <v>Valid</v>
      </c>
      <c r="AH1584" t="str">
        <f t="shared" si="315"/>
        <v>Valid</v>
      </c>
      <c r="AI1584" t="str">
        <f t="shared" si="316"/>
        <v>Valid</v>
      </c>
      <c r="AJ1584" t="str">
        <f t="shared" si="317"/>
        <v>Valid</v>
      </c>
      <c r="AK1584" t="str">
        <f t="shared" si="324"/>
        <v xml:space="preserve">Valid </v>
      </c>
      <c r="AL1584" t="str">
        <f>IF(AND(Audit_Data[[#This Row],[Recency]]&gt;=0,Audit_Data[[#This Row],[Recency]]&lt;=100),"Valid","Invalid")</f>
        <v>Valid</v>
      </c>
      <c r="AM1584" t="str">
        <f t="shared" si="318"/>
        <v>Valid</v>
      </c>
      <c r="AN1584" t="str">
        <f t="shared" si="319"/>
        <v>Valid</v>
      </c>
      <c r="AO1584" t="str">
        <f t="shared" si="320"/>
        <v>Valid</v>
      </c>
      <c r="AP1584" t="str">
        <f t="shared" si="321"/>
        <v>Valid</v>
      </c>
      <c r="AQ1584" t="str">
        <f>IF(Audit_Data[[#This Row],[Z_CostContact]]=3,"Valid","Invalid")</f>
        <v>Valid</v>
      </c>
      <c r="AR1584" t="str">
        <f t="shared" si="322"/>
        <v>Valid</v>
      </c>
      <c r="AS1584" t="str">
        <f t="shared" si="323"/>
        <v>Valid</v>
      </c>
    </row>
    <row r="1585" spans="1:45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 t="str">
        <f t="shared" si="312"/>
        <v>Ok</v>
      </c>
      <c r="AE1585" t="str">
        <f>IF(AND(Audit_Data[[#This Row],[Year_Birth]]&gt;=1900,Audit_Data[[#This Row],[Year_Birth]]&lt;=2010),"OK","Invalid")</f>
        <v>OK</v>
      </c>
      <c r="AF1585" t="str">
        <f t="shared" si="313"/>
        <v>Valid</v>
      </c>
      <c r="AG1585" t="str">
        <f t="shared" si="314"/>
        <v>Valid</v>
      </c>
      <c r="AH1585" t="str">
        <f t="shared" si="315"/>
        <v>Valid</v>
      </c>
      <c r="AI1585" t="str">
        <f t="shared" si="316"/>
        <v>Valid</v>
      </c>
      <c r="AJ1585" t="str">
        <f t="shared" si="317"/>
        <v>Valid</v>
      </c>
      <c r="AK1585" t="str">
        <f t="shared" si="324"/>
        <v xml:space="preserve">Valid </v>
      </c>
      <c r="AL1585" t="str">
        <f>IF(AND(Audit_Data[[#This Row],[Recency]]&gt;=0,Audit_Data[[#This Row],[Recency]]&lt;=100),"Valid","Invalid")</f>
        <v>Valid</v>
      </c>
      <c r="AM1585" t="str">
        <f t="shared" si="318"/>
        <v>Valid</v>
      </c>
      <c r="AN1585" t="str">
        <f t="shared" si="319"/>
        <v>Valid</v>
      </c>
      <c r="AO1585" t="str">
        <f t="shared" si="320"/>
        <v>Valid</v>
      </c>
      <c r="AP1585" t="str">
        <f t="shared" si="321"/>
        <v>Valid</v>
      </c>
      <c r="AQ1585" t="str">
        <f>IF(Audit_Data[[#This Row],[Z_CostContact]]=3,"Valid","Invalid")</f>
        <v>Valid</v>
      </c>
      <c r="AR1585" t="str">
        <f t="shared" si="322"/>
        <v>Valid</v>
      </c>
      <c r="AS1585" t="str">
        <f t="shared" si="323"/>
        <v>Valid</v>
      </c>
    </row>
    <row r="1586" spans="1:45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 t="str">
        <f t="shared" si="312"/>
        <v>Ok</v>
      </c>
      <c r="AE1586" t="str">
        <f>IF(AND(Audit_Data[[#This Row],[Year_Birth]]&gt;=1900,Audit_Data[[#This Row],[Year_Birth]]&lt;=2010),"OK","Invalid")</f>
        <v>OK</v>
      </c>
      <c r="AF1586" t="str">
        <f t="shared" si="313"/>
        <v>Valid</v>
      </c>
      <c r="AG1586" t="str">
        <f t="shared" si="314"/>
        <v>Valid</v>
      </c>
      <c r="AH1586" t="str">
        <f t="shared" si="315"/>
        <v>Valid</v>
      </c>
      <c r="AI1586" t="str">
        <f t="shared" si="316"/>
        <v>Valid</v>
      </c>
      <c r="AJ1586" t="str">
        <f t="shared" si="317"/>
        <v>Valid</v>
      </c>
      <c r="AK1586" t="str">
        <f t="shared" si="324"/>
        <v xml:space="preserve">Valid </v>
      </c>
      <c r="AL1586" t="str">
        <f>IF(AND(Audit_Data[[#This Row],[Recency]]&gt;=0,Audit_Data[[#This Row],[Recency]]&lt;=100),"Valid","Invalid")</f>
        <v>Valid</v>
      </c>
      <c r="AM1586" t="str">
        <f t="shared" si="318"/>
        <v>Valid</v>
      </c>
      <c r="AN1586" t="str">
        <f t="shared" si="319"/>
        <v>Valid</v>
      </c>
      <c r="AO1586" t="str">
        <f t="shared" si="320"/>
        <v>Valid</v>
      </c>
      <c r="AP1586" t="str">
        <f t="shared" si="321"/>
        <v>Valid</v>
      </c>
      <c r="AQ1586" t="str">
        <f>IF(Audit_Data[[#This Row],[Z_CostContact]]=3,"Valid","Invalid")</f>
        <v>Valid</v>
      </c>
      <c r="AR1586" t="str">
        <f t="shared" si="322"/>
        <v>Valid</v>
      </c>
      <c r="AS1586" t="str">
        <f t="shared" si="323"/>
        <v>Valid</v>
      </c>
    </row>
    <row r="1587" spans="1:45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 t="str">
        <f t="shared" si="312"/>
        <v>Ok</v>
      </c>
      <c r="AE1587" t="str">
        <f>IF(AND(Audit_Data[[#This Row],[Year_Birth]]&gt;=1900,Audit_Data[[#This Row],[Year_Birth]]&lt;=2010),"OK","Invalid")</f>
        <v>OK</v>
      </c>
      <c r="AF1587" t="str">
        <f t="shared" si="313"/>
        <v>Valid</v>
      </c>
      <c r="AG1587" t="str">
        <f t="shared" si="314"/>
        <v>Valid</v>
      </c>
      <c r="AH1587" t="str">
        <f t="shared" si="315"/>
        <v>Valid</v>
      </c>
      <c r="AI1587" t="str">
        <f t="shared" si="316"/>
        <v>Valid</v>
      </c>
      <c r="AJ1587" t="str">
        <f t="shared" si="317"/>
        <v>Valid</v>
      </c>
      <c r="AK1587" t="str">
        <f t="shared" si="324"/>
        <v xml:space="preserve">Valid </v>
      </c>
      <c r="AL1587" t="str">
        <f>IF(AND(Audit_Data[[#This Row],[Recency]]&gt;=0,Audit_Data[[#This Row],[Recency]]&lt;=100),"Valid","Invalid")</f>
        <v>Valid</v>
      </c>
      <c r="AM1587" t="str">
        <f t="shared" si="318"/>
        <v>Valid</v>
      </c>
      <c r="AN1587" t="str">
        <f t="shared" si="319"/>
        <v>Valid</v>
      </c>
      <c r="AO1587" t="str">
        <f t="shared" si="320"/>
        <v>Valid</v>
      </c>
      <c r="AP1587" t="str">
        <f t="shared" si="321"/>
        <v>Valid</v>
      </c>
      <c r="AQ1587" t="str">
        <f>IF(Audit_Data[[#This Row],[Z_CostContact]]=3,"Valid","Invalid")</f>
        <v>Valid</v>
      </c>
      <c r="AR1587" t="str">
        <f t="shared" si="322"/>
        <v>Valid</v>
      </c>
      <c r="AS1587" t="str">
        <f t="shared" si="323"/>
        <v>Valid</v>
      </c>
    </row>
    <row r="1588" spans="1:45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 t="str">
        <f t="shared" si="312"/>
        <v>Ok</v>
      </c>
      <c r="AE1588" t="str">
        <f>IF(AND(Audit_Data[[#This Row],[Year_Birth]]&gt;=1900,Audit_Data[[#This Row],[Year_Birth]]&lt;=2010),"OK","Invalid")</f>
        <v>OK</v>
      </c>
      <c r="AF1588" t="str">
        <f t="shared" si="313"/>
        <v>Valid</v>
      </c>
      <c r="AG1588" t="str">
        <f t="shared" si="314"/>
        <v>Valid</v>
      </c>
      <c r="AH1588" t="str">
        <f t="shared" si="315"/>
        <v>Valid</v>
      </c>
      <c r="AI1588" t="str">
        <f t="shared" si="316"/>
        <v>Valid</v>
      </c>
      <c r="AJ1588" t="str">
        <f t="shared" si="317"/>
        <v>Valid</v>
      </c>
      <c r="AK1588" t="str">
        <f t="shared" si="324"/>
        <v xml:space="preserve">Valid </v>
      </c>
      <c r="AL1588" t="str">
        <f>IF(AND(Audit_Data[[#This Row],[Recency]]&gt;=0,Audit_Data[[#This Row],[Recency]]&lt;=100),"Valid","Invalid")</f>
        <v>Valid</v>
      </c>
      <c r="AM1588" t="str">
        <f t="shared" si="318"/>
        <v>Valid</v>
      </c>
      <c r="AN1588" t="str">
        <f t="shared" si="319"/>
        <v>Valid</v>
      </c>
      <c r="AO1588" t="str">
        <f t="shared" si="320"/>
        <v>Valid</v>
      </c>
      <c r="AP1588" t="str">
        <f t="shared" si="321"/>
        <v>Valid</v>
      </c>
      <c r="AQ1588" t="str">
        <f>IF(Audit_Data[[#This Row],[Z_CostContact]]=3,"Valid","Invalid")</f>
        <v>Valid</v>
      </c>
      <c r="AR1588" t="str">
        <f t="shared" si="322"/>
        <v>Valid</v>
      </c>
      <c r="AS1588" t="str">
        <f t="shared" si="323"/>
        <v>Valid</v>
      </c>
    </row>
    <row r="1589" spans="1:45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 t="str">
        <f t="shared" si="312"/>
        <v>Ok</v>
      </c>
      <c r="AE1589" t="str">
        <f>IF(AND(Audit_Data[[#This Row],[Year_Birth]]&gt;=1900,Audit_Data[[#This Row],[Year_Birth]]&lt;=2010),"OK","Invalid")</f>
        <v>OK</v>
      </c>
      <c r="AF1589" t="str">
        <f t="shared" si="313"/>
        <v>Valid</v>
      </c>
      <c r="AG1589" t="str">
        <f t="shared" si="314"/>
        <v>Valid</v>
      </c>
      <c r="AH1589" t="str">
        <f t="shared" si="315"/>
        <v>Valid</v>
      </c>
      <c r="AI1589" t="str">
        <f t="shared" si="316"/>
        <v>Valid</v>
      </c>
      <c r="AJ1589" t="str">
        <f t="shared" si="317"/>
        <v>Valid</v>
      </c>
      <c r="AK1589" t="str">
        <f t="shared" si="324"/>
        <v xml:space="preserve">Valid </v>
      </c>
      <c r="AL1589" t="str">
        <f>IF(AND(Audit_Data[[#This Row],[Recency]]&gt;=0,Audit_Data[[#This Row],[Recency]]&lt;=100),"Valid","Invalid")</f>
        <v>Valid</v>
      </c>
      <c r="AM1589" t="str">
        <f t="shared" si="318"/>
        <v>Valid</v>
      </c>
      <c r="AN1589" t="str">
        <f t="shared" si="319"/>
        <v>Valid</v>
      </c>
      <c r="AO1589" t="str">
        <f t="shared" si="320"/>
        <v>Valid</v>
      </c>
      <c r="AP1589" t="str">
        <f t="shared" si="321"/>
        <v>Valid</v>
      </c>
      <c r="AQ1589" t="str">
        <f>IF(Audit_Data[[#This Row],[Z_CostContact]]=3,"Valid","Invalid")</f>
        <v>Valid</v>
      </c>
      <c r="AR1589" t="str">
        <f t="shared" si="322"/>
        <v>Valid</v>
      </c>
      <c r="AS1589" t="str">
        <f t="shared" si="323"/>
        <v>Valid</v>
      </c>
    </row>
    <row r="1590" spans="1:45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 t="str">
        <f t="shared" si="312"/>
        <v>Ok</v>
      </c>
      <c r="AE1590" t="str">
        <f>IF(AND(Audit_Data[[#This Row],[Year_Birth]]&gt;=1900,Audit_Data[[#This Row],[Year_Birth]]&lt;=2010),"OK","Invalid")</f>
        <v>OK</v>
      </c>
      <c r="AF1590" t="str">
        <f t="shared" si="313"/>
        <v>Valid</v>
      </c>
      <c r="AG1590" t="str">
        <f t="shared" si="314"/>
        <v>Valid</v>
      </c>
      <c r="AH1590" t="str">
        <f t="shared" si="315"/>
        <v>Valid</v>
      </c>
      <c r="AI1590" t="str">
        <f t="shared" si="316"/>
        <v>Valid</v>
      </c>
      <c r="AJ1590" t="str">
        <f t="shared" si="317"/>
        <v>Valid</v>
      </c>
      <c r="AK1590" t="str">
        <f t="shared" si="324"/>
        <v xml:space="preserve">Valid </v>
      </c>
      <c r="AL1590" t="str">
        <f>IF(AND(Audit_Data[[#This Row],[Recency]]&gt;=0,Audit_Data[[#This Row],[Recency]]&lt;=100),"Valid","Invalid")</f>
        <v>Valid</v>
      </c>
      <c r="AM1590" t="str">
        <f t="shared" si="318"/>
        <v>Valid</v>
      </c>
      <c r="AN1590" t="str">
        <f t="shared" si="319"/>
        <v>Valid</v>
      </c>
      <c r="AO1590" t="str">
        <f t="shared" si="320"/>
        <v>Valid</v>
      </c>
      <c r="AP1590" t="str">
        <f t="shared" si="321"/>
        <v>Valid</v>
      </c>
      <c r="AQ1590" t="str">
        <f>IF(Audit_Data[[#This Row],[Z_CostContact]]=3,"Valid","Invalid")</f>
        <v>Valid</v>
      </c>
      <c r="AR1590" t="str">
        <f t="shared" si="322"/>
        <v>Valid</v>
      </c>
      <c r="AS1590" t="str">
        <f t="shared" si="323"/>
        <v>Valid</v>
      </c>
    </row>
    <row r="1591" spans="1:45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 t="str">
        <f t="shared" si="312"/>
        <v>Ok</v>
      </c>
      <c r="AE1591" t="str">
        <f>IF(AND(Audit_Data[[#This Row],[Year_Birth]]&gt;=1900,Audit_Data[[#This Row],[Year_Birth]]&lt;=2010),"OK","Invalid")</f>
        <v>OK</v>
      </c>
      <c r="AF1591" t="str">
        <f t="shared" si="313"/>
        <v>Valid</v>
      </c>
      <c r="AG1591" t="str">
        <f t="shared" si="314"/>
        <v>Valid</v>
      </c>
      <c r="AH1591" t="str">
        <f t="shared" si="315"/>
        <v>Valid</v>
      </c>
      <c r="AI1591" t="str">
        <f t="shared" si="316"/>
        <v>Valid</v>
      </c>
      <c r="AJ1591" t="str">
        <f t="shared" si="317"/>
        <v>Valid</v>
      </c>
      <c r="AK1591" t="str">
        <f t="shared" si="324"/>
        <v xml:space="preserve">Valid </v>
      </c>
      <c r="AL1591" t="str">
        <f>IF(AND(Audit_Data[[#This Row],[Recency]]&gt;=0,Audit_Data[[#This Row],[Recency]]&lt;=100),"Valid","Invalid")</f>
        <v>Valid</v>
      </c>
      <c r="AM1591" t="str">
        <f t="shared" si="318"/>
        <v>Valid</v>
      </c>
      <c r="AN1591" t="str">
        <f t="shared" si="319"/>
        <v>Valid</v>
      </c>
      <c r="AO1591" t="str">
        <f t="shared" si="320"/>
        <v>Valid</v>
      </c>
      <c r="AP1591" t="str">
        <f t="shared" si="321"/>
        <v>Valid</v>
      </c>
      <c r="AQ1591" t="str">
        <f>IF(Audit_Data[[#This Row],[Z_CostContact]]=3,"Valid","Invalid")</f>
        <v>Valid</v>
      </c>
      <c r="AR1591" t="str">
        <f t="shared" si="322"/>
        <v>Valid</v>
      </c>
      <c r="AS1591" t="str">
        <f t="shared" si="323"/>
        <v>Valid</v>
      </c>
    </row>
    <row r="1592" spans="1:45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 t="str">
        <f t="shared" si="312"/>
        <v>Ok</v>
      </c>
      <c r="AE1592" t="str">
        <f>IF(AND(Audit_Data[[#This Row],[Year_Birth]]&gt;=1900,Audit_Data[[#This Row],[Year_Birth]]&lt;=2010),"OK","Invalid")</f>
        <v>OK</v>
      </c>
      <c r="AF1592" t="str">
        <f t="shared" si="313"/>
        <v>Valid</v>
      </c>
      <c r="AG1592" t="str">
        <f t="shared" si="314"/>
        <v>Valid</v>
      </c>
      <c r="AH1592" t="str">
        <f t="shared" si="315"/>
        <v>Valid</v>
      </c>
      <c r="AI1592" t="str">
        <f t="shared" si="316"/>
        <v>Valid</v>
      </c>
      <c r="AJ1592" t="str">
        <f t="shared" si="317"/>
        <v>Valid</v>
      </c>
      <c r="AK1592" t="str">
        <f t="shared" si="324"/>
        <v xml:space="preserve">Valid </v>
      </c>
      <c r="AL1592" t="str">
        <f>IF(AND(Audit_Data[[#This Row],[Recency]]&gt;=0,Audit_Data[[#This Row],[Recency]]&lt;=100),"Valid","Invalid")</f>
        <v>Valid</v>
      </c>
      <c r="AM1592" t="str">
        <f t="shared" si="318"/>
        <v>Valid</v>
      </c>
      <c r="AN1592" t="str">
        <f t="shared" si="319"/>
        <v>Valid</v>
      </c>
      <c r="AO1592" t="str">
        <f t="shared" si="320"/>
        <v>Valid</v>
      </c>
      <c r="AP1592" t="str">
        <f t="shared" si="321"/>
        <v>Valid</v>
      </c>
      <c r="AQ1592" t="str">
        <f>IF(Audit_Data[[#This Row],[Z_CostContact]]=3,"Valid","Invalid")</f>
        <v>Valid</v>
      </c>
      <c r="AR1592" t="str">
        <f t="shared" si="322"/>
        <v>Valid</v>
      </c>
      <c r="AS1592" t="str">
        <f t="shared" si="323"/>
        <v>Valid</v>
      </c>
    </row>
    <row r="1593" spans="1:45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 t="str">
        <f t="shared" si="312"/>
        <v>Ok</v>
      </c>
      <c r="AE1593" t="str">
        <f>IF(AND(Audit_Data[[#This Row],[Year_Birth]]&gt;=1900,Audit_Data[[#This Row],[Year_Birth]]&lt;=2010),"OK","Invalid")</f>
        <v>OK</v>
      </c>
      <c r="AF1593" t="str">
        <f t="shared" si="313"/>
        <v>Valid</v>
      </c>
      <c r="AG1593" t="str">
        <f t="shared" si="314"/>
        <v>Valid</v>
      </c>
      <c r="AH1593" t="str">
        <f t="shared" si="315"/>
        <v>Valid</v>
      </c>
      <c r="AI1593" t="str">
        <f t="shared" si="316"/>
        <v>Valid</v>
      </c>
      <c r="AJ1593" t="str">
        <f t="shared" si="317"/>
        <v>Valid</v>
      </c>
      <c r="AK1593" t="str">
        <f t="shared" si="324"/>
        <v xml:space="preserve">Valid </v>
      </c>
      <c r="AL1593" t="str">
        <f>IF(AND(Audit_Data[[#This Row],[Recency]]&gt;=0,Audit_Data[[#This Row],[Recency]]&lt;=100),"Valid","Invalid")</f>
        <v>Valid</v>
      </c>
      <c r="AM1593" t="str">
        <f t="shared" si="318"/>
        <v>Valid</v>
      </c>
      <c r="AN1593" t="str">
        <f t="shared" si="319"/>
        <v>Valid</v>
      </c>
      <c r="AO1593" t="str">
        <f t="shared" si="320"/>
        <v>Valid</v>
      </c>
      <c r="AP1593" t="str">
        <f t="shared" si="321"/>
        <v>Valid</v>
      </c>
      <c r="AQ1593" t="str">
        <f>IF(Audit_Data[[#This Row],[Z_CostContact]]=3,"Valid","Invalid")</f>
        <v>Valid</v>
      </c>
      <c r="AR1593" t="str">
        <f t="shared" si="322"/>
        <v>Valid</v>
      </c>
      <c r="AS1593" t="str">
        <f t="shared" si="323"/>
        <v>Valid</v>
      </c>
    </row>
    <row r="1594" spans="1:45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 t="str">
        <f t="shared" si="312"/>
        <v>Ok</v>
      </c>
      <c r="AE1594" t="str">
        <f>IF(AND(Audit_Data[[#This Row],[Year_Birth]]&gt;=1900,Audit_Data[[#This Row],[Year_Birth]]&lt;=2010),"OK","Invalid")</f>
        <v>OK</v>
      </c>
      <c r="AF1594" t="str">
        <f t="shared" si="313"/>
        <v>Valid</v>
      </c>
      <c r="AG1594" t="str">
        <f t="shared" si="314"/>
        <v>Valid</v>
      </c>
      <c r="AH1594" t="str">
        <f t="shared" si="315"/>
        <v>Valid</v>
      </c>
      <c r="AI1594" t="str">
        <f t="shared" si="316"/>
        <v>Valid</v>
      </c>
      <c r="AJ1594" t="str">
        <f t="shared" si="317"/>
        <v>Valid</v>
      </c>
      <c r="AK1594" t="str">
        <f t="shared" si="324"/>
        <v xml:space="preserve">Valid </v>
      </c>
      <c r="AL1594" t="str">
        <f>IF(AND(Audit_Data[[#This Row],[Recency]]&gt;=0,Audit_Data[[#This Row],[Recency]]&lt;=100),"Valid","Invalid")</f>
        <v>Valid</v>
      </c>
      <c r="AM1594" t="str">
        <f t="shared" si="318"/>
        <v>Valid</v>
      </c>
      <c r="AN1594" t="str">
        <f t="shared" si="319"/>
        <v>Valid</v>
      </c>
      <c r="AO1594" t="str">
        <f t="shared" si="320"/>
        <v>Valid</v>
      </c>
      <c r="AP1594" t="str">
        <f t="shared" si="321"/>
        <v>Valid</v>
      </c>
      <c r="AQ1594" t="str">
        <f>IF(Audit_Data[[#This Row],[Z_CostContact]]=3,"Valid","Invalid")</f>
        <v>Valid</v>
      </c>
      <c r="AR1594" t="str">
        <f t="shared" si="322"/>
        <v>Valid</v>
      </c>
      <c r="AS1594" t="str">
        <f t="shared" si="323"/>
        <v>Valid</v>
      </c>
    </row>
    <row r="1595" spans="1:45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 t="str">
        <f t="shared" si="312"/>
        <v>Ok</v>
      </c>
      <c r="AE1595" t="str">
        <f>IF(AND(Audit_Data[[#This Row],[Year_Birth]]&gt;=1900,Audit_Data[[#This Row],[Year_Birth]]&lt;=2010),"OK","Invalid")</f>
        <v>OK</v>
      </c>
      <c r="AF1595" t="str">
        <f t="shared" si="313"/>
        <v>Valid</v>
      </c>
      <c r="AG1595" t="str">
        <f t="shared" si="314"/>
        <v>Valid</v>
      </c>
      <c r="AH1595" t="str">
        <f t="shared" si="315"/>
        <v>Valid</v>
      </c>
      <c r="AI1595" t="str">
        <f t="shared" si="316"/>
        <v>Valid</v>
      </c>
      <c r="AJ1595" t="str">
        <f t="shared" si="317"/>
        <v>Valid</v>
      </c>
      <c r="AK1595" t="str">
        <f t="shared" si="324"/>
        <v xml:space="preserve">Valid </v>
      </c>
      <c r="AL1595" t="str">
        <f>IF(AND(Audit_Data[[#This Row],[Recency]]&gt;=0,Audit_Data[[#This Row],[Recency]]&lt;=100),"Valid","Invalid")</f>
        <v>Valid</v>
      </c>
      <c r="AM1595" t="str">
        <f t="shared" si="318"/>
        <v>Valid</v>
      </c>
      <c r="AN1595" t="str">
        <f t="shared" si="319"/>
        <v>Valid</v>
      </c>
      <c r="AO1595" t="str">
        <f t="shared" si="320"/>
        <v>Valid</v>
      </c>
      <c r="AP1595" t="str">
        <f t="shared" si="321"/>
        <v>Valid</v>
      </c>
      <c r="AQ1595" t="str">
        <f>IF(Audit_Data[[#This Row],[Z_CostContact]]=3,"Valid","Invalid")</f>
        <v>Valid</v>
      </c>
      <c r="AR1595" t="str">
        <f t="shared" si="322"/>
        <v>Valid</v>
      </c>
      <c r="AS1595" t="str">
        <f t="shared" si="323"/>
        <v>Valid</v>
      </c>
    </row>
    <row r="1596" spans="1:45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 t="str">
        <f t="shared" si="312"/>
        <v>Ok</v>
      </c>
      <c r="AE1596" t="str">
        <f>IF(AND(Audit_Data[[#This Row],[Year_Birth]]&gt;=1900,Audit_Data[[#This Row],[Year_Birth]]&lt;=2010),"OK","Invalid")</f>
        <v>OK</v>
      </c>
      <c r="AF1596" t="str">
        <f t="shared" si="313"/>
        <v>Valid</v>
      </c>
      <c r="AG1596" t="str">
        <f t="shared" si="314"/>
        <v>Valid</v>
      </c>
      <c r="AH1596" t="str">
        <f t="shared" si="315"/>
        <v>Valid</v>
      </c>
      <c r="AI1596" t="str">
        <f t="shared" si="316"/>
        <v>Valid</v>
      </c>
      <c r="AJ1596" t="str">
        <f t="shared" si="317"/>
        <v>Valid</v>
      </c>
      <c r="AK1596" t="str">
        <f t="shared" si="324"/>
        <v xml:space="preserve">Valid </v>
      </c>
      <c r="AL1596" t="str">
        <f>IF(AND(Audit_Data[[#This Row],[Recency]]&gt;=0,Audit_Data[[#This Row],[Recency]]&lt;=100),"Valid","Invalid")</f>
        <v>Valid</v>
      </c>
      <c r="AM1596" t="str">
        <f t="shared" si="318"/>
        <v>Valid</v>
      </c>
      <c r="AN1596" t="str">
        <f t="shared" si="319"/>
        <v>Valid</v>
      </c>
      <c r="AO1596" t="str">
        <f t="shared" si="320"/>
        <v>Valid</v>
      </c>
      <c r="AP1596" t="str">
        <f t="shared" si="321"/>
        <v>Valid</v>
      </c>
      <c r="AQ1596" t="str">
        <f>IF(Audit_Data[[#This Row],[Z_CostContact]]=3,"Valid","Invalid")</f>
        <v>Valid</v>
      </c>
      <c r="AR1596" t="str">
        <f t="shared" si="322"/>
        <v>Valid</v>
      </c>
      <c r="AS1596" t="str">
        <f t="shared" si="323"/>
        <v>Valid</v>
      </c>
    </row>
    <row r="1597" spans="1:45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 t="str">
        <f t="shared" si="312"/>
        <v>Ok</v>
      </c>
      <c r="AE1597" t="str">
        <f>IF(AND(Audit_Data[[#This Row],[Year_Birth]]&gt;=1900,Audit_Data[[#This Row],[Year_Birth]]&lt;=2010),"OK","Invalid")</f>
        <v>OK</v>
      </c>
      <c r="AF1597" t="str">
        <f t="shared" si="313"/>
        <v>Valid</v>
      </c>
      <c r="AG1597" t="str">
        <f t="shared" si="314"/>
        <v>Valid</v>
      </c>
      <c r="AH1597" t="str">
        <f t="shared" si="315"/>
        <v>Valid</v>
      </c>
      <c r="AI1597" t="str">
        <f t="shared" si="316"/>
        <v>Valid</v>
      </c>
      <c r="AJ1597" t="str">
        <f t="shared" si="317"/>
        <v>Valid</v>
      </c>
      <c r="AK1597" t="str">
        <f t="shared" si="324"/>
        <v xml:space="preserve">Valid </v>
      </c>
      <c r="AL1597" t="str">
        <f>IF(AND(Audit_Data[[#This Row],[Recency]]&gt;=0,Audit_Data[[#This Row],[Recency]]&lt;=100),"Valid","Invalid")</f>
        <v>Valid</v>
      </c>
      <c r="AM1597" t="str">
        <f t="shared" si="318"/>
        <v>Valid</v>
      </c>
      <c r="AN1597" t="str">
        <f t="shared" si="319"/>
        <v>Valid</v>
      </c>
      <c r="AO1597" t="str">
        <f t="shared" si="320"/>
        <v>Valid</v>
      </c>
      <c r="AP1597" t="str">
        <f t="shared" si="321"/>
        <v>Valid</v>
      </c>
      <c r="AQ1597" t="str">
        <f>IF(Audit_Data[[#This Row],[Z_CostContact]]=3,"Valid","Invalid")</f>
        <v>Valid</v>
      </c>
      <c r="AR1597" t="str">
        <f t="shared" si="322"/>
        <v>Valid</v>
      </c>
      <c r="AS1597" t="str">
        <f t="shared" si="323"/>
        <v>Valid</v>
      </c>
    </row>
    <row r="1598" spans="1:45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 t="str">
        <f t="shared" si="312"/>
        <v>Ok</v>
      </c>
      <c r="AE1598" t="str">
        <f>IF(AND(Audit_Data[[#This Row],[Year_Birth]]&gt;=1900,Audit_Data[[#This Row],[Year_Birth]]&lt;=2010),"OK","Invalid")</f>
        <v>OK</v>
      </c>
      <c r="AF1598" t="str">
        <f t="shared" si="313"/>
        <v>Valid</v>
      </c>
      <c r="AG1598" t="str">
        <f t="shared" si="314"/>
        <v>Valid</v>
      </c>
      <c r="AH1598" t="str">
        <f t="shared" si="315"/>
        <v>Valid</v>
      </c>
      <c r="AI1598" t="str">
        <f t="shared" si="316"/>
        <v>Valid</v>
      </c>
      <c r="AJ1598" t="str">
        <f t="shared" si="317"/>
        <v>Valid</v>
      </c>
      <c r="AK1598" t="str">
        <f t="shared" si="324"/>
        <v xml:space="preserve">Valid </v>
      </c>
      <c r="AL1598" t="str">
        <f>IF(AND(Audit_Data[[#This Row],[Recency]]&gt;=0,Audit_Data[[#This Row],[Recency]]&lt;=100),"Valid","Invalid")</f>
        <v>Valid</v>
      </c>
      <c r="AM1598" t="str">
        <f t="shared" si="318"/>
        <v>Valid</v>
      </c>
      <c r="AN1598" t="str">
        <f t="shared" si="319"/>
        <v>Valid</v>
      </c>
      <c r="AO1598" t="str">
        <f t="shared" si="320"/>
        <v>Valid</v>
      </c>
      <c r="AP1598" t="str">
        <f t="shared" si="321"/>
        <v>Valid</v>
      </c>
      <c r="AQ1598" t="str">
        <f>IF(Audit_Data[[#This Row],[Z_CostContact]]=3,"Valid","Invalid")</f>
        <v>Valid</v>
      </c>
      <c r="AR1598" t="str">
        <f t="shared" si="322"/>
        <v>Valid</v>
      </c>
      <c r="AS1598" t="str">
        <f t="shared" si="323"/>
        <v>Valid</v>
      </c>
    </row>
    <row r="1599" spans="1:45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 t="str">
        <f t="shared" si="312"/>
        <v>Ok</v>
      </c>
      <c r="AE1599" t="str">
        <f>IF(AND(Audit_Data[[#This Row],[Year_Birth]]&gt;=1900,Audit_Data[[#This Row],[Year_Birth]]&lt;=2010),"OK","Invalid")</f>
        <v>OK</v>
      </c>
      <c r="AF1599" t="str">
        <f t="shared" si="313"/>
        <v>Valid</v>
      </c>
      <c r="AG1599" t="str">
        <f t="shared" si="314"/>
        <v>Valid</v>
      </c>
      <c r="AH1599" t="str">
        <f t="shared" si="315"/>
        <v>Valid</v>
      </c>
      <c r="AI1599" t="str">
        <f t="shared" si="316"/>
        <v>Valid</v>
      </c>
      <c r="AJ1599" t="str">
        <f t="shared" si="317"/>
        <v>Valid</v>
      </c>
      <c r="AK1599" t="str">
        <f t="shared" si="324"/>
        <v xml:space="preserve">Valid </v>
      </c>
      <c r="AL1599" t="str">
        <f>IF(AND(Audit_Data[[#This Row],[Recency]]&gt;=0,Audit_Data[[#This Row],[Recency]]&lt;=100),"Valid","Invalid")</f>
        <v>Valid</v>
      </c>
      <c r="AM1599" t="str">
        <f t="shared" si="318"/>
        <v>Valid</v>
      </c>
      <c r="AN1599" t="str">
        <f t="shared" si="319"/>
        <v>Valid</v>
      </c>
      <c r="AO1599" t="str">
        <f t="shared" si="320"/>
        <v>Valid</v>
      </c>
      <c r="AP1599" t="str">
        <f t="shared" si="321"/>
        <v>Valid</v>
      </c>
      <c r="AQ1599" t="str">
        <f>IF(Audit_Data[[#This Row],[Z_CostContact]]=3,"Valid","Invalid")</f>
        <v>Valid</v>
      </c>
      <c r="AR1599" t="str">
        <f t="shared" si="322"/>
        <v>Valid</v>
      </c>
      <c r="AS1599" t="str">
        <f t="shared" si="323"/>
        <v>Valid</v>
      </c>
    </row>
    <row r="1600" spans="1:45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 t="str">
        <f t="shared" si="312"/>
        <v>Ok</v>
      </c>
      <c r="AE1600" t="str">
        <f>IF(AND(Audit_Data[[#This Row],[Year_Birth]]&gt;=1900,Audit_Data[[#This Row],[Year_Birth]]&lt;=2010),"OK","Invalid")</f>
        <v>OK</v>
      </c>
      <c r="AF1600" t="str">
        <f t="shared" si="313"/>
        <v>Valid</v>
      </c>
      <c r="AG1600" t="str">
        <f t="shared" si="314"/>
        <v>Valid</v>
      </c>
      <c r="AH1600" t="str">
        <f t="shared" si="315"/>
        <v>Valid</v>
      </c>
      <c r="AI1600" t="str">
        <f t="shared" si="316"/>
        <v>Valid</v>
      </c>
      <c r="AJ1600" t="str">
        <f t="shared" si="317"/>
        <v>Valid</v>
      </c>
      <c r="AK1600" t="str">
        <f t="shared" si="324"/>
        <v xml:space="preserve">Valid </v>
      </c>
      <c r="AL1600" t="str">
        <f>IF(AND(Audit_Data[[#This Row],[Recency]]&gt;=0,Audit_Data[[#This Row],[Recency]]&lt;=100),"Valid","Invalid")</f>
        <v>Valid</v>
      </c>
      <c r="AM1600" t="str">
        <f t="shared" si="318"/>
        <v>Valid</v>
      </c>
      <c r="AN1600" t="str">
        <f t="shared" si="319"/>
        <v>Valid</v>
      </c>
      <c r="AO1600" t="str">
        <f t="shared" si="320"/>
        <v>Valid</v>
      </c>
      <c r="AP1600" t="str">
        <f t="shared" si="321"/>
        <v>Valid</v>
      </c>
      <c r="AQ1600" t="str">
        <f>IF(Audit_Data[[#This Row],[Z_CostContact]]=3,"Valid","Invalid")</f>
        <v>Valid</v>
      </c>
      <c r="AR1600" t="str">
        <f t="shared" si="322"/>
        <v>Valid</v>
      </c>
      <c r="AS1600" t="str">
        <f t="shared" si="323"/>
        <v>Valid</v>
      </c>
    </row>
    <row r="1601" spans="1:45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 t="str">
        <f t="shared" si="312"/>
        <v>Ok</v>
      </c>
      <c r="AE1601" t="str">
        <f>IF(AND(Audit_Data[[#This Row],[Year_Birth]]&gt;=1900,Audit_Data[[#This Row],[Year_Birth]]&lt;=2010),"OK","Invalid")</f>
        <v>OK</v>
      </c>
      <c r="AF1601" t="str">
        <f t="shared" si="313"/>
        <v>Valid</v>
      </c>
      <c r="AG1601" t="str">
        <f t="shared" si="314"/>
        <v>Valid</v>
      </c>
      <c r="AH1601" t="str">
        <f t="shared" si="315"/>
        <v>Valid</v>
      </c>
      <c r="AI1601" t="str">
        <f t="shared" si="316"/>
        <v>Valid</v>
      </c>
      <c r="AJ1601" t="str">
        <f t="shared" si="317"/>
        <v>Valid</v>
      </c>
      <c r="AK1601" t="str">
        <f t="shared" si="324"/>
        <v xml:space="preserve">Valid </v>
      </c>
      <c r="AL1601" t="str">
        <f>IF(AND(Audit_Data[[#This Row],[Recency]]&gt;=0,Audit_Data[[#This Row],[Recency]]&lt;=100),"Valid","Invalid")</f>
        <v>Valid</v>
      </c>
      <c r="AM1601" t="str">
        <f t="shared" si="318"/>
        <v>Valid</v>
      </c>
      <c r="AN1601" t="str">
        <f t="shared" si="319"/>
        <v>Valid</v>
      </c>
      <c r="AO1601" t="str">
        <f t="shared" si="320"/>
        <v>Valid</v>
      </c>
      <c r="AP1601" t="str">
        <f t="shared" si="321"/>
        <v>Valid</v>
      </c>
      <c r="AQ1601" t="str">
        <f>IF(Audit_Data[[#This Row],[Z_CostContact]]=3,"Valid","Invalid")</f>
        <v>Valid</v>
      </c>
      <c r="AR1601" t="str">
        <f t="shared" si="322"/>
        <v>Valid</v>
      </c>
      <c r="AS1601" t="str">
        <f t="shared" si="323"/>
        <v>Valid</v>
      </c>
    </row>
    <row r="1602" spans="1:45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 t="str">
        <f t="shared" ref="AD1602:AD1665" si="325">IF(COUNTIF(A:A,A1602)&gt;1,"Duplicate","Ok")</f>
        <v>Ok</v>
      </c>
      <c r="AE1602" t="str">
        <f>IF(AND(Audit_Data[[#This Row],[Year_Birth]]&gt;=1900,Audit_Data[[#This Row],[Year_Birth]]&lt;=2010),"OK","Invalid")</f>
        <v>OK</v>
      </c>
      <c r="AF1602" t="str">
        <f t="shared" ref="AF1602:AF1665" si="326">IF(OR(C1602="Graduation",C1602="phD",C1602="Master",C1602="Basic",C1602="2n Cycle"),"Valid","Invalid")</f>
        <v>Valid</v>
      </c>
      <c r="AG1602" t="str">
        <f t="shared" ref="AG1602:AG1665" si="327">IF(OR(D1602="Single",D1602="Married",D1602="Divorced",D1602="Together",D1602="Widow",D1602="Alone"),"Valid","Invalid")</f>
        <v>Valid</v>
      </c>
      <c r="AH1602" t="str">
        <f t="shared" ref="AH1602:AH1665" si="328">IF(AND(ISNUMBER(E1602),E1602&lt;&gt;""),"Valid","Invalid")</f>
        <v>Valid</v>
      </c>
      <c r="AI1602" t="str">
        <f t="shared" ref="AI1602:AI1665" si="329">IF(AND(F1602&gt;=0,F1602&lt;=2),"Valid","Invalid")</f>
        <v>Valid</v>
      </c>
      <c r="AJ1602" t="str">
        <f t="shared" ref="AJ1602:AJ1665" si="330">IF(AND(G1602&gt;=0,G1602&lt;=2),"Valid","Invalid")</f>
        <v>Valid</v>
      </c>
      <c r="AK1602" t="str">
        <f t="shared" si="324"/>
        <v xml:space="preserve">Valid </v>
      </c>
      <c r="AL1602" t="str">
        <f>IF(AND(Audit_Data[[#This Row],[Recency]]&gt;=0,Audit_Data[[#This Row],[Recency]]&lt;=100),"Valid","Invalid")</f>
        <v>Valid</v>
      </c>
      <c r="AM1602" t="str">
        <f t="shared" ref="AM1602:AM1665" si="331">IF(AND(ISNUMBER(J1602),J1602&gt;=0,ISNUMBER(K1602),K1602&gt;=0,ISNUMBER(L1602),L1602&gt;=0,ISNUMBER(M1602),M1602&gt;=0,ISNUMBER(N1602),N1602&gt;=0,ISNUMBER(O1602),O1602&gt;=0),"Valid","Invalid")</f>
        <v>Valid</v>
      </c>
      <c r="AN1602" t="str">
        <f t="shared" ref="AN1602:AN1665" si="332">IF(AND(ISNUMBER(P1602),P1602&gt;=0,ISNUMBER(Q1602),Q1602&gt;=0,ISNUMBER(R1602),R1602&gt;=0,ISNUMBER(S1602),S1602&gt;=0,ISNUMBER(T1602),T1602&gt;=0),"Valid","Invalid")</f>
        <v>Valid</v>
      </c>
      <c r="AO1602" t="str">
        <f t="shared" ref="AO1602:AO1665" si="333">IF(AND(U1602&lt;=1,V1602&lt;=1,W1602&lt;=1,X1602&lt;=1,Y1602&lt;=1),"Valid","Invalid")</f>
        <v>Valid</v>
      </c>
      <c r="AP1602" t="str">
        <f t="shared" ref="AP1602:AP1665" si="334">IF(OR(Z1602=0,Z1602=1),"Valid","Invalid")</f>
        <v>Valid</v>
      </c>
      <c r="AQ1602" t="str">
        <f>IF(Audit_Data[[#This Row],[Z_CostContact]]=3,"Valid","Invalid")</f>
        <v>Valid</v>
      </c>
      <c r="AR1602" t="str">
        <f t="shared" ref="AR1602:AR1665" si="335">IF(AB1602=11,"Valid","Invalid")</f>
        <v>Valid</v>
      </c>
      <c r="AS1602" t="str">
        <f t="shared" ref="AS1602:AS1665" si="336">IF(OR(AC1602=0,AC1602=1),"Valid","Invalid")</f>
        <v>Valid</v>
      </c>
    </row>
    <row r="1603" spans="1:45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 t="str">
        <f t="shared" si="325"/>
        <v>Ok</v>
      </c>
      <c r="AE1603" t="str">
        <f>IF(AND(Audit_Data[[#This Row],[Year_Birth]]&gt;=1900,Audit_Data[[#This Row],[Year_Birth]]&lt;=2010),"OK","Invalid")</f>
        <v>OK</v>
      </c>
      <c r="AF1603" t="str">
        <f t="shared" si="326"/>
        <v>Valid</v>
      </c>
      <c r="AG1603" t="str">
        <f t="shared" si="327"/>
        <v>Valid</v>
      </c>
      <c r="AH1603" t="str">
        <f t="shared" si="328"/>
        <v>Valid</v>
      </c>
      <c r="AI1603" t="str">
        <f t="shared" si="329"/>
        <v>Valid</v>
      </c>
      <c r="AJ1603" t="str">
        <f t="shared" si="330"/>
        <v>Valid</v>
      </c>
      <c r="AK1603" t="str">
        <f t="shared" ref="AK1603:AK1666" si="337">IF(AND(ISNUMBER(H1603),H1603&gt;=DATE(2012,1,1),H1603&lt;=DATE(2014,12,31)),"Valid ","Invalid")</f>
        <v xml:space="preserve">Valid </v>
      </c>
      <c r="AL1603" t="str">
        <f>IF(AND(Audit_Data[[#This Row],[Recency]]&gt;=0,Audit_Data[[#This Row],[Recency]]&lt;=100),"Valid","Invalid")</f>
        <v>Valid</v>
      </c>
      <c r="AM1603" t="str">
        <f t="shared" si="331"/>
        <v>Valid</v>
      </c>
      <c r="AN1603" t="str">
        <f t="shared" si="332"/>
        <v>Valid</v>
      </c>
      <c r="AO1603" t="str">
        <f t="shared" si="333"/>
        <v>Valid</v>
      </c>
      <c r="AP1603" t="str">
        <f t="shared" si="334"/>
        <v>Valid</v>
      </c>
      <c r="AQ1603" t="str">
        <f>IF(Audit_Data[[#This Row],[Z_CostContact]]=3,"Valid","Invalid")</f>
        <v>Valid</v>
      </c>
      <c r="AR1603" t="str">
        <f t="shared" si="335"/>
        <v>Valid</v>
      </c>
      <c r="AS1603" t="str">
        <f t="shared" si="336"/>
        <v>Valid</v>
      </c>
    </row>
    <row r="1604" spans="1:45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 t="str">
        <f t="shared" si="325"/>
        <v>Ok</v>
      </c>
      <c r="AE1604" t="str">
        <f>IF(AND(Audit_Data[[#This Row],[Year_Birth]]&gt;=1900,Audit_Data[[#This Row],[Year_Birth]]&lt;=2010),"OK","Invalid")</f>
        <v>OK</v>
      </c>
      <c r="AF1604" t="str">
        <f t="shared" si="326"/>
        <v>Valid</v>
      </c>
      <c r="AG1604" t="str">
        <f t="shared" si="327"/>
        <v>Valid</v>
      </c>
      <c r="AH1604" t="str">
        <f t="shared" si="328"/>
        <v>Valid</v>
      </c>
      <c r="AI1604" t="str">
        <f t="shared" si="329"/>
        <v>Valid</v>
      </c>
      <c r="AJ1604" t="str">
        <f t="shared" si="330"/>
        <v>Valid</v>
      </c>
      <c r="AK1604" t="str">
        <f t="shared" si="337"/>
        <v xml:space="preserve">Valid </v>
      </c>
      <c r="AL1604" t="str">
        <f>IF(AND(Audit_Data[[#This Row],[Recency]]&gt;=0,Audit_Data[[#This Row],[Recency]]&lt;=100),"Valid","Invalid")</f>
        <v>Valid</v>
      </c>
      <c r="AM1604" t="str">
        <f t="shared" si="331"/>
        <v>Valid</v>
      </c>
      <c r="AN1604" t="str">
        <f t="shared" si="332"/>
        <v>Valid</v>
      </c>
      <c r="AO1604" t="str">
        <f t="shared" si="333"/>
        <v>Valid</v>
      </c>
      <c r="AP1604" t="str">
        <f t="shared" si="334"/>
        <v>Valid</v>
      </c>
      <c r="AQ1604" t="str">
        <f>IF(Audit_Data[[#This Row],[Z_CostContact]]=3,"Valid","Invalid")</f>
        <v>Valid</v>
      </c>
      <c r="AR1604" t="str">
        <f t="shared" si="335"/>
        <v>Valid</v>
      </c>
      <c r="AS1604" t="str">
        <f t="shared" si="336"/>
        <v>Valid</v>
      </c>
    </row>
    <row r="1605" spans="1:45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 t="str">
        <f t="shared" si="325"/>
        <v>Ok</v>
      </c>
      <c r="AE1605" t="str">
        <f>IF(AND(Audit_Data[[#This Row],[Year_Birth]]&gt;=1900,Audit_Data[[#This Row],[Year_Birth]]&lt;=2010),"OK","Invalid")</f>
        <v>OK</v>
      </c>
      <c r="AF1605" t="str">
        <f t="shared" si="326"/>
        <v>Valid</v>
      </c>
      <c r="AG1605" t="str">
        <f t="shared" si="327"/>
        <v>Valid</v>
      </c>
      <c r="AH1605" t="str">
        <f t="shared" si="328"/>
        <v>Valid</v>
      </c>
      <c r="AI1605" t="str">
        <f t="shared" si="329"/>
        <v>Valid</v>
      </c>
      <c r="AJ1605" t="str">
        <f t="shared" si="330"/>
        <v>Valid</v>
      </c>
      <c r="AK1605" t="str">
        <f t="shared" si="337"/>
        <v xml:space="preserve">Valid </v>
      </c>
      <c r="AL1605" t="str">
        <f>IF(AND(Audit_Data[[#This Row],[Recency]]&gt;=0,Audit_Data[[#This Row],[Recency]]&lt;=100),"Valid","Invalid")</f>
        <v>Valid</v>
      </c>
      <c r="AM1605" t="str">
        <f t="shared" si="331"/>
        <v>Valid</v>
      </c>
      <c r="AN1605" t="str">
        <f t="shared" si="332"/>
        <v>Valid</v>
      </c>
      <c r="AO1605" t="str">
        <f t="shared" si="333"/>
        <v>Valid</v>
      </c>
      <c r="AP1605" t="str">
        <f t="shared" si="334"/>
        <v>Valid</v>
      </c>
      <c r="AQ1605" t="str">
        <f>IF(Audit_Data[[#This Row],[Z_CostContact]]=3,"Valid","Invalid")</f>
        <v>Valid</v>
      </c>
      <c r="AR1605" t="str">
        <f t="shared" si="335"/>
        <v>Valid</v>
      </c>
      <c r="AS1605" t="str">
        <f t="shared" si="336"/>
        <v>Valid</v>
      </c>
    </row>
    <row r="1606" spans="1:45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 t="str">
        <f t="shared" si="325"/>
        <v>Ok</v>
      </c>
      <c r="AE1606" t="str">
        <f>IF(AND(Audit_Data[[#This Row],[Year_Birth]]&gt;=1900,Audit_Data[[#This Row],[Year_Birth]]&lt;=2010),"OK","Invalid")</f>
        <v>OK</v>
      </c>
      <c r="AF1606" t="str">
        <f t="shared" si="326"/>
        <v>Valid</v>
      </c>
      <c r="AG1606" t="str">
        <f t="shared" si="327"/>
        <v>Valid</v>
      </c>
      <c r="AH1606" t="str">
        <f t="shared" si="328"/>
        <v>Valid</v>
      </c>
      <c r="AI1606" t="str">
        <f t="shared" si="329"/>
        <v>Valid</v>
      </c>
      <c r="AJ1606" t="str">
        <f t="shared" si="330"/>
        <v>Valid</v>
      </c>
      <c r="AK1606" t="str">
        <f t="shared" si="337"/>
        <v xml:space="preserve">Valid </v>
      </c>
      <c r="AL1606" t="str">
        <f>IF(AND(Audit_Data[[#This Row],[Recency]]&gt;=0,Audit_Data[[#This Row],[Recency]]&lt;=100),"Valid","Invalid")</f>
        <v>Valid</v>
      </c>
      <c r="AM1606" t="str">
        <f t="shared" si="331"/>
        <v>Valid</v>
      </c>
      <c r="AN1606" t="str">
        <f t="shared" si="332"/>
        <v>Valid</v>
      </c>
      <c r="AO1606" t="str">
        <f t="shared" si="333"/>
        <v>Valid</v>
      </c>
      <c r="AP1606" t="str">
        <f t="shared" si="334"/>
        <v>Valid</v>
      </c>
      <c r="AQ1606" t="str">
        <f>IF(Audit_Data[[#This Row],[Z_CostContact]]=3,"Valid","Invalid")</f>
        <v>Valid</v>
      </c>
      <c r="AR1606" t="str">
        <f t="shared" si="335"/>
        <v>Valid</v>
      </c>
      <c r="AS1606" t="str">
        <f t="shared" si="336"/>
        <v>Valid</v>
      </c>
    </row>
    <row r="1607" spans="1:45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 t="str">
        <f t="shared" si="325"/>
        <v>Ok</v>
      </c>
      <c r="AE1607" t="str">
        <f>IF(AND(Audit_Data[[#This Row],[Year_Birth]]&gt;=1900,Audit_Data[[#This Row],[Year_Birth]]&lt;=2010),"OK","Invalid")</f>
        <v>OK</v>
      </c>
      <c r="AF1607" t="str">
        <f t="shared" si="326"/>
        <v>Valid</v>
      </c>
      <c r="AG1607" t="str">
        <f t="shared" si="327"/>
        <v>Valid</v>
      </c>
      <c r="AH1607" t="str">
        <f t="shared" si="328"/>
        <v>Valid</v>
      </c>
      <c r="AI1607" t="str">
        <f t="shared" si="329"/>
        <v>Valid</v>
      </c>
      <c r="AJ1607" t="str">
        <f t="shared" si="330"/>
        <v>Valid</v>
      </c>
      <c r="AK1607" t="str">
        <f t="shared" si="337"/>
        <v xml:space="preserve">Valid </v>
      </c>
      <c r="AL1607" t="str">
        <f>IF(AND(Audit_Data[[#This Row],[Recency]]&gt;=0,Audit_Data[[#This Row],[Recency]]&lt;=100),"Valid","Invalid")</f>
        <v>Valid</v>
      </c>
      <c r="AM1607" t="str">
        <f t="shared" si="331"/>
        <v>Valid</v>
      </c>
      <c r="AN1607" t="str">
        <f t="shared" si="332"/>
        <v>Valid</v>
      </c>
      <c r="AO1607" t="str">
        <f t="shared" si="333"/>
        <v>Valid</v>
      </c>
      <c r="AP1607" t="str">
        <f t="shared" si="334"/>
        <v>Valid</v>
      </c>
      <c r="AQ1607" t="str">
        <f>IF(Audit_Data[[#This Row],[Z_CostContact]]=3,"Valid","Invalid")</f>
        <v>Valid</v>
      </c>
      <c r="AR1607" t="str">
        <f t="shared" si="335"/>
        <v>Valid</v>
      </c>
      <c r="AS1607" t="str">
        <f t="shared" si="336"/>
        <v>Valid</v>
      </c>
    </row>
    <row r="1608" spans="1:45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 t="str">
        <f t="shared" si="325"/>
        <v>Ok</v>
      </c>
      <c r="AE1608" t="str">
        <f>IF(AND(Audit_Data[[#This Row],[Year_Birth]]&gt;=1900,Audit_Data[[#This Row],[Year_Birth]]&lt;=2010),"OK","Invalid")</f>
        <v>OK</v>
      </c>
      <c r="AF1608" t="str">
        <f t="shared" si="326"/>
        <v>Valid</v>
      </c>
      <c r="AG1608" t="str">
        <f t="shared" si="327"/>
        <v>Valid</v>
      </c>
      <c r="AH1608" t="str">
        <f t="shared" si="328"/>
        <v>Valid</v>
      </c>
      <c r="AI1608" t="str">
        <f t="shared" si="329"/>
        <v>Valid</v>
      </c>
      <c r="AJ1608" t="str">
        <f t="shared" si="330"/>
        <v>Valid</v>
      </c>
      <c r="AK1608" t="str">
        <f t="shared" si="337"/>
        <v xml:space="preserve">Valid </v>
      </c>
      <c r="AL1608" t="str">
        <f>IF(AND(Audit_Data[[#This Row],[Recency]]&gt;=0,Audit_Data[[#This Row],[Recency]]&lt;=100),"Valid","Invalid")</f>
        <v>Valid</v>
      </c>
      <c r="AM1608" t="str">
        <f t="shared" si="331"/>
        <v>Valid</v>
      </c>
      <c r="AN1608" t="str">
        <f t="shared" si="332"/>
        <v>Valid</v>
      </c>
      <c r="AO1608" t="str">
        <f t="shared" si="333"/>
        <v>Valid</v>
      </c>
      <c r="AP1608" t="str">
        <f t="shared" si="334"/>
        <v>Valid</v>
      </c>
      <c r="AQ1608" t="str">
        <f>IF(Audit_Data[[#This Row],[Z_CostContact]]=3,"Valid","Invalid")</f>
        <v>Valid</v>
      </c>
      <c r="AR1608" t="str">
        <f t="shared" si="335"/>
        <v>Valid</v>
      </c>
      <c r="AS1608" t="str">
        <f t="shared" si="336"/>
        <v>Valid</v>
      </c>
    </row>
    <row r="1609" spans="1:45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 t="str">
        <f t="shared" si="325"/>
        <v>Ok</v>
      </c>
      <c r="AE1609" t="str">
        <f>IF(AND(Audit_Data[[#This Row],[Year_Birth]]&gt;=1900,Audit_Data[[#This Row],[Year_Birth]]&lt;=2010),"OK","Invalid")</f>
        <v>OK</v>
      </c>
      <c r="AF1609" t="str">
        <f t="shared" si="326"/>
        <v>Valid</v>
      </c>
      <c r="AG1609" t="str">
        <f t="shared" si="327"/>
        <v>Valid</v>
      </c>
      <c r="AH1609" t="str">
        <f t="shared" si="328"/>
        <v>Valid</v>
      </c>
      <c r="AI1609" t="str">
        <f t="shared" si="329"/>
        <v>Valid</v>
      </c>
      <c r="AJ1609" t="str">
        <f t="shared" si="330"/>
        <v>Valid</v>
      </c>
      <c r="AK1609" t="str">
        <f t="shared" si="337"/>
        <v xml:space="preserve">Valid </v>
      </c>
      <c r="AL1609" t="str">
        <f>IF(AND(Audit_Data[[#This Row],[Recency]]&gt;=0,Audit_Data[[#This Row],[Recency]]&lt;=100),"Valid","Invalid")</f>
        <v>Valid</v>
      </c>
      <c r="AM1609" t="str">
        <f t="shared" si="331"/>
        <v>Valid</v>
      </c>
      <c r="AN1609" t="str">
        <f t="shared" si="332"/>
        <v>Valid</v>
      </c>
      <c r="AO1609" t="str">
        <f t="shared" si="333"/>
        <v>Valid</v>
      </c>
      <c r="AP1609" t="str">
        <f t="shared" si="334"/>
        <v>Valid</v>
      </c>
      <c r="AQ1609" t="str">
        <f>IF(Audit_Data[[#This Row],[Z_CostContact]]=3,"Valid","Invalid")</f>
        <v>Valid</v>
      </c>
      <c r="AR1609" t="str">
        <f t="shared" si="335"/>
        <v>Valid</v>
      </c>
      <c r="AS1609" t="str">
        <f t="shared" si="336"/>
        <v>Valid</v>
      </c>
    </row>
    <row r="1610" spans="1:45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 t="str">
        <f t="shared" si="325"/>
        <v>Ok</v>
      </c>
      <c r="AE1610" t="str">
        <f>IF(AND(Audit_Data[[#This Row],[Year_Birth]]&gt;=1900,Audit_Data[[#This Row],[Year_Birth]]&lt;=2010),"OK","Invalid")</f>
        <v>OK</v>
      </c>
      <c r="AF1610" t="str">
        <f t="shared" si="326"/>
        <v>Valid</v>
      </c>
      <c r="AG1610" t="str">
        <f t="shared" si="327"/>
        <v>Valid</v>
      </c>
      <c r="AH1610" t="str">
        <f t="shared" si="328"/>
        <v>Valid</v>
      </c>
      <c r="AI1610" t="str">
        <f t="shared" si="329"/>
        <v>Valid</v>
      </c>
      <c r="AJ1610" t="str">
        <f t="shared" si="330"/>
        <v>Valid</v>
      </c>
      <c r="AK1610" t="str">
        <f t="shared" si="337"/>
        <v xml:space="preserve">Valid </v>
      </c>
      <c r="AL1610" t="str">
        <f>IF(AND(Audit_Data[[#This Row],[Recency]]&gt;=0,Audit_Data[[#This Row],[Recency]]&lt;=100),"Valid","Invalid")</f>
        <v>Valid</v>
      </c>
      <c r="AM1610" t="str">
        <f t="shared" si="331"/>
        <v>Valid</v>
      </c>
      <c r="AN1610" t="str">
        <f t="shared" si="332"/>
        <v>Valid</v>
      </c>
      <c r="AO1610" t="str">
        <f t="shared" si="333"/>
        <v>Valid</v>
      </c>
      <c r="AP1610" t="str">
        <f t="shared" si="334"/>
        <v>Valid</v>
      </c>
      <c r="AQ1610" t="str">
        <f>IF(Audit_Data[[#This Row],[Z_CostContact]]=3,"Valid","Invalid")</f>
        <v>Valid</v>
      </c>
      <c r="AR1610" t="str">
        <f t="shared" si="335"/>
        <v>Valid</v>
      </c>
      <c r="AS1610" t="str">
        <f t="shared" si="336"/>
        <v>Valid</v>
      </c>
    </row>
    <row r="1611" spans="1:45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 t="str">
        <f t="shared" si="325"/>
        <v>Ok</v>
      </c>
      <c r="AE1611" t="str">
        <f>IF(AND(Audit_Data[[#This Row],[Year_Birth]]&gt;=1900,Audit_Data[[#This Row],[Year_Birth]]&lt;=2010),"OK","Invalid")</f>
        <v>OK</v>
      </c>
      <c r="AF1611" t="str">
        <f t="shared" si="326"/>
        <v>Valid</v>
      </c>
      <c r="AG1611" t="str">
        <f t="shared" si="327"/>
        <v>Valid</v>
      </c>
      <c r="AH1611" t="str">
        <f t="shared" si="328"/>
        <v>Valid</v>
      </c>
      <c r="AI1611" t="str">
        <f t="shared" si="329"/>
        <v>Valid</v>
      </c>
      <c r="AJ1611" t="str">
        <f t="shared" si="330"/>
        <v>Valid</v>
      </c>
      <c r="AK1611" t="str">
        <f t="shared" si="337"/>
        <v xml:space="preserve">Valid </v>
      </c>
      <c r="AL1611" t="str">
        <f>IF(AND(Audit_Data[[#This Row],[Recency]]&gt;=0,Audit_Data[[#This Row],[Recency]]&lt;=100),"Valid","Invalid")</f>
        <v>Valid</v>
      </c>
      <c r="AM1611" t="str">
        <f t="shared" si="331"/>
        <v>Valid</v>
      </c>
      <c r="AN1611" t="str">
        <f t="shared" si="332"/>
        <v>Valid</v>
      </c>
      <c r="AO1611" t="str">
        <f t="shared" si="333"/>
        <v>Valid</v>
      </c>
      <c r="AP1611" t="str">
        <f t="shared" si="334"/>
        <v>Valid</v>
      </c>
      <c r="AQ1611" t="str">
        <f>IF(Audit_Data[[#This Row],[Z_CostContact]]=3,"Valid","Invalid")</f>
        <v>Valid</v>
      </c>
      <c r="AR1611" t="str">
        <f t="shared" si="335"/>
        <v>Valid</v>
      </c>
      <c r="AS1611" t="str">
        <f t="shared" si="336"/>
        <v>Valid</v>
      </c>
    </row>
    <row r="1612" spans="1:45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 t="str">
        <f t="shared" si="325"/>
        <v>Ok</v>
      </c>
      <c r="AE1612" t="str">
        <f>IF(AND(Audit_Data[[#This Row],[Year_Birth]]&gt;=1900,Audit_Data[[#This Row],[Year_Birth]]&lt;=2010),"OK","Invalid")</f>
        <v>OK</v>
      </c>
      <c r="AF1612" t="str">
        <f t="shared" si="326"/>
        <v>Valid</v>
      </c>
      <c r="AG1612" t="str">
        <f t="shared" si="327"/>
        <v>Valid</v>
      </c>
      <c r="AH1612" t="str">
        <f t="shared" si="328"/>
        <v>Valid</v>
      </c>
      <c r="AI1612" t="str">
        <f t="shared" si="329"/>
        <v>Valid</v>
      </c>
      <c r="AJ1612" t="str">
        <f t="shared" si="330"/>
        <v>Valid</v>
      </c>
      <c r="AK1612" t="str">
        <f t="shared" si="337"/>
        <v xml:space="preserve">Valid </v>
      </c>
      <c r="AL1612" t="str">
        <f>IF(AND(Audit_Data[[#This Row],[Recency]]&gt;=0,Audit_Data[[#This Row],[Recency]]&lt;=100),"Valid","Invalid")</f>
        <v>Valid</v>
      </c>
      <c r="AM1612" t="str">
        <f t="shared" si="331"/>
        <v>Valid</v>
      </c>
      <c r="AN1612" t="str">
        <f t="shared" si="332"/>
        <v>Valid</v>
      </c>
      <c r="AO1612" t="str">
        <f t="shared" si="333"/>
        <v>Valid</v>
      </c>
      <c r="AP1612" t="str">
        <f t="shared" si="334"/>
        <v>Valid</v>
      </c>
      <c r="AQ1612" t="str">
        <f>IF(Audit_Data[[#This Row],[Z_CostContact]]=3,"Valid","Invalid")</f>
        <v>Valid</v>
      </c>
      <c r="AR1612" t="str">
        <f t="shared" si="335"/>
        <v>Valid</v>
      </c>
      <c r="AS1612" t="str">
        <f t="shared" si="336"/>
        <v>Valid</v>
      </c>
    </row>
    <row r="1613" spans="1:45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 t="str">
        <f t="shared" si="325"/>
        <v>Ok</v>
      </c>
      <c r="AE1613" t="str">
        <f>IF(AND(Audit_Data[[#This Row],[Year_Birth]]&gt;=1900,Audit_Data[[#This Row],[Year_Birth]]&lt;=2010),"OK","Invalid")</f>
        <v>OK</v>
      </c>
      <c r="AF1613" t="str">
        <f t="shared" si="326"/>
        <v>Valid</v>
      </c>
      <c r="AG1613" t="str">
        <f t="shared" si="327"/>
        <v>Valid</v>
      </c>
      <c r="AH1613" t="str">
        <f t="shared" si="328"/>
        <v>Valid</v>
      </c>
      <c r="AI1613" t="str">
        <f t="shared" si="329"/>
        <v>Valid</v>
      </c>
      <c r="AJ1613" t="str">
        <f t="shared" si="330"/>
        <v>Valid</v>
      </c>
      <c r="AK1613" t="str">
        <f t="shared" si="337"/>
        <v xml:space="preserve">Valid </v>
      </c>
      <c r="AL1613" t="str">
        <f>IF(AND(Audit_Data[[#This Row],[Recency]]&gt;=0,Audit_Data[[#This Row],[Recency]]&lt;=100),"Valid","Invalid")</f>
        <v>Valid</v>
      </c>
      <c r="AM1613" t="str">
        <f t="shared" si="331"/>
        <v>Valid</v>
      </c>
      <c r="AN1613" t="str">
        <f t="shared" si="332"/>
        <v>Valid</v>
      </c>
      <c r="AO1613" t="str">
        <f t="shared" si="333"/>
        <v>Valid</v>
      </c>
      <c r="AP1613" t="str">
        <f t="shared" si="334"/>
        <v>Valid</v>
      </c>
      <c r="AQ1613" t="str">
        <f>IF(Audit_Data[[#This Row],[Z_CostContact]]=3,"Valid","Invalid")</f>
        <v>Valid</v>
      </c>
      <c r="AR1613" t="str">
        <f t="shared" si="335"/>
        <v>Valid</v>
      </c>
      <c r="AS1613" t="str">
        <f t="shared" si="336"/>
        <v>Valid</v>
      </c>
    </row>
    <row r="1614" spans="1:45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 t="str">
        <f t="shared" si="325"/>
        <v>Ok</v>
      </c>
      <c r="AE1614" t="str">
        <f>IF(AND(Audit_Data[[#This Row],[Year_Birth]]&gt;=1900,Audit_Data[[#This Row],[Year_Birth]]&lt;=2010),"OK","Invalid")</f>
        <v>OK</v>
      </c>
      <c r="AF1614" t="str">
        <f t="shared" si="326"/>
        <v>Valid</v>
      </c>
      <c r="AG1614" t="str">
        <f t="shared" si="327"/>
        <v>Valid</v>
      </c>
      <c r="AH1614" t="str">
        <f t="shared" si="328"/>
        <v>Valid</v>
      </c>
      <c r="AI1614" t="str">
        <f t="shared" si="329"/>
        <v>Valid</v>
      </c>
      <c r="AJ1614" t="str">
        <f t="shared" si="330"/>
        <v>Valid</v>
      </c>
      <c r="AK1614" t="str">
        <f t="shared" si="337"/>
        <v xml:space="preserve">Valid </v>
      </c>
      <c r="AL1614" t="str">
        <f>IF(AND(Audit_Data[[#This Row],[Recency]]&gt;=0,Audit_Data[[#This Row],[Recency]]&lt;=100),"Valid","Invalid")</f>
        <v>Valid</v>
      </c>
      <c r="AM1614" t="str">
        <f t="shared" si="331"/>
        <v>Valid</v>
      </c>
      <c r="AN1614" t="str">
        <f t="shared" si="332"/>
        <v>Valid</v>
      </c>
      <c r="AO1614" t="str">
        <f t="shared" si="333"/>
        <v>Valid</v>
      </c>
      <c r="AP1614" t="str">
        <f t="shared" si="334"/>
        <v>Valid</v>
      </c>
      <c r="AQ1614" t="str">
        <f>IF(Audit_Data[[#This Row],[Z_CostContact]]=3,"Valid","Invalid")</f>
        <v>Valid</v>
      </c>
      <c r="AR1614" t="str">
        <f t="shared" si="335"/>
        <v>Valid</v>
      </c>
      <c r="AS1614" t="str">
        <f t="shared" si="336"/>
        <v>Valid</v>
      </c>
    </row>
    <row r="1615" spans="1:45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 t="str">
        <f t="shared" si="325"/>
        <v>Ok</v>
      </c>
      <c r="AE1615" t="str">
        <f>IF(AND(Audit_Data[[#This Row],[Year_Birth]]&gt;=1900,Audit_Data[[#This Row],[Year_Birth]]&lt;=2010),"OK","Invalid")</f>
        <v>OK</v>
      </c>
      <c r="AF1615" t="str">
        <f t="shared" si="326"/>
        <v>Valid</v>
      </c>
      <c r="AG1615" t="str">
        <f t="shared" si="327"/>
        <v>Valid</v>
      </c>
      <c r="AH1615" t="str">
        <f t="shared" si="328"/>
        <v>Valid</v>
      </c>
      <c r="AI1615" t="str">
        <f t="shared" si="329"/>
        <v>Valid</v>
      </c>
      <c r="AJ1615" t="str">
        <f t="shared" si="330"/>
        <v>Valid</v>
      </c>
      <c r="AK1615" t="str">
        <f t="shared" si="337"/>
        <v xml:space="preserve">Valid </v>
      </c>
      <c r="AL1615" t="str">
        <f>IF(AND(Audit_Data[[#This Row],[Recency]]&gt;=0,Audit_Data[[#This Row],[Recency]]&lt;=100),"Valid","Invalid")</f>
        <v>Valid</v>
      </c>
      <c r="AM1615" t="str">
        <f t="shared" si="331"/>
        <v>Valid</v>
      </c>
      <c r="AN1615" t="str">
        <f t="shared" si="332"/>
        <v>Valid</v>
      </c>
      <c r="AO1615" t="str">
        <f t="shared" si="333"/>
        <v>Valid</v>
      </c>
      <c r="AP1615" t="str">
        <f t="shared" si="334"/>
        <v>Valid</v>
      </c>
      <c r="AQ1615" t="str">
        <f>IF(Audit_Data[[#This Row],[Z_CostContact]]=3,"Valid","Invalid")</f>
        <v>Valid</v>
      </c>
      <c r="AR1615" t="str">
        <f t="shared" si="335"/>
        <v>Valid</v>
      </c>
      <c r="AS1615" t="str">
        <f t="shared" si="336"/>
        <v>Valid</v>
      </c>
    </row>
    <row r="1616" spans="1:45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 t="str">
        <f t="shared" si="325"/>
        <v>Ok</v>
      </c>
      <c r="AE1616" t="str">
        <f>IF(AND(Audit_Data[[#This Row],[Year_Birth]]&gt;=1900,Audit_Data[[#This Row],[Year_Birth]]&lt;=2010),"OK","Invalid")</f>
        <v>OK</v>
      </c>
      <c r="AF1616" t="str">
        <f t="shared" si="326"/>
        <v>Valid</v>
      </c>
      <c r="AG1616" t="str">
        <f t="shared" si="327"/>
        <v>Valid</v>
      </c>
      <c r="AH1616" t="str">
        <f t="shared" si="328"/>
        <v>Valid</v>
      </c>
      <c r="AI1616" t="str">
        <f t="shared" si="329"/>
        <v>Valid</v>
      </c>
      <c r="AJ1616" t="str">
        <f t="shared" si="330"/>
        <v>Valid</v>
      </c>
      <c r="AK1616" t="str">
        <f t="shared" si="337"/>
        <v xml:space="preserve">Valid </v>
      </c>
      <c r="AL1616" t="str">
        <f>IF(AND(Audit_Data[[#This Row],[Recency]]&gt;=0,Audit_Data[[#This Row],[Recency]]&lt;=100),"Valid","Invalid")</f>
        <v>Valid</v>
      </c>
      <c r="AM1616" t="str">
        <f t="shared" si="331"/>
        <v>Valid</v>
      </c>
      <c r="AN1616" t="str">
        <f t="shared" si="332"/>
        <v>Valid</v>
      </c>
      <c r="AO1616" t="str">
        <f t="shared" si="333"/>
        <v>Valid</v>
      </c>
      <c r="AP1616" t="str">
        <f t="shared" si="334"/>
        <v>Valid</v>
      </c>
      <c r="AQ1616" t="str">
        <f>IF(Audit_Data[[#This Row],[Z_CostContact]]=3,"Valid","Invalid")</f>
        <v>Valid</v>
      </c>
      <c r="AR1616" t="str">
        <f t="shared" si="335"/>
        <v>Valid</v>
      </c>
      <c r="AS1616" t="str">
        <f t="shared" si="336"/>
        <v>Valid</v>
      </c>
    </row>
    <row r="1617" spans="1:45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 t="str">
        <f t="shared" si="325"/>
        <v>Ok</v>
      </c>
      <c r="AE1617" t="str">
        <f>IF(AND(Audit_Data[[#This Row],[Year_Birth]]&gt;=1900,Audit_Data[[#This Row],[Year_Birth]]&lt;=2010),"OK","Invalid")</f>
        <v>OK</v>
      </c>
      <c r="AF1617" t="str">
        <f t="shared" si="326"/>
        <v>Valid</v>
      </c>
      <c r="AG1617" t="str">
        <f t="shared" si="327"/>
        <v>Valid</v>
      </c>
      <c r="AH1617" t="str">
        <f t="shared" si="328"/>
        <v>Valid</v>
      </c>
      <c r="AI1617" t="str">
        <f t="shared" si="329"/>
        <v>Valid</v>
      </c>
      <c r="AJ1617" t="str">
        <f t="shared" si="330"/>
        <v>Valid</v>
      </c>
      <c r="AK1617" t="str">
        <f t="shared" si="337"/>
        <v xml:space="preserve">Valid </v>
      </c>
      <c r="AL1617" t="str">
        <f>IF(AND(Audit_Data[[#This Row],[Recency]]&gt;=0,Audit_Data[[#This Row],[Recency]]&lt;=100),"Valid","Invalid")</f>
        <v>Valid</v>
      </c>
      <c r="AM1617" t="str">
        <f t="shared" si="331"/>
        <v>Valid</v>
      </c>
      <c r="AN1617" t="str">
        <f t="shared" si="332"/>
        <v>Valid</v>
      </c>
      <c r="AO1617" t="str">
        <f t="shared" si="333"/>
        <v>Valid</v>
      </c>
      <c r="AP1617" t="str">
        <f t="shared" si="334"/>
        <v>Valid</v>
      </c>
      <c r="AQ1617" t="str">
        <f>IF(Audit_Data[[#This Row],[Z_CostContact]]=3,"Valid","Invalid")</f>
        <v>Valid</v>
      </c>
      <c r="AR1617" t="str">
        <f t="shared" si="335"/>
        <v>Valid</v>
      </c>
      <c r="AS1617" t="str">
        <f t="shared" si="336"/>
        <v>Valid</v>
      </c>
    </row>
    <row r="1618" spans="1:45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 t="str">
        <f t="shared" si="325"/>
        <v>Ok</v>
      </c>
      <c r="AE1618" t="str">
        <f>IF(AND(Audit_Data[[#This Row],[Year_Birth]]&gt;=1900,Audit_Data[[#This Row],[Year_Birth]]&lt;=2010),"OK","Invalid")</f>
        <v>OK</v>
      </c>
      <c r="AF1618" t="str">
        <f t="shared" si="326"/>
        <v>Valid</v>
      </c>
      <c r="AG1618" t="str">
        <f t="shared" si="327"/>
        <v>Valid</v>
      </c>
      <c r="AH1618" t="str">
        <f t="shared" si="328"/>
        <v>Valid</v>
      </c>
      <c r="AI1618" t="str">
        <f t="shared" si="329"/>
        <v>Valid</v>
      </c>
      <c r="AJ1618" t="str">
        <f t="shared" si="330"/>
        <v>Valid</v>
      </c>
      <c r="AK1618" t="str">
        <f t="shared" si="337"/>
        <v xml:space="preserve">Valid </v>
      </c>
      <c r="AL1618" t="str">
        <f>IF(AND(Audit_Data[[#This Row],[Recency]]&gt;=0,Audit_Data[[#This Row],[Recency]]&lt;=100),"Valid","Invalid")</f>
        <v>Valid</v>
      </c>
      <c r="AM1618" t="str">
        <f t="shared" si="331"/>
        <v>Valid</v>
      </c>
      <c r="AN1618" t="str">
        <f t="shared" si="332"/>
        <v>Valid</v>
      </c>
      <c r="AO1618" t="str">
        <f t="shared" si="333"/>
        <v>Valid</v>
      </c>
      <c r="AP1618" t="str">
        <f t="shared" si="334"/>
        <v>Valid</v>
      </c>
      <c r="AQ1618" t="str">
        <f>IF(Audit_Data[[#This Row],[Z_CostContact]]=3,"Valid","Invalid")</f>
        <v>Valid</v>
      </c>
      <c r="AR1618" t="str">
        <f t="shared" si="335"/>
        <v>Valid</v>
      </c>
      <c r="AS1618" t="str">
        <f t="shared" si="336"/>
        <v>Valid</v>
      </c>
    </row>
    <row r="1619" spans="1:45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 t="str">
        <f t="shared" si="325"/>
        <v>Ok</v>
      </c>
      <c r="AE1619" t="str">
        <f>IF(AND(Audit_Data[[#This Row],[Year_Birth]]&gt;=1900,Audit_Data[[#This Row],[Year_Birth]]&lt;=2010),"OK","Invalid")</f>
        <v>OK</v>
      </c>
      <c r="AF1619" t="str">
        <f t="shared" si="326"/>
        <v>Valid</v>
      </c>
      <c r="AG1619" t="str">
        <f t="shared" si="327"/>
        <v>Valid</v>
      </c>
      <c r="AH1619" t="str">
        <f t="shared" si="328"/>
        <v>Valid</v>
      </c>
      <c r="AI1619" t="str">
        <f t="shared" si="329"/>
        <v>Valid</v>
      </c>
      <c r="AJ1619" t="str">
        <f t="shared" si="330"/>
        <v>Valid</v>
      </c>
      <c r="AK1619" t="str">
        <f t="shared" si="337"/>
        <v xml:space="preserve">Valid </v>
      </c>
      <c r="AL1619" t="str">
        <f>IF(AND(Audit_Data[[#This Row],[Recency]]&gt;=0,Audit_Data[[#This Row],[Recency]]&lt;=100),"Valid","Invalid")</f>
        <v>Valid</v>
      </c>
      <c r="AM1619" t="str">
        <f t="shared" si="331"/>
        <v>Valid</v>
      </c>
      <c r="AN1619" t="str">
        <f t="shared" si="332"/>
        <v>Valid</v>
      </c>
      <c r="AO1619" t="str">
        <f t="shared" si="333"/>
        <v>Valid</v>
      </c>
      <c r="AP1619" t="str">
        <f t="shared" si="334"/>
        <v>Valid</v>
      </c>
      <c r="AQ1619" t="str">
        <f>IF(Audit_Data[[#This Row],[Z_CostContact]]=3,"Valid","Invalid")</f>
        <v>Valid</v>
      </c>
      <c r="AR1619" t="str">
        <f t="shared" si="335"/>
        <v>Valid</v>
      </c>
      <c r="AS1619" t="str">
        <f t="shared" si="336"/>
        <v>Valid</v>
      </c>
    </row>
    <row r="1620" spans="1:45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 t="str">
        <f t="shared" si="325"/>
        <v>Ok</v>
      </c>
      <c r="AE1620" t="str">
        <f>IF(AND(Audit_Data[[#This Row],[Year_Birth]]&gt;=1900,Audit_Data[[#This Row],[Year_Birth]]&lt;=2010),"OK","Invalid")</f>
        <v>OK</v>
      </c>
      <c r="AF1620" t="str">
        <f t="shared" si="326"/>
        <v>Valid</v>
      </c>
      <c r="AG1620" t="str">
        <f t="shared" si="327"/>
        <v>Valid</v>
      </c>
      <c r="AH1620" t="str">
        <f t="shared" si="328"/>
        <v>Valid</v>
      </c>
      <c r="AI1620" t="str">
        <f t="shared" si="329"/>
        <v>Valid</v>
      </c>
      <c r="AJ1620" t="str">
        <f t="shared" si="330"/>
        <v>Valid</v>
      </c>
      <c r="AK1620" t="str">
        <f t="shared" si="337"/>
        <v xml:space="preserve">Valid </v>
      </c>
      <c r="AL1620" t="str">
        <f>IF(AND(Audit_Data[[#This Row],[Recency]]&gt;=0,Audit_Data[[#This Row],[Recency]]&lt;=100),"Valid","Invalid")</f>
        <v>Valid</v>
      </c>
      <c r="AM1620" t="str">
        <f t="shared" si="331"/>
        <v>Valid</v>
      </c>
      <c r="AN1620" t="str">
        <f t="shared" si="332"/>
        <v>Valid</v>
      </c>
      <c r="AO1620" t="str">
        <f t="shared" si="333"/>
        <v>Valid</v>
      </c>
      <c r="AP1620" t="str">
        <f t="shared" si="334"/>
        <v>Valid</v>
      </c>
      <c r="AQ1620" t="str">
        <f>IF(Audit_Data[[#This Row],[Z_CostContact]]=3,"Valid","Invalid")</f>
        <v>Valid</v>
      </c>
      <c r="AR1620" t="str">
        <f t="shared" si="335"/>
        <v>Valid</v>
      </c>
      <c r="AS1620" t="str">
        <f t="shared" si="336"/>
        <v>Valid</v>
      </c>
    </row>
    <row r="1621" spans="1:45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 t="str">
        <f t="shared" si="325"/>
        <v>Ok</v>
      </c>
      <c r="AE1621" t="str">
        <f>IF(AND(Audit_Data[[#This Row],[Year_Birth]]&gt;=1900,Audit_Data[[#This Row],[Year_Birth]]&lt;=2010),"OK","Invalid")</f>
        <v>OK</v>
      </c>
      <c r="AF1621" t="str">
        <f t="shared" si="326"/>
        <v>Valid</v>
      </c>
      <c r="AG1621" t="str">
        <f t="shared" si="327"/>
        <v>Valid</v>
      </c>
      <c r="AH1621" t="str">
        <f t="shared" si="328"/>
        <v>Valid</v>
      </c>
      <c r="AI1621" t="str">
        <f t="shared" si="329"/>
        <v>Valid</v>
      </c>
      <c r="AJ1621" t="str">
        <f t="shared" si="330"/>
        <v>Valid</v>
      </c>
      <c r="AK1621" t="str">
        <f t="shared" si="337"/>
        <v xml:space="preserve">Valid </v>
      </c>
      <c r="AL1621" t="str">
        <f>IF(AND(Audit_Data[[#This Row],[Recency]]&gt;=0,Audit_Data[[#This Row],[Recency]]&lt;=100),"Valid","Invalid")</f>
        <v>Valid</v>
      </c>
      <c r="AM1621" t="str">
        <f t="shared" si="331"/>
        <v>Valid</v>
      </c>
      <c r="AN1621" t="str">
        <f t="shared" si="332"/>
        <v>Valid</v>
      </c>
      <c r="AO1621" t="str">
        <f t="shared" si="333"/>
        <v>Valid</v>
      </c>
      <c r="AP1621" t="str">
        <f t="shared" si="334"/>
        <v>Valid</v>
      </c>
      <c r="AQ1621" t="str">
        <f>IF(Audit_Data[[#This Row],[Z_CostContact]]=3,"Valid","Invalid")</f>
        <v>Valid</v>
      </c>
      <c r="AR1621" t="str">
        <f t="shared" si="335"/>
        <v>Valid</v>
      </c>
      <c r="AS1621" t="str">
        <f t="shared" si="336"/>
        <v>Valid</v>
      </c>
    </row>
    <row r="1622" spans="1:45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 t="str">
        <f t="shared" si="325"/>
        <v>Ok</v>
      </c>
      <c r="AE1622" t="str">
        <f>IF(AND(Audit_Data[[#This Row],[Year_Birth]]&gt;=1900,Audit_Data[[#This Row],[Year_Birth]]&lt;=2010),"OK","Invalid")</f>
        <v>OK</v>
      </c>
      <c r="AF1622" t="str">
        <f t="shared" si="326"/>
        <v>Valid</v>
      </c>
      <c r="AG1622" t="str">
        <f t="shared" si="327"/>
        <v>Valid</v>
      </c>
      <c r="AH1622" t="str">
        <f t="shared" si="328"/>
        <v>Valid</v>
      </c>
      <c r="AI1622" t="str">
        <f t="shared" si="329"/>
        <v>Valid</v>
      </c>
      <c r="AJ1622" t="str">
        <f t="shared" si="330"/>
        <v>Valid</v>
      </c>
      <c r="AK1622" t="str">
        <f t="shared" si="337"/>
        <v xml:space="preserve">Valid </v>
      </c>
      <c r="AL1622" t="str">
        <f>IF(AND(Audit_Data[[#This Row],[Recency]]&gt;=0,Audit_Data[[#This Row],[Recency]]&lt;=100),"Valid","Invalid")</f>
        <v>Valid</v>
      </c>
      <c r="AM1622" t="str">
        <f t="shared" si="331"/>
        <v>Valid</v>
      </c>
      <c r="AN1622" t="str">
        <f t="shared" si="332"/>
        <v>Valid</v>
      </c>
      <c r="AO1622" t="str">
        <f t="shared" si="333"/>
        <v>Valid</v>
      </c>
      <c r="AP1622" t="str">
        <f t="shared" si="334"/>
        <v>Valid</v>
      </c>
      <c r="AQ1622" t="str">
        <f>IF(Audit_Data[[#This Row],[Z_CostContact]]=3,"Valid","Invalid")</f>
        <v>Valid</v>
      </c>
      <c r="AR1622" t="str">
        <f t="shared" si="335"/>
        <v>Valid</v>
      </c>
      <c r="AS1622" t="str">
        <f t="shared" si="336"/>
        <v>Valid</v>
      </c>
    </row>
    <row r="1623" spans="1:45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 t="str">
        <f t="shared" si="325"/>
        <v>Ok</v>
      </c>
      <c r="AE1623" t="str">
        <f>IF(AND(Audit_Data[[#This Row],[Year_Birth]]&gt;=1900,Audit_Data[[#This Row],[Year_Birth]]&lt;=2010),"OK","Invalid")</f>
        <v>OK</v>
      </c>
      <c r="AF1623" t="str">
        <f t="shared" si="326"/>
        <v>Valid</v>
      </c>
      <c r="AG1623" t="str">
        <f t="shared" si="327"/>
        <v>Valid</v>
      </c>
      <c r="AH1623" t="str">
        <f t="shared" si="328"/>
        <v>Valid</v>
      </c>
      <c r="AI1623" t="str">
        <f t="shared" si="329"/>
        <v>Valid</v>
      </c>
      <c r="AJ1623" t="str">
        <f t="shared" si="330"/>
        <v>Valid</v>
      </c>
      <c r="AK1623" t="str">
        <f t="shared" si="337"/>
        <v xml:space="preserve">Valid </v>
      </c>
      <c r="AL1623" t="str">
        <f>IF(AND(Audit_Data[[#This Row],[Recency]]&gt;=0,Audit_Data[[#This Row],[Recency]]&lt;=100),"Valid","Invalid")</f>
        <v>Valid</v>
      </c>
      <c r="AM1623" t="str">
        <f t="shared" si="331"/>
        <v>Valid</v>
      </c>
      <c r="AN1623" t="str">
        <f t="shared" si="332"/>
        <v>Valid</v>
      </c>
      <c r="AO1623" t="str">
        <f t="shared" si="333"/>
        <v>Valid</v>
      </c>
      <c r="AP1623" t="str">
        <f t="shared" si="334"/>
        <v>Valid</v>
      </c>
      <c r="AQ1623" t="str">
        <f>IF(Audit_Data[[#This Row],[Z_CostContact]]=3,"Valid","Invalid")</f>
        <v>Valid</v>
      </c>
      <c r="AR1623" t="str">
        <f t="shared" si="335"/>
        <v>Valid</v>
      </c>
      <c r="AS1623" t="str">
        <f t="shared" si="336"/>
        <v>Valid</v>
      </c>
    </row>
    <row r="1624" spans="1:45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 t="str">
        <f t="shared" si="325"/>
        <v>Ok</v>
      </c>
      <c r="AE1624" t="str">
        <f>IF(AND(Audit_Data[[#This Row],[Year_Birth]]&gt;=1900,Audit_Data[[#This Row],[Year_Birth]]&lt;=2010),"OK","Invalid")</f>
        <v>OK</v>
      </c>
      <c r="AF1624" t="str">
        <f t="shared" si="326"/>
        <v>Valid</v>
      </c>
      <c r="AG1624" t="str">
        <f t="shared" si="327"/>
        <v>Valid</v>
      </c>
      <c r="AH1624" t="str">
        <f t="shared" si="328"/>
        <v>Valid</v>
      </c>
      <c r="AI1624" t="str">
        <f t="shared" si="329"/>
        <v>Valid</v>
      </c>
      <c r="AJ1624" t="str">
        <f t="shared" si="330"/>
        <v>Valid</v>
      </c>
      <c r="AK1624" t="str">
        <f t="shared" si="337"/>
        <v xml:space="preserve">Valid </v>
      </c>
      <c r="AL1624" t="str">
        <f>IF(AND(Audit_Data[[#This Row],[Recency]]&gt;=0,Audit_Data[[#This Row],[Recency]]&lt;=100),"Valid","Invalid")</f>
        <v>Valid</v>
      </c>
      <c r="AM1624" t="str">
        <f t="shared" si="331"/>
        <v>Valid</v>
      </c>
      <c r="AN1624" t="str">
        <f t="shared" si="332"/>
        <v>Valid</v>
      </c>
      <c r="AO1624" t="str">
        <f t="shared" si="333"/>
        <v>Valid</v>
      </c>
      <c r="AP1624" t="str">
        <f t="shared" si="334"/>
        <v>Valid</v>
      </c>
      <c r="AQ1624" t="str">
        <f>IF(Audit_Data[[#This Row],[Z_CostContact]]=3,"Valid","Invalid")</f>
        <v>Valid</v>
      </c>
      <c r="AR1624" t="str">
        <f t="shared" si="335"/>
        <v>Valid</v>
      </c>
      <c r="AS1624" t="str">
        <f t="shared" si="336"/>
        <v>Valid</v>
      </c>
    </row>
    <row r="1625" spans="1:45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 t="str">
        <f t="shared" si="325"/>
        <v>Ok</v>
      </c>
      <c r="AE1625" t="str">
        <f>IF(AND(Audit_Data[[#This Row],[Year_Birth]]&gt;=1900,Audit_Data[[#This Row],[Year_Birth]]&lt;=2010),"OK","Invalid")</f>
        <v>OK</v>
      </c>
      <c r="AF1625" t="str">
        <f t="shared" si="326"/>
        <v>Valid</v>
      </c>
      <c r="AG1625" t="str">
        <f t="shared" si="327"/>
        <v>Valid</v>
      </c>
      <c r="AH1625" t="str">
        <f t="shared" si="328"/>
        <v>Valid</v>
      </c>
      <c r="AI1625" t="str">
        <f t="shared" si="329"/>
        <v>Valid</v>
      </c>
      <c r="AJ1625" t="str">
        <f t="shared" si="330"/>
        <v>Valid</v>
      </c>
      <c r="AK1625" t="str">
        <f t="shared" si="337"/>
        <v xml:space="preserve">Valid </v>
      </c>
      <c r="AL1625" t="str">
        <f>IF(AND(Audit_Data[[#This Row],[Recency]]&gt;=0,Audit_Data[[#This Row],[Recency]]&lt;=100),"Valid","Invalid")</f>
        <v>Valid</v>
      </c>
      <c r="AM1625" t="str">
        <f t="shared" si="331"/>
        <v>Valid</v>
      </c>
      <c r="AN1625" t="str">
        <f t="shared" si="332"/>
        <v>Valid</v>
      </c>
      <c r="AO1625" t="str">
        <f t="shared" si="333"/>
        <v>Valid</v>
      </c>
      <c r="AP1625" t="str">
        <f t="shared" si="334"/>
        <v>Valid</v>
      </c>
      <c r="AQ1625" t="str">
        <f>IF(Audit_Data[[#This Row],[Z_CostContact]]=3,"Valid","Invalid")</f>
        <v>Valid</v>
      </c>
      <c r="AR1625" t="str">
        <f t="shared" si="335"/>
        <v>Valid</v>
      </c>
      <c r="AS1625" t="str">
        <f t="shared" si="336"/>
        <v>Valid</v>
      </c>
    </row>
    <row r="1626" spans="1:45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 t="str">
        <f t="shared" si="325"/>
        <v>Ok</v>
      </c>
      <c r="AE1626" t="str">
        <f>IF(AND(Audit_Data[[#This Row],[Year_Birth]]&gt;=1900,Audit_Data[[#This Row],[Year_Birth]]&lt;=2010),"OK","Invalid")</f>
        <v>OK</v>
      </c>
      <c r="AF1626" t="str">
        <f t="shared" si="326"/>
        <v>Valid</v>
      </c>
      <c r="AG1626" t="str">
        <f t="shared" si="327"/>
        <v>Valid</v>
      </c>
      <c r="AH1626" t="str">
        <f t="shared" si="328"/>
        <v>Valid</v>
      </c>
      <c r="AI1626" t="str">
        <f t="shared" si="329"/>
        <v>Valid</v>
      </c>
      <c r="AJ1626" t="str">
        <f t="shared" si="330"/>
        <v>Valid</v>
      </c>
      <c r="AK1626" t="str">
        <f t="shared" si="337"/>
        <v xml:space="preserve">Valid </v>
      </c>
      <c r="AL1626" t="str">
        <f>IF(AND(Audit_Data[[#This Row],[Recency]]&gt;=0,Audit_Data[[#This Row],[Recency]]&lt;=100),"Valid","Invalid")</f>
        <v>Valid</v>
      </c>
      <c r="AM1626" t="str">
        <f t="shared" si="331"/>
        <v>Valid</v>
      </c>
      <c r="AN1626" t="str">
        <f t="shared" si="332"/>
        <v>Valid</v>
      </c>
      <c r="AO1626" t="str">
        <f t="shared" si="333"/>
        <v>Valid</v>
      </c>
      <c r="AP1626" t="str">
        <f t="shared" si="334"/>
        <v>Valid</v>
      </c>
      <c r="AQ1626" t="str">
        <f>IF(Audit_Data[[#This Row],[Z_CostContact]]=3,"Valid","Invalid")</f>
        <v>Valid</v>
      </c>
      <c r="AR1626" t="str">
        <f t="shared" si="335"/>
        <v>Valid</v>
      </c>
      <c r="AS1626" t="str">
        <f t="shared" si="336"/>
        <v>Valid</v>
      </c>
    </row>
    <row r="1627" spans="1:45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 t="str">
        <f t="shared" si="325"/>
        <v>Ok</v>
      </c>
      <c r="AE1627" t="str">
        <f>IF(AND(Audit_Data[[#This Row],[Year_Birth]]&gt;=1900,Audit_Data[[#This Row],[Year_Birth]]&lt;=2010),"OK","Invalid")</f>
        <v>OK</v>
      </c>
      <c r="AF1627" t="str">
        <f t="shared" si="326"/>
        <v>Valid</v>
      </c>
      <c r="AG1627" t="str">
        <f t="shared" si="327"/>
        <v>Valid</v>
      </c>
      <c r="AH1627" t="str">
        <f t="shared" si="328"/>
        <v>Valid</v>
      </c>
      <c r="AI1627" t="str">
        <f t="shared" si="329"/>
        <v>Valid</v>
      </c>
      <c r="AJ1627" t="str">
        <f t="shared" si="330"/>
        <v>Valid</v>
      </c>
      <c r="AK1627" t="str">
        <f t="shared" si="337"/>
        <v xml:space="preserve">Valid </v>
      </c>
      <c r="AL1627" t="str">
        <f>IF(AND(Audit_Data[[#This Row],[Recency]]&gt;=0,Audit_Data[[#This Row],[Recency]]&lt;=100),"Valid","Invalid")</f>
        <v>Valid</v>
      </c>
      <c r="AM1627" t="str">
        <f t="shared" si="331"/>
        <v>Valid</v>
      </c>
      <c r="AN1627" t="str">
        <f t="shared" si="332"/>
        <v>Valid</v>
      </c>
      <c r="AO1627" t="str">
        <f t="shared" si="333"/>
        <v>Valid</v>
      </c>
      <c r="AP1627" t="str">
        <f t="shared" si="334"/>
        <v>Valid</v>
      </c>
      <c r="AQ1627" t="str">
        <f>IF(Audit_Data[[#This Row],[Z_CostContact]]=3,"Valid","Invalid")</f>
        <v>Valid</v>
      </c>
      <c r="AR1627" t="str">
        <f t="shared" si="335"/>
        <v>Valid</v>
      </c>
      <c r="AS1627" t="str">
        <f t="shared" si="336"/>
        <v>Valid</v>
      </c>
    </row>
    <row r="1628" spans="1:45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 t="str">
        <f t="shared" si="325"/>
        <v>Ok</v>
      </c>
      <c r="AE1628" t="str">
        <f>IF(AND(Audit_Data[[#This Row],[Year_Birth]]&gt;=1900,Audit_Data[[#This Row],[Year_Birth]]&lt;=2010),"OK","Invalid")</f>
        <v>OK</v>
      </c>
      <c r="AF1628" t="str">
        <f t="shared" si="326"/>
        <v>Valid</v>
      </c>
      <c r="AG1628" t="str">
        <f t="shared" si="327"/>
        <v>Valid</v>
      </c>
      <c r="AH1628" t="str">
        <f t="shared" si="328"/>
        <v>Valid</v>
      </c>
      <c r="AI1628" t="str">
        <f t="shared" si="329"/>
        <v>Valid</v>
      </c>
      <c r="AJ1628" t="str">
        <f t="shared" si="330"/>
        <v>Valid</v>
      </c>
      <c r="AK1628" t="str">
        <f t="shared" si="337"/>
        <v xml:space="preserve">Valid </v>
      </c>
      <c r="AL1628" t="str">
        <f>IF(AND(Audit_Data[[#This Row],[Recency]]&gt;=0,Audit_Data[[#This Row],[Recency]]&lt;=100),"Valid","Invalid")</f>
        <v>Valid</v>
      </c>
      <c r="AM1628" t="str">
        <f t="shared" si="331"/>
        <v>Valid</v>
      </c>
      <c r="AN1628" t="str">
        <f t="shared" si="332"/>
        <v>Valid</v>
      </c>
      <c r="AO1628" t="str">
        <f t="shared" si="333"/>
        <v>Valid</v>
      </c>
      <c r="AP1628" t="str">
        <f t="shared" si="334"/>
        <v>Valid</v>
      </c>
      <c r="AQ1628" t="str">
        <f>IF(Audit_Data[[#This Row],[Z_CostContact]]=3,"Valid","Invalid")</f>
        <v>Valid</v>
      </c>
      <c r="AR1628" t="str">
        <f t="shared" si="335"/>
        <v>Valid</v>
      </c>
      <c r="AS1628" t="str">
        <f t="shared" si="336"/>
        <v>Valid</v>
      </c>
    </row>
    <row r="1629" spans="1:45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 t="str">
        <f t="shared" si="325"/>
        <v>Ok</v>
      </c>
      <c r="AE1629" t="str">
        <f>IF(AND(Audit_Data[[#This Row],[Year_Birth]]&gt;=1900,Audit_Data[[#This Row],[Year_Birth]]&lt;=2010),"OK","Invalid")</f>
        <v>OK</v>
      </c>
      <c r="AF1629" t="str">
        <f t="shared" si="326"/>
        <v>Valid</v>
      </c>
      <c r="AG1629" t="str">
        <f t="shared" si="327"/>
        <v>Valid</v>
      </c>
      <c r="AH1629" t="str">
        <f t="shared" si="328"/>
        <v>Valid</v>
      </c>
      <c r="AI1629" t="str">
        <f t="shared" si="329"/>
        <v>Valid</v>
      </c>
      <c r="AJ1629" t="str">
        <f t="shared" si="330"/>
        <v>Valid</v>
      </c>
      <c r="AK1629" t="str">
        <f t="shared" si="337"/>
        <v xml:space="preserve">Valid </v>
      </c>
      <c r="AL1629" t="str">
        <f>IF(AND(Audit_Data[[#This Row],[Recency]]&gt;=0,Audit_Data[[#This Row],[Recency]]&lt;=100),"Valid","Invalid")</f>
        <v>Valid</v>
      </c>
      <c r="AM1629" t="str">
        <f t="shared" si="331"/>
        <v>Valid</v>
      </c>
      <c r="AN1629" t="str">
        <f t="shared" si="332"/>
        <v>Valid</v>
      </c>
      <c r="AO1629" t="str">
        <f t="shared" si="333"/>
        <v>Valid</v>
      </c>
      <c r="AP1629" t="str">
        <f t="shared" si="334"/>
        <v>Valid</v>
      </c>
      <c r="AQ1629" t="str">
        <f>IF(Audit_Data[[#This Row],[Z_CostContact]]=3,"Valid","Invalid")</f>
        <v>Valid</v>
      </c>
      <c r="AR1629" t="str">
        <f t="shared" si="335"/>
        <v>Valid</v>
      </c>
      <c r="AS1629" t="str">
        <f t="shared" si="336"/>
        <v>Valid</v>
      </c>
    </row>
    <row r="1630" spans="1:45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 t="str">
        <f t="shared" si="325"/>
        <v>Ok</v>
      </c>
      <c r="AE1630" t="str">
        <f>IF(AND(Audit_Data[[#This Row],[Year_Birth]]&gt;=1900,Audit_Data[[#This Row],[Year_Birth]]&lt;=2010),"OK","Invalid")</f>
        <v>OK</v>
      </c>
      <c r="AF1630" t="str">
        <f t="shared" si="326"/>
        <v>Valid</v>
      </c>
      <c r="AG1630" t="str">
        <f t="shared" si="327"/>
        <v>Valid</v>
      </c>
      <c r="AH1630" t="str">
        <f t="shared" si="328"/>
        <v>Valid</v>
      </c>
      <c r="AI1630" t="str">
        <f t="shared" si="329"/>
        <v>Valid</v>
      </c>
      <c r="AJ1630" t="str">
        <f t="shared" si="330"/>
        <v>Valid</v>
      </c>
      <c r="AK1630" t="str">
        <f t="shared" si="337"/>
        <v xml:space="preserve">Valid </v>
      </c>
      <c r="AL1630" t="str">
        <f>IF(AND(Audit_Data[[#This Row],[Recency]]&gt;=0,Audit_Data[[#This Row],[Recency]]&lt;=100),"Valid","Invalid")</f>
        <v>Valid</v>
      </c>
      <c r="AM1630" t="str">
        <f t="shared" si="331"/>
        <v>Valid</v>
      </c>
      <c r="AN1630" t="str">
        <f t="shared" si="332"/>
        <v>Valid</v>
      </c>
      <c r="AO1630" t="str">
        <f t="shared" si="333"/>
        <v>Valid</v>
      </c>
      <c r="AP1630" t="str">
        <f t="shared" si="334"/>
        <v>Valid</v>
      </c>
      <c r="AQ1630" t="str">
        <f>IF(Audit_Data[[#This Row],[Z_CostContact]]=3,"Valid","Invalid")</f>
        <v>Valid</v>
      </c>
      <c r="AR1630" t="str">
        <f t="shared" si="335"/>
        <v>Valid</v>
      </c>
      <c r="AS1630" t="str">
        <f t="shared" si="336"/>
        <v>Valid</v>
      </c>
    </row>
    <row r="1631" spans="1:45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 t="str">
        <f t="shared" si="325"/>
        <v>Ok</v>
      </c>
      <c r="AE1631" t="str">
        <f>IF(AND(Audit_Data[[#This Row],[Year_Birth]]&gt;=1900,Audit_Data[[#This Row],[Year_Birth]]&lt;=2010),"OK","Invalid")</f>
        <v>OK</v>
      </c>
      <c r="AF1631" t="str">
        <f t="shared" si="326"/>
        <v>Valid</v>
      </c>
      <c r="AG1631" t="str">
        <f t="shared" si="327"/>
        <v>Valid</v>
      </c>
      <c r="AH1631" t="str">
        <f t="shared" si="328"/>
        <v>Valid</v>
      </c>
      <c r="AI1631" t="str">
        <f t="shared" si="329"/>
        <v>Valid</v>
      </c>
      <c r="AJ1631" t="str">
        <f t="shared" si="330"/>
        <v>Valid</v>
      </c>
      <c r="AK1631" t="str">
        <f t="shared" si="337"/>
        <v xml:space="preserve">Valid </v>
      </c>
      <c r="AL1631" t="str">
        <f>IF(AND(Audit_Data[[#This Row],[Recency]]&gt;=0,Audit_Data[[#This Row],[Recency]]&lt;=100),"Valid","Invalid")</f>
        <v>Valid</v>
      </c>
      <c r="AM1631" t="str">
        <f t="shared" si="331"/>
        <v>Valid</v>
      </c>
      <c r="AN1631" t="str">
        <f t="shared" si="332"/>
        <v>Valid</v>
      </c>
      <c r="AO1631" t="str">
        <f t="shared" si="333"/>
        <v>Valid</v>
      </c>
      <c r="AP1631" t="str">
        <f t="shared" si="334"/>
        <v>Valid</v>
      </c>
      <c r="AQ1631" t="str">
        <f>IF(Audit_Data[[#This Row],[Z_CostContact]]=3,"Valid","Invalid")</f>
        <v>Valid</v>
      </c>
      <c r="AR1631" t="str">
        <f t="shared" si="335"/>
        <v>Valid</v>
      </c>
      <c r="AS1631" t="str">
        <f t="shared" si="336"/>
        <v>Valid</v>
      </c>
    </row>
    <row r="1632" spans="1:45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 t="str">
        <f t="shared" si="325"/>
        <v>Ok</v>
      </c>
      <c r="AE1632" t="str">
        <f>IF(AND(Audit_Data[[#This Row],[Year_Birth]]&gt;=1900,Audit_Data[[#This Row],[Year_Birth]]&lt;=2010),"OK","Invalid")</f>
        <v>OK</v>
      </c>
      <c r="AF1632" t="str">
        <f t="shared" si="326"/>
        <v>Valid</v>
      </c>
      <c r="AG1632" t="str">
        <f t="shared" si="327"/>
        <v>Valid</v>
      </c>
      <c r="AH1632" t="str">
        <f t="shared" si="328"/>
        <v>Valid</v>
      </c>
      <c r="AI1632" t="str">
        <f t="shared" si="329"/>
        <v>Valid</v>
      </c>
      <c r="AJ1632" t="str">
        <f t="shared" si="330"/>
        <v>Valid</v>
      </c>
      <c r="AK1632" t="str">
        <f t="shared" si="337"/>
        <v xml:space="preserve">Valid </v>
      </c>
      <c r="AL1632" t="str">
        <f>IF(AND(Audit_Data[[#This Row],[Recency]]&gt;=0,Audit_Data[[#This Row],[Recency]]&lt;=100),"Valid","Invalid")</f>
        <v>Valid</v>
      </c>
      <c r="AM1632" t="str">
        <f t="shared" si="331"/>
        <v>Valid</v>
      </c>
      <c r="AN1632" t="str">
        <f t="shared" si="332"/>
        <v>Valid</v>
      </c>
      <c r="AO1632" t="str">
        <f t="shared" si="333"/>
        <v>Valid</v>
      </c>
      <c r="AP1632" t="str">
        <f t="shared" si="334"/>
        <v>Valid</v>
      </c>
      <c r="AQ1632" t="str">
        <f>IF(Audit_Data[[#This Row],[Z_CostContact]]=3,"Valid","Invalid")</f>
        <v>Valid</v>
      </c>
      <c r="AR1632" t="str">
        <f t="shared" si="335"/>
        <v>Valid</v>
      </c>
      <c r="AS1632" t="str">
        <f t="shared" si="336"/>
        <v>Valid</v>
      </c>
    </row>
    <row r="1633" spans="1:45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 t="str">
        <f t="shared" si="325"/>
        <v>Ok</v>
      </c>
      <c r="AE1633" t="str">
        <f>IF(AND(Audit_Data[[#This Row],[Year_Birth]]&gt;=1900,Audit_Data[[#This Row],[Year_Birth]]&lt;=2010),"OK","Invalid")</f>
        <v>OK</v>
      </c>
      <c r="AF1633" t="str">
        <f t="shared" si="326"/>
        <v>Valid</v>
      </c>
      <c r="AG1633" t="str">
        <f t="shared" si="327"/>
        <v>Valid</v>
      </c>
      <c r="AH1633" t="str">
        <f t="shared" si="328"/>
        <v>Valid</v>
      </c>
      <c r="AI1633" t="str">
        <f t="shared" si="329"/>
        <v>Valid</v>
      </c>
      <c r="AJ1633" t="str">
        <f t="shared" si="330"/>
        <v>Valid</v>
      </c>
      <c r="AK1633" t="str">
        <f t="shared" si="337"/>
        <v xml:space="preserve">Valid </v>
      </c>
      <c r="AL1633" t="str">
        <f>IF(AND(Audit_Data[[#This Row],[Recency]]&gt;=0,Audit_Data[[#This Row],[Recency]]&lt;=100),"Valid","Invalid")</f>
        <v>Valid</v>
      </c>
      <c r="AM1633" t="str">
        <f t="shared" si="331"/>
        <v>Valid</v>
      </c>
      <c r="AN1633" t="str">
        <f t="shared" si="332"/>
        <v>Valid</v>
      </c>
      <c r="AO1633" t="str">
        <f t="shared" si="333"/>
        <v>Valid</v>
      </c>
      <c r="AP1633" t="str">
        <f t="shared" si="334"/>
        <v>Valid</v>
      </c>
      <c r="AQ1633" t="str">
        <f>IF(Audit_Data[[#This Row],[Z_CostContact]]=3,"Valid","Invalid")</f>
        <v>Valid</v>
      </c>
      <c r="AR1633" t="str">
        <f t="shared" si="335"/>
        <v>Valid</v>
      </c>
      <c r="AS1633" t="str">
        <f t="shared" si="336"/>
        <v>Valid</v>
      </c>
    </row>
    <row r="1634" spans="1:45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 t="str">
        <f t="shared" si="325"/>
        <v>Ok</v>
      </c>
      <c r="AE1634" t="str">
        <f>IF(AND(Audit_Data[[#This Row],[Year_Birth]]&gt;=1900,Audit_Data[[#This Row],[Year_Birth]]&lt;=2010),"OK","Invalid")</f>
        <v>OK</v>
      </c>
      <c r="AF1634" t="str">
        <f t="shared" si="326"/>
        <v>Valid</v>
      </c>
      <c r="AG1634" t="str">
        <f t="shared" si="327"/>
        <v>Valid</v>
      </c>
      <c r="AH1634" t="str">
        <f t="shared" si="328"/>
        <v>Valid</v>
      </c>
      <c r="AI1634" t="str">
        <f t="shared" si="329"/>
        <v>Valid</v>
      </c>
      <c r="AJ1634" t="str">
        <f t="shared" si="330"/>
        <v>Valid</v>
      </c>
      <c r="AK1634" t="str">
        <f t="shared" si="337"/>
        <v xml:space="preserve">Valid </v>
      </c>
      <c r="AL1634" t="str">
        <f>IF(AND(Audit_Data[[#This Row],[Recency]]&gt;=0,Audit_Data[[#This Row],[Recency]]&lt;=100),"Valid","Invalid")</f>
        <v>Valid</v>
      </c>
      <c r="AM1634" t="str">
        <f t="shared" si="331"/>
        <v>Valid</v>
      </c>
      <c r="AN1634" t="str">
        <f t="shared" si="332"/>
        <v>Valid</v>
      </c>
      <c r="AO1634" t="str">
        <f t="shared" si="333"/>
        <v>Valid</v>
      </c>
      <c r="AP1634" t="str">
        <f t="shared" si="334"/>
        <v>Valid</v>
      </c>
      <c r="AQ1634" t="str">
        <f>IF(Audit_Data[[#This Row],[Z_CostContact]]=3,"Valid","Invalid")</f>
        <v>Valid</v>
      </c>
      <c r="AR1634" t="str">
        <f t="shared" si="335"/>
        <v>Valid</v>
      </c>
      <c r="AS1634" t="str">
        <f t="shared" si="336"/>
        <v>Valid</v>
      </c>
    </row>
    <row r="1635" spans="1:45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 t="str">
        <f t="shared" si="325"/>
        <v>Ok</v>
      </c>
      <c r="AE1635" t="str">
        <f>IF(AND(Audit_Data[[#This Row],[Year_Birth]]&gt;=1900,Audit_Data[[#This Row],[Year_Birth]]&lt;=2010),"OK","Invalid")</f>
        <v>OK</v>
      </c>
      <c r="AF1635" t="str">
        <f t="shared" si="326"/>
        <v>Valid</v>
      </c>
      <c r="AG1635" t="str">
        <f t="shared" si="327"/>
        <v>Valid</v>
      </c>
      <c r="AH1635" t="str">
        <f t="shared" si="328"/>
        <v>Valid</v>
      </c>
      <c r="AI1635" t="str">
        <f t="shared" si="329"/>
        <v>Valid</v>
      </c>
      <c r="AJ1635" t="str">
        <f t="shared" si="330"/>
        <v>Valid</v>
      </c>
      <c r="AK1635" t="str">
        <f t="shared" si="337"/>
        <v xml:space="preserve">Valid </v>
      </c>
      <c r="AL1635" t="str">
        <f>IF(AND(Audit_Data[[#This Row],[Recency]]&gt;=0,Audit_Data[[#This Row],[Recency]]&lt;=100),"Valid","Invalid")</f>
        <v>Valid</v>
      </c>
      <c r="AM1635" t="str">
        <f t="shared" si="331"/>
        <v>Valid</v>
      </c>
      <c r="AN1635" t="str">
        <f t="shared" si="332"/>
        <v>Valid</v>
      </c>
      <c r="AO1635" t="str">
        <f t="shared" si="333"/>
        <v>Valid</v>
      </c>
      <c r="AP1635" t="str">
        <f t="shared" si="334"/>
        <v>Valid</v>
      </c>
      <c r="AQ1635" t="str">
        <f>IF(Audit_Data[[#This Row],[Z_CostContact]]=3,"Valid","Invalid")</f>
        <v>Valid</v>
      </c>
      <c r="AR1635" t="str">
        <f t="shared" si="335"/>
        <v>Valid</v>
      </c>
      <c r="AS1635" t="str">
        <f t="shared" si="336"/>
        <v>Valid</v>
      </c>
    </row>
    <row r="1636" spans="1:45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 t="str">
        <f t="shared" si="325"/>
        <v>Ok</v>
      </c>
      <c r="AE1636" t="str">
        <f>IF(AND(Audit_Data[[#This Row],[Year_Birth]]&gt;=1900,Audit_Data[[#This Row],[Year_Birth]]&lt;=2010),"OK","Invalid")</f>
        <v>OK</v>
      </c>
      <c r="AF1636" t="str">
        <f t="shared" si="326"/>
        <v>Valid</v>
      </c>
      <c r="AG1636" t="str">
        <f t="shared" si="327"/>
        <v>Valid</v>
      </c>
      <c r="AH1636" t="str">
        <f t="shared" si="328"/>
        <v>Valid</v>
      </c>
      <c r="AI1636" t="str">
        <f t="shared" si="329"/>
        <v>Valid</v>
      </c>
      <c r="AJ1636" t="str">
        <f t="shared" si="330"/>
        <v>Valid</v>
      </c>
      <c r="AK1636" t="str">
        <f t="shared" si="337"/>
        <v xml:space="preserve">Valid </v>
      </c>
      <c r="AL1636" t="str">
        <f>IF(AND(Audit_Data[[#This Row],[Recency]]&gt;=0,Audit_Data[[#This Row],[Recency]]&lt;=100),"Valid","Invalid")</f>
        <v>Valid</v>
      </c>
      <c r="AM1636" t="str">
        <f t="shared" si="331"/>
        <v>Valid</v>
      </c>
      <c r="AN1636" t="str">
        <f t="shared" si="332"/>
        <v>Valid</v>
      </c>
      <c r="AO1636" t="str">
        <f t="shared" si="333"/>
        <v>Valid</v>
      </c>
      <c r="AP1636" t="str">
        <f t="shared" si="334"/>
        <v>Valid</v>
      </c>
      <c r="AQ1636" t="str">
        <f>IF(Audit_Data[[#This Row],[Z_CostContact]]=3,"Valid","Invalid")</f>
        <v>Valid</v>
      </c>
      <c r="AR1636" t="str">
        <f t="shared" si="335"/>
        <v>Valid</v>
      </c>
      <c r="AS1636" t="str">
        <f t="shared" si="336"/>
        <v>Valid</v>
      </c>
    </row>
    <row r="1637" spans="1:45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 t="str">
        <f t="shared" si="325"/>
        <v>Ok</v>
      </c>
      <c r="AE1637" t="str">
        <f>IF(AND(Audit_Data[[#This Row],[Year_Birth]]&gt;=1900,Audit_Data[[#This Row],[Year_Birth]]&lt;=2010),"OK","Invalid")</f>
        <v>OK</v>
      </c>
      <c r="AF1637" t="str">
        <f t="shared" si="326"/>
        <v>Valid</v>
      </c>
      <c r="AG1637" t="str">
        <f t="shared" si="327"/>
        <v>Valid</v>
      </c>
      <c r="AH1637" t="str">
        <f t="shared" si="328"/>
        <v>Valid</v>
      </c>
      <c r="AI1637" t="str">
        <f t="shared" si="329"/>
        <v>Valid</v>
      </c>
      <c r="AJ1637" t="str">
        <f t="shared" si="330"/>
        <v>Valid</v>
      </c>
      <c r="AK1637" t="str">
        <f t="shared" si="337"/>
        <v xml:space="preserve">Valid </v>
      </c>
      <c r="AL1637" t="str">
        <f>IF(AND(Audit_Data[[#This Row],[Recency]]&gt;=0,Audit_Data[[#This Row],[Recency]]&lt;=100),"Valid","Invalid")</f>
        <v>Valid</v>
      </c>
      <c r="AM1637" t="str">
        <f t="shared" si="331"/>
        <v>Valid</v>
      </c>
      <c r="AN1637" t="str">
        <f t="shared" si="332"/>
        <v>Valid</v>
      </c>
      <c r="AO1637" t="str">
        <f t="shared" si="333"/>
        <v>Valid</v>
      </c>
      <c r="AP1637" t="str">
        <f t="shared" si="334"/>
        <v>Valid</v>
      </c>
      <c r="AQ1637" t="str">
        <f>IF(Audit_Data[[#This Row],[Z_CostContact]]=3,"Valid","Invalid")</f>
        <v>Valid</v>
      </c>
      <c r="AR1637" t="str">
        <f t="shared" si="335"/>
        <v>Valid</v>
      </c>
      <c r="AS1637" t="str">
        <f t="shared" si="336"/>
        <v>Valid</v>
      </c>
    </row>
    <row r="1638" spans="1:45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 t="str">
        <f t="shared" si="325"/>
        <v>Ok</v>
      </c>
      <c r="AE1638" t="str">
        <f>IF(AND(Audit_Data[[#This Row],[Year_Birth]]&gt;=1900,Audit_Data[[#This Row],[Year_Birth]]&lt;=2010),"OK","Invalid")</f>
        <v>OK</v>
      </c>
      <c r="AF1638" t="str">
        <f t="shared" si="326"/>
        <v>Valid</v>
      </c>
      <c r="AG1638" t="str">
        <f t="shared" si="327"/>
        <v>Valid</v>
      </c>
      <c r="AH1638" t="str">
        <f t="shared" si="328"/>
        <v>Valid</v>
      </c>
      <c r="AI1638" t="str">
        <f t="shared" si="329"/>
        <v>Valid</v>
      </c>
      <c r="AJ1638" t="str">
        <f t="shared" si="330"/>
        <v>Valid</v>
      </c>
      <c r="AK1638" t="str">
        <f t="shared" si="337"/>
        <v xml:space="preserve">Valid </v>
      </c>
      <c r="AL1638" t="str">
        <f>IF(AND(Audit_Data[[#This Row],[Recency]]&gt;=0,Audit_Data[[#This Row],[Recency]]&lt;=100),"Valid","Invalid")</f>
        <v>Valid</v>
      </c>
      <c r="AM1638" t="str">
        <f t="shared" si="331"/>
        <v>Valid</v>
      </c>
      <c r="AN1638" t="str">
        <f t="shared" si="332"/>
        <v>Valid</v>
      </c>
      <c r="AO1638" t="str">
        <f t="shared" si="333"/>
        <v>Valid</v>
      </c>
      <c r="AP1638" t="str">
        <f t="shared" si="334"/>
        <v>Valid</v>
      </c>
      <c r="AQ1638" t="str">
        <f>IF(Audit_Data[[#This Row],[Z_CostContact]]=3,"Valid","Invalid")</f>
        <v>Valid</v>
      </c>
      <c r="AR1638" t="str">
        <f t="shared" si="335"/>
        <v>Valid</v>
      </c>
      <c r="AS1638" t="str">
        <f t="shared" si="336"/>
        <v>Valid</v>
      </c>
    </row>
    <row r="1639" spans="1:45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 t="str">
        <f t="shared" si="325"/>
        <v>Ok</v>
      </c>
      <c r="AE1639" t="str">
        <f>IF(AND(Audit_Data[[#This Row],[Year_Birth]]&gt;=1900,Audit_Data[[#This Row],[Year_Birth]]&lt;=2010),"OK","Invalid")</f>
        <v>OK</v>
      </c>
      <c r="AF1639" t="str">
        <f t="shared" si="326"/>
        <v>Valid</v>
      </c>
      <c r="AG1639" t="str">
        <f t="shared" si="327"/>
        <v>Valid</v>
      </c>
      <c r="AH1639" t="str">
        <f t="shared" si="328"/>
        <v>Valid</v>
      </c>
      <c r="AI1639" t="str">
        <f t="shared" si="329"/>
        <v>Valid</v>
      </c>
      <c r="AJ1639" t="str">
        <f t="shared" si="330"/>
        <v>Valid</v>
      </c>
      <c r="AK1639" t="str">
        <f t="shared" si="337"/>
        <v xml:space="preserve">Valid </v>
      </c>
      <c r="AL1639" t="str">
        <f>IF(AND(Audit_Data[[#This Row],[Recency]]&gt;=0,Audit_Data[[#This Row],[Recency]]&lt;=100),"Valid","Invalid")</f>
        <v>Valid</v>
      </c>
      <c r="AM1639" t="str">
        <f t="shared" si="331"/>
        <v>Valid</v>
      </c>
      <c r="AN1639" t="str">
        <f t="shared" si="332"/>
        <v>Valid</v>
      </c>
      <c r="AO1639" t="str">
        <f t="shared" si="333"/>
        <v>Valid</v>
      </c>
      <c r="AP1639" t="str">
        <f t="shared" si="334"/>
        <v>Valid</v>
      </c>
      <c r="AQ1639" t="str">
        <f>IF(Audit_Data[[#This Row],[Z_CostContact]]=3,"Valid","Invalid")</f>
        <v>Valid</v>
      </c>
      <c r="AR1639" t="str">
        <f t="shared" si="335"/>
        <v>Valid</v>
      </c>
      <c r="AS1639" t="str">
        <f t="shared" si="336"/>
        <v>Valid</v>
      </c>
    </row>
    <row r="1640" spans="1:45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 t="str">
        <f t="shared" si="325"/>
        <v>Ok</v>
      </c>
      <c r="AE1640" t="str">
        <f>IF(AND(Audit_Data[[#This Row],[Year_Birth]]&gt;=1900,Audit_Data[[#This Row],[Year_Birth]]&lt;=2010),"OK","Invalid")</f>
        <v>OK</v>
      </c>
      <c r="AF1640" t="str">
        <f t="shared" si="326"/>
        <v>Valid</v>
      </c>
      <c r="AG1640" t="str">
        <f t="shared" si="327"/>
        <v>Valid</v>
      </c>
      <c r="AH1640" t="str">
        <f t="shared" si="328"/>
        <v>Valid</v>
      </c>
      <c r="AI1640" t="str">
        <f t="shared" si="329"/>
        <v>Valid</v>
      </c>
      <c r="AJ1640" t="str">
        <f t="shared" si="330"/>
        <v>Valid</v>
      </c>
      <c r="AK1640" t="str">
        <f t="shared" si="337"/>
        <v xml:space="preserve">Valid </v>
      </c>
      <c r="AL1640" t="str">
        <f>IF(AND(Audit_Data[[#This Row],[Recency]]&gt;=0,Audit_Data[[#This Row],[Recency]]&lt;=100),"Valid","Invalid")</f>
        <v>Valid</v>
      </c>
      <c r="AM1640" t="str">
        <f t="shared" si="331"/>
        <v>Valid</v>
      </c>
      <c r="AN1640" t="str">
        <f t="shared" si="332"/>
        <v>Valid</v>
      </c>
      <c r="AO1640" t="str">
        <f t="shared" si="333"/>
        <v>Valid</v>
      </c>
      <c r="AP1640" t="str">
        <f t="shared" si="334"/>
        <v>Valid</v>
      </c>
      <c r="AQ1640" t="str">
        <f>IF(Audit_Data[[#This Row],[Z_CostContact]]=3,"Valid","Invalid")</f>
        <v>Valid</v>
      </c>
      <c r="AR1640" t="str">
        <f t="shared" si="335"/>
        <v>Valid</v>
      </c>
      <c r="AS1640" t="str">
        <f t="shared" si="336"/>
        <v>Valid</v>
      </c>
    </row>
    <row r="1641" spans="1:45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 t="str">
        <f t="shared" si="325"/>
        <v>Ok</v>
      </c>
      <c r="AE1641" t="str">
        <f>IF(AND(Audit_Data[[#This Row],[Year_Birth]]&gt;=1900,Audit_Data[[#This Row],[Year_Birth]]&lt;=2010),"OK","Invalid")</f>
        <v>OK</v>
      </c>
      <c r="AF1641" t="str">
        <f t="shared" si="326"/>
        <v>Valid</v>
      </c>
      <c r="AG1641" t="str">
        <f t="shared" si="327"/>
        <v>Valid</v>
      </c>
      <c r="AH1641" t="str">
        <f t="shared" si="328"/>
        <v>Valid</v>
      </c>
      <c r="AI1641" t="str">
        <f t="shared" si="329"/>
        <v>Valid</v>
      </c>
      <c r="AJ1641" t="str">
        <f t="shared" si="330"/>
        <v>Valid</v>
      </c>
      <c r="AK1641" t="str">
        <f t="shared" si="337"/>
        <v xml:space="preserve">Valid </v>
      </c>
      <c r="AL1641" t="str">
        <f>IF(AND(Audit_Data[[#This Row],[Recency]]&gt;=0,Audit_Data[[#This Row],[Recency]]&lt;=100),"Valid","Invalid")</f>
        <v>Valid</v>
      </c>
      <c r="AM1641" t="str">
        <f t="shared" si="331"/>
        <v>Valid</v>
      </c>
      <c r="AN1641" t="str">
        <f t="shared" si="332"/>
        <v>Valid</v>
      </c>
      <c r="AO1641" t="str">
        <f t="shared" si="333"/>
        <v>Valid</v>
      </c>
      <c r="AP1641" t="str">
        <f t="shared" si="334"/>
        <v>Valid</v>
      </c>
      <c r="AQ1641" t="str">
        <f>IF(Audit_Data[[#This Row],[Z_CostContact]]=3,"Valid","Invalid")</f>
        <v>Valid</v>
      </c>
      <c r="AR1641" t="str">
        <f t="shared" si="335"/>
        <v>Valid</v>
      </c>
      <c r="AS1641" t="str">
        <f t="shared" si="336"/>
        <v>Valid</v>
      </c>
    </row>
    <row r="1642" spans="1:45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 t="str">
        <f t="shared" si="325"/>
        <v>Ok</v>
      </c>
      <c r="AE1642" t="str">
        <f>IF(AND(Audit_Data[[#This Row],[Year_Birth]]&gt;=1900,Audit_Data[[#This Row],[Year_Birth]]&lt;=2010),"OK","Invalid")</f>
        <v>OK</v>
      </c>
      <c r="AF1642" t="str">
        <f t="shared" si="326"/>
        <v>Valid</v>
      </c>
      <c r="AG1642" t="str">
        <f t="shared" si="327"/>
        <v>Valid</v>
      </c>
      <c r="AH1642" t="str">
        <f t="shared" si="328"/>
        <v>Valid</v>
      </c>
      <c r="AI1642" t="str">
        <f t="shared" si="329"/>
        <v>Valid</v>
      </c>
      <c r="AJ1642" t="str">
        <f t="shared" si="330"/>
        <v>Valid</v>
      </c>
      <c r="AK1642" t="str">
        <f t="shared" si="337"/>
        <v xml:space="preserve">Valid </v>
      </c>
      <c r="AL1642" t="str">
        <f>IF(AND(Audit_Data[[#This Row],[Recency]]&gt;=0,Audit_Data[[#This Row],[Recency]]&lt;=100),"Valid","Invalid")</f>
        <v>Valid</v>
      </c>
      <c r="AM1642" t="str">
        <f t="shared" si="331"/>
        <v>Valid</v>
      </c>
      <c r="AN1642" t="str">
        <f t="shared" si="332"/>
        <v>Valid</v>
      </c>
      <c r="AO1642" t="str">
        <f t="shared" si="333"/>
        <v>Valid</v>
      </c>
      <c r="AP1642" t="str">
        <f t="shared" si="334"/>
        <v>Valid</v>
      </c>
      <c r="AQ1642" t="str">
        <f>IF(Audit_Data[[#This Row],[Z_CostContact]]=3,"Valid","Invalid")</f>
        <v>Valid</v>
      </c>
      <c r="AR1642" t="str">
        <f t="shared" si="335"/>
        <v>Valid</v>
      </c>
      <c r="AS1642" t="str">
        <f t="shared" si="336"/>
        <v>Valid</v>
      </c>
    </row>
    <row r="1643" spans="1:45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 t="str">
        <f t="shared" si="325"/>
        <v>Ok</v>
      </c>
      <c r="AE1643" t="str">
        <f>IF(AND(Audit_Data[[#This Row],[Year_Birth]]&gt;=1900,Audit_Data[[#This Row],[Year_Birth]]&lt;=2010),"OK","Invalid")</f>
        <v>OK</v>
      </c>
      <c r="AF1643" t="str">
        <f t="shared" si="326"/>
        <v>Valid</v>
      </c>
      <c r="AG1643" t="str">
        <f t="shared" si="327"/>
        <v>Valid</v>
      </c>
      <c r="AH1643" t="str">
        <f t="shared" si="328"/>
        <v>Valid</v>
      </c>
      <c r="AI1643" t="str">
        <f t="shared" si="329"/>
        <v>Valid</v>
      </c>
      <c r="AJ1643" t="str">
        <f t="shared" si="330"/>
        <v>Valid</v>
      </c>
      <c r="AK1643" t="str">
        <f t="shared" si="337"/>
        <v xml:space="preserve">Valid </v>
      </c>
      <c r="AL1643" t="str">
        <f>IF(AND(Audit_Data[[#This Row],[Recency]]&gt;=0,Audit_Data[[#This Row],[Recency]]&lt;=100),"Valid","Invalid")</f>
        <v>Valid</v>
      </c>
      <c r="AM1643" t="str">
        <f t="shared" si="331"/>
        <v>Valid</v>
      </c>
      <c r="AN1643" t="str">
        <f t="shared" si="332"/>
        <v>Valid</v>
      </c>
      <c r="AO1643" t="str">
        <f t="shared" si="333"/>
        <v>Valid</v>
      </c>
      <c r="AP1643" t="str">
        <f t="shared" si="334"/>
        <v>Valid</v>
      </c>
      <c r="AQ1643" t="str">
        <f>IF(Audit_Data[[#This Row],[Z_CostContact]]=3,"Valid","Invalid")</f>
        <v>Valid</v>
      </c>
      <c r="AR1643" t="str">
        <f t="shared" si="335"/>
        <v>Valid</v>
      </c>
      <c r="AS1643" t="str">
        <f t="shared" si="336"/>
        <v>Valid</v>
      </c>
    </row>
    <row r="1644" spans="1:45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 t="str">
        <f t="shared" si="325"/>
        <v>Ok</v>
      </c>
      <c r="AE1644" t="str">
        <f>IF(AND(Audit_Data[[#This Row],[Year_Birth]]&gt;=1900,Audit_Data[[#This Row],[Year_Birth]]&lt;=2010),"OK","Invalid")</f>
        <v>OK</v>
      </c>
      <c r="AF1644" t="str">
        <f t="shared" si="326"/>
        <v>Valid</v>
      </c>
      <c r="AG1644" t="str">
        <f t="shared" si="327"/>
        <v>Valid</v>
      </c>
      <c r="AH1644" t="str">
        <f t="shared" si="328"/>
        <v>Valid</v>
      </c>
      <c r="AI1644" t="str">
        <f t="shared" si="329"/>
        <v>Valid</v>
      </c>
      <c r="AJ1644" t="str">
        <f t="shared" si="330"/>
        <v>Valid</v>
      </c>
      <c r="AK1644" t="str">
        <f t="shared" si="337"/>
        <v xml:space="preserve">Valid </v>
      </c>
      <c r="AL1644" t="str">
        <f>IF(AND(Audit_Data[[#This Row],[Recency]]&gt;=0,Audit_Data[[#This Row],[Recency]]&lt;=100),"Valid","Invalid")</f>
        <v>Valid</v>
      </c>
      <c r="AM1644" t="str">
        <f t="shared" si="331"/>
        <v>Valid</v>
      </c>
      <c r="AN1644" t="str">
        <f t="shared" si="332"/>
        <v>Valid</v>
      </c>
      <c r="AO1644" t="str">
        <f t="shared" si="333"/>
        <v>Valid</v>
      </c>
      <c r="AP1644" t="str">
        <f t="shared" si="334"/>
        <v>Valid</v>
      </c>
      <c r="AQ1644" t="str">
        <f>IF(Audit_Data[[#This Row],[Z_CostContact]]=3,"Valid","Invalid")</f>
        <v>Valid</v>
      </c>
      <c r="AR1644" t="str">
        <f t="shared" si="335"/>
        <v>Valid</v>
      </c>
      <c r="AS1644" t="str">
        <f t="shared" si="336"/>
        <v>Valid</v>
      </c>
    </row>
    <row r="1645" spans="1:45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 t="str">
        <f t="shared" si="325"/>
        <v>Ok</v>
      </c>
      <c r="AE1645" t="str">
        <f>IF(AND(Audit_Data[[#This Row],[Year_Birth]]&gt;=1900,Audit_Data[[#This Row],[Year_Birth]]&lt;=2010),"OK","Invalid")</f>
        <v>OK</v>
      </c>
      <c r="AF1645" t="str">
        <f t="shared" si="326"/>
        <v>Valid</v>
      </c>
      <c r="AG1645" t="str">
        <f t="shared" si="327"/>
        <v>Valid</v>
      </c>
      <c r="AH1645" t="str">
        <f t="shared" si="328"/>
        <v>Valid</v>
      </c>
      <c r="AI1645" t="str">
        <f t="shared" si="329"/>
        <v>Valid</v>
      </c>
      <c r="AJ1645" t="str">
        <f t="shared" si="330"/>
        <v>Valid</v>
      </c>
      <c r="AK1645" t="str">
        <f t="shared" si="337"/>
        <v xml:space="preserve">Valid </v>
      </c>
      <c r="AL1645" t="str">
        <f>IF(AND(Audit_Data[[#This Row],[Recency]]&gt;=0,Audit_Data[[#This Row],[Recency]]&lt;=100),"Valid","Invalid")</f>
        <v>Valid</v>
      </c>
      <c r="AM1645" t="str">
        <f t="shared" si="331"/>
        <v>Valid</v>
      </c>
      <c r="AN1645" t="str">
        <f t="shared" si="332"/>
        <v>Valid</v>
      </c>
      <c r="AO1645" t="str">
        <f t="shared" si="333"/>
        <v>Valid</v>
      </c>
      <c r="AP1645" t="str">
        <f t="shared" si="334"/>
        <v>Valid</v>
      </c>
      <c r="AQ1645" t="str">
        <f>IF(Audit_Data[[#This Row],[Z_CostContact]]=3,"Valid","Invalid")</f>
        <v>Valid</v>
      </c>
      <c r="AR1645" t="str">
        <f t="shared" si="335"/>
        <v>Valid</v>
      </c>
      <c r="AS1645" t="str">
        <f t="shared" si="336"/>
        <v>Valid</v>
      </c>
    </row>
    <row r="1646" spans="1:45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 t="str">
        <f t="shared" si="325"/>
        <v>Ok</v>
      </c>
      <c r="AE1646" t="str">
        <f>IF(AND(Audit_Data[[#This Row],[Year_Birth]]&gt;=1900,Audit_Data[[#This Row],[Year_Birth]]&lt;=2010),"OK","Invalid")</f>
        <v>OK</v>
      </c>
      <c r="AF1646" t="str">
        <f t="shared" si="326"/>
        <v>Valid</v>
      </c>
      <c r="AG1646" t="str">
        <f t="shared" si="327"/>
        <v>Valid</v>
      </c>
      <c r="AH1646" t="str">
        <f t="shared" si="328"/>
        <v>Valid</v>
      </c>
      <c r="AI1646" t="str">
        <f t="shared" si="329"/>
        <v>Valid</v>
      </c>
      <c r="AJ1646" t="str">
        <f t="shared" si="330"/>
        <v>Valid</v>
      </c>
      <c r="AK1646" t="str">
        <f t="shared" si="337"/>
        <v xml:space="preserve">Valid </v>
      </c>
      <c r="AL1646" t="str">
        <f>IF(AND(Audit_Data[[#This Row],[Recency]]&gt;=0,Audit_Data[[#This Row],[Recency]]&lt;=100),"Valid","Invalid")</f>
        <v>Valid</v>
      </c>
      <c r="AM1646" t="str">
        <f t="shared" si="331"/>
        <v>Valid</v>
      </c>
      <c r="AN1646" t="str">
        <f t="shared" si="332"/>
        <v>Valid</v>
      </c>
      <c r="AO1646" t="str">
        <f t="shared" si="333"/>
        <v>Valid</v>
      </c>
      <c r="AP1646" t="str">
        <f t="shared" si="334"/>
        <v>Valid</v>
      </c>
      <c r="AQ1646" t="str">
        <f>IF(Audit_Data[[#This Row],[Z_CostContact]]=3,"Valid","Invalid")</f>
        <v>Valid</v>
      </c>
      <c r="AR1646" t="str">
        <f t="shared" si="335"/>
        <v>Valid</v>
      </c>
      <c r="AS1646" t="str">
        <f t="shared" si="336"/>
        <v>Valid</v>
      </c>
    </row>
    <row r="1647" spans="1:45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 t="str">
        <f t="shared" si="325"/>
        <v>Ok</v>
      </c>
      <c r="AE1647" t="str">
        <f>IF(AND(Audit_Data[[#This Row],[Year_Birth]]&gt;=1900,Audit_Data[[#This Row],[Year_Birth]]&lt;=2010),"OK","Invalid")</f>
        <v>OK</v>
      </c>
      <c r="AF1647" t="str">
        <f t="shared" si="326"/>
        <v>Valid</v>
      </c>
      <c r="AG1647" t="str">
        <f t="shared" si="327"/>
        <v>Valid</v>
      </c>
      <c r="AH1647" t="str">
        <f t="shared" si="328"/>
        <v>Valid</v>
      </c>
      <c r="AI1647" t="str">
        <f t="shared" si="329"/>
        <v>Valid</v>
      </c>
      <c r="AJ1647" t="str">
        <f t="shared" si="330"/>
        <v>Valid</v>
      </c>
      <c r="AK1647" t="str">
        <f t="shared" si="337"/>
        <v xml:space="preserve">Valid </v>
      </c>
      <c r="AL1647" t="str">
        <f>IF(AND(Audit_Data[[#This Row],[Recency]]&gt;=0,Audit_Data[[#This Row],[Recency]]&lt;=100),"Valid","Invalid")</f>
        <v>Valid</v>
      </c>
      <c r="AM1647" t="str">
        <f t="shared" si="331"/>
        <v>Valid</v>
      </c>
      <c r="AN1647" t="str">
        <f t="shared" si="332"/>
        <v>Valid</v>
      </c>
      <c r="AO1647" t="str">
        <f t="shared" si="333"/>
        <v>Valid</v>
      </c>
      <c r="AP1647" t="str">
        <f t="shared" si="334"/>
        <v>Valid</v>
      </c>
      <c r="AQ1647" t="str">
        <f>IF(Audit_Data[[#This Row],[Z_CostContact]]=3,"Valid","Invalid")</f>
        <v>Valid</v>
      </c>
      <c r="AR1647" t="str">
        <f t="shared" si="335"/>
        <v>Valid</v>
      </c>
      <c r="AS1647" t="str">
        <f t="shared" si="336"/>
        <v>Valid</v>
      </c>
    </row>
    <row r="1648" spans="1:45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 t="str">
        <f t="shared" si="325"/>
        <v>Ok</v>
      </c>
      <c r="AE1648" t="str">
        <f>IF(AND(Audit_Data[[#This Row],[Year_Birth]]&gt;=1900,Audit_Data[[#This Row],[Year_Birth]]&lt;=2010),"OK","Invalid")</f>
        <v>OK</v>
      </c>
      <c r="AF1648" t="str">
        <f t="shared" si="326"/>
        <v>Valid</v>
      </c>
      <c r="AG1648" t="str">
        <f t="shared" si="327"/>
        <v>Valid</v>
      </c>
      <c r="AH1648" t="str">
        <f t="shared" si="328"/>
        <v>Valid</v>
      </c>
      <c r="AI1648" t="str">
        <f t="shared" si="329"/>
        <v>Valid</v>
      </c>
      <c r="AJ1648" t="str">
        <f t="shared" si="330"/>
        <v>Valid</v>
      </c>
      <c r="AK1648" t="str">
        <f t="shared" si="337"/>
        <v xml:space="preserve">Valid </v>
      </c>
      <c r="AL1648" t="str">
        <f>IF(AND(Audit_Data[[#This Row],[Recency]]&gt;=0,Audit_Data[[#This Row],[Recency]]&lt;=100),"Valid","Invalid")</f>
        <v>Valid</v>
      </c>
      <c r="AM1648" t="str">
        <f t="shared" si="331"/>
        <v>Valid</v>
      </c>
      <c r="AN1648" t="str">
        <f t="shared" si="332"/>
        <v>Valid</v>
      </c>
      <c r="AO1648" t="str">
        <f t="shared" si="333"/>
        <v>Valid</v>
      </c>
      <c r="AP1648" t="str">
        <f t="shared" si="334"/>
        <v>Valid</v>
      </c>
      <c r="AQ1648" t="str">
        <f>IF(Audit_Data[[#This Row],[Z_CostContact]]=3,"Valid","Invalid")</f>
        <v>Valid</v>
      </c>
      <c r="AR1648" t="str">
        <f t="shared" si="335"/>
        <v>Valid</v>
      </c>
      <c r="AS1648" t="str">
        <f t="shared" si="336"/>
        <v>Valid</v>
      </c>
    </row>
    <row r="1649" spans="1:45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 t="str">
        <f t="shared" si="325"/>
        <v>Ok</v>
      </c>
      <c r="AE1649" t="str">
        <f>IF(AND(Audit_Data[[#This Row],[Year_Birth]]&gt;=1900,Audit_Data[[#This Row],[Year_Birth]]&lt;=2010),"OK","Invalid")</f>
        <v>OK</v>
      </c>
      <c r="AF1649" t="str">
        <f t="shared" si="326"/>
        <v>Valid</v>
      </c>
      <c r="AG1649" t="str">
        <f t="shared" si="327"/>
        <v>Valid</v>
      </c>
      <c r="AH1649" t="str">
        <f t="shared" si="328"/>
        <v>Valid</v>
      </c>
      <c r="AI1649" t="str">
        <f t="shared" si="329"/>
        <v>Valid</v>
      </c>
      <c r="AJ1649" t="str">
        <f t="shared" si="330"/>
        <v>Valid</v>
      </c>
      <c r="AK1649" t="str">
        <f t="shared" si="337"/>
        <v xml:space="preserve">Valid </v>
      </c>
      <c r="AL1649" t="str">
        <f>IF(AND(Audit_Data[[#This Row],[Recency]]&gt;=0,Audit_Data[[#This Row],[Recency]]&lt;=100),"Valid","Invalid")</f>
        <v>Valid</v>
      </c>
      <c r="AM1649" t="str">
        <f t="shared" si="331"/>
        <v>Valid</v>
      </c>
      <c r="AN1649" t="str">
        <f t="shared" si="332"/>
        <v>Valid</v>
      </c>
      <c r="AO1649" t="str">
        <f t="shared" si="333"/>
        <v>Valid</v>
      </c>
      <c r="AP1649" t="str">
        <f t="shared" si="334"/>
        <v>Valid</v>
      </c>
      <c r="AQ1649" t="str">
        <f>IF(Audit_Data[[#This Row],[Z_CostContact]]=3,"Valid","Invalid")</f>
        <v>Valid</v>
      </c>
      <c r="AR1649" t="str">
        <f t="shared" si="335"/>
        <v>Valid</v>
      </c>
      <c r="AS1649" t="str">
        <f t="shared" si="336"/>
        <v>Valid</v>
      </c>
    </row>
    <row r="1650" spans="1:45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 t="str">
        <f t="shared" si="325"/>
        <v>Ok</v>
      </c>
      <c r="AE1650" t="str">
        <f>IF(AND(Audit_Data[[#This Row],[Year_Birth]]&gt;=1900,Audit_Data[[#This Row],[Year_Birth]]&lt;=2010),"OK","Invalid")</f>
        <v>OK</v>
      </c>
      <c r="AF1650" t="str">
        <f t="shared" si="326"/>
        <v>Valid</v>
      </c>
      <c r="AG1650" t="str">
        <f t="shared" si="327"/>
        <v>Valid</v>
      </c>
      <c r="AH1650" t="str">
        <f t="shared" si="328"/>
        <v>Valid</v>
      </c>
      <c r="AI1650" t="str">
        <f t="shared" si="329"/>
        <v>Valid</v>
      </c>
      <c r="AJ1650" t="str">
        <f t="shared" si="330"/>
        <v>Valid</v>
      </c>
      <c r="AK1650" t="str">
        <f t="shared" si="337"/>
        <v xml:space="preserve">Valid </v>
      </c>
      <c r="AL1650" t="str">
        <f>IF(AND(Audit_Data[[#This Row],[Recency]]&gt;=0,Audit_Data[[#This Row],[Recency]]&lt;=100),"Valid","Invalid")</f>
        <v>Valid</v>
      </c>
      <c r="AM1650" t="str">
        <f t="shared" si="331"/>
        <v>Valid</v>
      </c>
      <c r="AN1650" t="str">
        <f t="shared" si="332"/>
        <v>Valid</v>
      </c>
      <c r="AO1650" t="str">
        <f t="shared" si="333"/>
        <v>Valid</v>
      </c>
      <c r="AP1650" t="str">
        <f t="shared" si="334"/>
        <v>Valid</v>
      </c>
      <c r="AQ1650" t="str">
        <f>IF(Audit_Data[[#This Row],[Z_CostContact]]=3,"Valid","Invalid")</f>
        <v>Valid</v>
      </c>
      <c r="AR1650" t="str">
        <f t="shared" si="335"/>
        <v>Valid</v>
      </c>
      <c r="AS1650" t="str">
        <f t="shared" si="336"/>
        <v>Valid</v>
      </c>
    </row>
    <row r="1651" spans="1:45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 t="str">
        <f t="shared" si="325"/>
        <v>Ok</v>
      </c>
      <c r="AE1651" t="str">
        <f>IF(AND(Audit_Data[[#This Row],[Year_Birth]]&gt;=1900,Audit_Data[[#This Row],[Year_Birth]]&lt;=2010),"OK","Invalid")</f>
        <v>OK</v>
      </c>
      <c r="AF1651" t="str">
        <f t="shared" si="326"/>
        <v>Valid</v>
      </c>
      <c r="AG1651" t="str">
        <f t="shared" si="327"/>
        <v>Valid</v>
      </c>
      <c r="AH1651" t="str">
        <f t="shared" si="328"/>
        <v>Valid</v>
      </c>
      <c r="AI1651" t="str">
        <f t="shared" si="329"/>
        <v>Valid</v>
      </c>
      <c r="AJ1651" t="str">
        <f t="shared" si="330"/>
        <v>Valid</v>
      </c>
      <c r="AK1651" t="str">
        <f t="shared" si="337"/>
        <v xml:space="preserve">Valid </v>
      </c>
      <c r="AL1651" t="str">
        <f>IF(AND(Audit_Data[[#This Row],[Recency]]&gt;=0,Audit_Data[[#This Row],[Recency]]&lt;=100),"Valid","Invalid")</f>
        <v>Valid</v>
      </c>
      <c r="AM1651" t="str">
        <f t="shared" si="331"/>
        <v>Valid</v>
      </c>
      <c r="AN1651" t="str">
        <f t="shared" si="332"/>
        <v>Valid</v>
      </c>
      <c r="AO1651" t="str">
        <f t="shared" si="333"/>
        <v>Valid</v>
      </c>
      <c r="AP1651" t="str">
        <f t="shared" si="334"/>
        <v>Valid</v>
      </c>
      <c r="AQ1651" t="str">
        <f>IF(Audit_Data[[#This Row],[Z_CostContact]]=3,"Valid","Invalid")</f>
        <v>Valid</v>
      </c>
      <c r="AR1651" t="str">
        <f t="shared" si="335"/>
        <v>Valid</v>
      </c>
      <c r="AS1651" t="str">
        <f t="shared" si="336"/>
        <v>Valid</v>
      </c>
    </row>
    <row r="1652" spans="1:45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 t="str">
        <f t="shared" si="325"/>
        <v>Ok</v>
      </c>
      <c r="AE1652" t="str">
        <f>IF(AND(Audit_Data[[#This Row],[Year_Birth]]&gt;=1900,Audit_Data[[#This Row],[Year_Birth]]&lt;=2010),"OK","Invalid")</f>
        <v>OK</v>
      </c>
      <c r="AF1652" t="str">
        <f t="shared" si="326"/>
        <v>Valid</v>
      </c>
      <c r="AG1652" t="str">
        <f t="shared" si="327"/>
        <v>Valid</v>
      </c>
      <c r="AH1652" t="str">
        <f t="shared" si="328"/>
        <v>Valid</v>
      </c>
      <c r="AI1652" t="str">
        <f t="shared" si="329"/>
        <v>Valid</v>
      </c>
      <c r="AJ1652" t="str">
        <f t="shared" si="330"/>
        <v>Valid</v>
      </c>
      <c r="AK1652" t="str">
        <f t="shared" si="337"/>
        <v xml:space="preserve">Valid </v>
      </c>
      <c r="AL1652" t="str">
        <f>IF(AND(Audit_Data[[#This Row],[Recency]]&gt;=0,Audit_Data[[#This Row],[Recency]]&lt;=100),"Valid","Invalid")</f>
        <v>Valid</v>
      </c>
      <c r="AM1652" t="str">
        <f t="shared" si="331"/>
        <v>Valid</v>
      </c>
      <c r="AN1652" t="str">
        <f t="shared" si="332"/>
        <v>Valid</v>
      </c>
      <c r="AO1652" t="str">
        <f t="shared" si="333"/>
        <v>Valid</v>
      </c>
      <c r="AP1652" t="str">
        <f t="shared" si="334"/>
        <v>Valid</v>
      </c>
      <c r="AQ1652" t="str">
        <f>IF(Audit_Data[[#This Row],[Z_CostContact]]=3,"Valid","Invalid")</f>
        <v>Valid</v>
      </c>
      <c r="AR1652" t="str">
        <f t="shared" si="335"/>
        <v>Valid</v>
      </c>
      <c r="AS1652" t="str">
        <f t="shared" si="336"/>
        <v>Valid</v>
      </c>
    </row>
    <row r="1653" spans="1:45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 t="str">
        <f t="shared" si="325"/>
        <v>Ok</v>
      </c>
      <c r="AE1653" t="str">
        <f>IF(AND(Audit_Data[[#This Row],[Year_Birth]]&gt;=1900,Audit_Data[[#This Row],[Year_Birth]]&lt;=2010),"OK","Invalid")</f>
        <v>OK</v>
      </c>
      <c r="AF1653" t="str">
        <f t="shared" si="326"/>
        <v>Valid</v>
      </c>
      <c r="AG1653" t="str">
        <f t="shared" si="327"/>
        <v>Valid</v>
      </c>
      <c r="AH1653" t="str">
        <f t="shared" si="328"/>
        <v>Valid</v>
      </c>
      <c r="AI1653" t="str">
        <f t="shared" si="329"/>
        <v>Valid</v>
      </c>
      <c r="AJ1653" t="str">
        <f t="shared" si="330"/>
        <v>Valid</v>
      </c>
      <c r="AK1653" t="str">
        <f t="shared" si="337"/>
        <v xml:space="preserve">Valid </v>
      </c>
      <c r="AL1653" t="str">
        <f>IF(AND(Audit_Data[[#This Row],[Recency]]&gt;=0,Audit_Data[[#This Row],[Recency]]&lt;=100),"Valid","Invalid")</f>
        <v>Valid</v>
      </c>
      <c r="AM1653" t="str">
        <f t="shared" si="331"/>
        <v>Valid</v>
      </c>
      <c r="AN1653" t="str">
        <f t="shared" si="332"/>
        <v>Valid</v>
      </c>
      <c r="AO1653" t="str">
        <f t="shared" si="333"/>
        <v>Valid</v>
      </c>
      <c r="AP1653" t="str">
        <f t="shared" si="334"/>
        <v>Valid</v>
      </c>
      <c r="AQ1653" t="str">
        <f>IF(Audit_Data[[#This Row],[Z_CostContact]]=3,"Valid","Invalid")</f>
        <v>Valid</v>
      </c>
      <c r="AR1653" t="str">
        <f t="shared" si="335"/>
        <v>Valid</v>
      </c>
      <c r="AS1653" t="str">
        <f t="shared" si="336"/>
        <v>Valid</v>
      </c>
    </row>
    <row r="1654" spans="1:45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 t="str">
        <f t="shared" si="325"/>
        <v>Ok</v>
      </c>
      <c r="AE1654" t="str">
        <f>IF(AND(Audit_Data[[#This Row],[Year_Birth]]&gt;=1900,Audit_Data[[#This Row],[Year_Birth]]&lt;=2010),"OK","Invalid")</f>
        <v>OK</v>
      </c>
      <c r="AF1654" t="str">
        <f t="shared" si="326"/>
        <v>Valid</v>
      </c>
      <c r="AG1654" t="str">
        <f t="shared" si="327"/>
        <v>Valid</v>
      </c>
      <c r="AH1654" t="str">
        <f t="shared" si="328"/>
        <v>Valid</v>
      </c>
      <c r="AI1654" t="str">
        <f t="shared" si="329"/>
        <v>Valid</v>
      </c>
      <c r="AJ1654" t="str">
        <f t="shared" si="330"/>
        <v>Valid</v>
      </c>
      <c r="AK1654" t="str">
        <f t="shared" si="337"/>
        <v xml:space="preserve">Valid </v>
      </c>
      <c r="AL1654" t="str">
        <f>IF(AND(Audit_Data[[#This Row],[Recency]]&gt;=0,Audit_Data[[#This Row],[Recency]]&lt;=100),"Valid","Invalid")</f>
        <v>Valid</v>
      </c>
      <c r="AM1654" t="str">
        <f t="shared" si="331"/>
        <v>Valid</v>
      </c>
      <c r="AN1654" t="str">
        <f t="shared" si="332"/>
        <v>Valid</v>
      </c>
      <c r="AO1654" t="str">
        <f t="shared" si="333"/>
        <v>Valid</v>
      </c>
      <c r="AP1654" t="str">
        <f t="shared" si="334"/>
        <v>Valid</v>
      </c>
      <c r="AQ1654" t="str">
        <f>IF(Audit_Data[[#This Row],[Z_CostContact]]=3,"Valid","Invalid")</f>
        <v>Valid</v>
      </c>
      <c r="AR1654" t="str">
        <f t="shared" si="335"/>
        <v>Valid</v>
      </c>
      <c r="AS1654" t="str">
        <f t="shared" si="336"/>
        <v>Valid</v>
      </c>
    </row>
    <row r="1655" spans="1:45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 t="str">
        <f t="shared" si="325"/>
        <v>Ok</v>
      </c>
      <c r="AE1655" t="str">
        <f>IF(AND(Audit_Data[[#This Row],[Year_Birth]]&gt;=1900,Audit_Data[[#This Row],[Year_Birth]]&lt;=2010),"OK","Invalid")</f>
        <v>OK</v>
      </c>
      <c r="AF1655" t="str">
        <f t="shared" si="326"/>
        <v>Valid</v>
      </c>
      <c r="AG1655" t="str">
        <f t="shared" si="327"/>
        <v>Valid</v>
      </c>
      <c r="AH1655" t="str">
        <f t="shared" si="328"/>
        <v>Valid</v>
      </c>
      <c r="AI1655" t="str">
        <f t="shared" si="329"/>
        <v>Valid</v>
      </c>
      <c r="AJ1655" t="str">
        <f t="shared" si="330"/>
        <v>Valid</v>
      </c>
      <c r="AK1655" t="str">
        <f t="shared" si="337"/>
        <v xml:space="preserve">Valid </v>
      </c>
      <c r="AL1655" t="str">
        <f>IF(AND(Audit_Data[[#This Row],[Recency]]&gt;=0,Audit_Data[[#This Row],[Recency]]&lt;=100),"Valid","Invalid")</f>
        <v>Valid</v>
      </c>
      <c r="AM1655" t="str">
        <f t="shared" si="331"/>
        <v>Valid</v>
      </c>
      <c r="AN1655" t="str">
        <f t="shared" si="332"/>
        <v>Valid</v>
      </c>
      <c r="AO1655" t="str">
        <f t="shared" si="333"/>
        <v>Valid</v>
      </c>
      <c r="AP1655" t="str">
        <f t="shared" si="334"/>
        <v>Valid</v>
      </c>
      <c r="AQ1655" t="str">
        <f>IF(Audit_Data[[#This Row],[Z_CostContact]]=3,"Valid","Invalid")</f>
        <v>Valid</v>
      </c>
      <c r="AR1655" t="str">
        <f t="shared" si="335"/>
        <v>Valid</v>
      </c>
      <c r="AS1655" t="str">
        <f t="shared" si="336"/>
        <v>Valid</v>
      </c>
    </row>
    <row r="1656" spans="1:45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 t="str">
        <f t="shared" si="325"/>
        <v>Ok</v>
      </c>
      <c r="AE1656" t="str">
        <f>IF(AND(Audit_Data[[#This Row],[Year_Birth]]&gt;=1900,Audit_Data[[#This Row],[Year_Birth]]&lt;=2010),"OK","Invalid")</f>
        <v>OK</v>
      </c>
      <c r="AF1656" t="str">
        <f t="shared" si="326"/>
        <v>Valid</v>
      </c>
      <c r="AG1656" t="str">
        <f t="shared" si="327"/>
        <v>Valid</v>
      </c>
      <c r="AH1656" t="str">
        <f t="shared" si="328"/>
        <v>Valid</v>
      </c>
      <c r="AI1656" t="str">
        <f t="shared" si="329"/>
        <v>Valid</v>
      </c>
      <c r="AJ1656" t="str">
        <f t="shared" si="330"/>
        <v>Valid</v>
      </c>
      <c r="AK1656" t="str">
        <f t="shared" si="337"/>
        <v xml:space="preserve">Valid </v>
      </c>
      <c r="AL1656" t="str">
        <f>IF(AND(Audit_Data[[#This Row],[Recency]]&gt;=0,Audit_Data[[#This Row],[Recency]]&lt;=100),"Valid","Invalid")</f>
        <v>Valid</v>
      </c>
      <c r="AM1656" t="str">
        <f t="shared" si="331"/>
        <v>Valid</v>
      </c>
      <c r="AN1656" t="str">
        <f t="shared" si="332"/>
        <v>Valid</v>
      </c>
      <c r="AO1656" t="str">
        <f t="shared" si="333"/>
        <v>Valid</v>
      </c>
      <c r="AP1656" t="str">
        <f t="shared" si="334"/>
        <v>Valid</v>
      </c>
      <c r="AQ1656" t="str">
        <f>IF(Audit_Data[[#This Row],[Z_CostContact]]=3,"Valid","Invalid")</f>
        <v>Valid</v>
      </c>
      <c r="AR1656" t="str">
        <f t="shared" si="335"/>
        <v>Valid</v>
      </c>
      <c r="AS1656" t="str">
        <f t="shared" si="336"/>
        <v>Valid</v>
      </c>
    </row>
    <row r="1657" spans="1:45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 t="str">
        <f t="shared" si="325"/>
        <v>Ok</v>
      </c>
      <c r="AE1657" t="str">
        <f>IF(AND(Audit_Data[[#This Row],[Year_Birth]]&gt;=1900,Audit_Data[[#This Row],[Year_Birth]]&lt;=2010),"OK","Invalid")</f>
        <v>OK</v>
      </c>
      <c r="AF1657" t="str">
        <f t="shared" si="326"/>
        <v>Valid</v>
      </c>
      <c r="AG1657" t="str">
        <f t="shared" si="327"/>
        <v>Valid</v>
      </c>
      <c r="AH1657" t="str">
        <f t="shared" si="328"/>
        <v>Valid</v>
      </c>
      <c r="AI1657" t="str">
        <f t="shared" si="329"/>
        <v>Valid</v>
      </c>
      <c r="AJ1657" t="str">
        <f t="shared" si="330"/>
        <v>Valid</v>
      </c>
      <c r="AK1657" t="str">
        <f t="shared" si="337"/>
        <v xml:space="preserve">Valid </v>
      </c>
      <c r="AL1657" t="str">
        <f>IF(AND(Audit_Data[[#This Row],[Recency]]&gt;=0,Audit_Data[[#This Row],[Recency]]&lt;=100),"Valid","Invalid")</f>
        <v>Valid</v>
      </c>
      <c r="AM1657" t="str">
        <f t="shared" si="331"/>
        <v>Valid</v>
      </c>
      <c r="AN1657" t="str">
        <f t="shared" si="332"/>
        <v>Valid</v>
      </c>
      <c r="AO1657" t="str">
        <f t="shared" si="333"/>
        <v>Valid</v>
      </c>
      <c r="AP1657" t="str">
        <f t="shared" si="334"/>
        <v>Valid</v>
      </c>
      <c r="AQ1657" t="str">
        <f>IF(Audit_Data[[#This Row],[Z_CostContact]]=3,"Valid","Invalid")</f>
        <v>Valid</v>
      </c>
      <c r="AR1657" t="str">
        <f t="shared" si="335"/>
        <v>Valid</v>
      </c>
      <c r="AS1657" t="str">
        <f t="shared" si="336"/>
        <v>Valid</v>
      </c>
    </row>
    <row r="1658" spans="1:45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 t="str">
        <f t="shared" si="325"/>
        <v>Ok</v>
      </c>
      <c r="AE1658" t="str">
        <f>IF(AND(Audit_Data[[#This Row],[Year_Birth]]&gt;=1900,Audit_Data[[#This Row],[Year_Birth]]&lt;=2010),"OK","Invalid")</f>
        <v>OK</v>
      </c>
      <c r="AF1658" t="str">
        <f t="shared" si="326"/>
        <v>Valid</v>
      </c>
      <c r="AG1658" t="str">
        <f t="shared" si="327"/>
        <v>Valid</v>
      </c>
      <c r="AH1658" t="str">
        <f t="shared" si="328"/>
        <v>Valid</v>
      </c>
      <c r="AI1658" t="str">
        <f t="shared" si="329"/>
        <v>Valid</v>
      </c>
      <c r="AJ1658" t="str">
        <f t="shared" si="330"/>
        <v>Valid</v>
      </c>
      <c r="AK1658" t="str">
        <f t="shared" si="337"/>
        <v xml:space="preserve">Valid </v>
      </c>
      <c r="AL1658" t="str">
        <f>IF(AND(Audit_Data[[#This Row],[Recency]]&gt;=0,Audit_Data[[#This Row],[Recency]]&lt;=100),"Valid","Invalid")</f>
        <v>Valid</v>
      </c>
      <c r="AM1658" t="str">
        <f t="shared" si="331"/>
        <v>Valid</v>
      </c>
      <c r="AN1658" t="str">
        <f t="shared" si="332"/>
        <v>Valid</v>
      </c>
      <c r="AO1658" t="str">
        <f t="shared" si="333"/>
        <v>Valid</v>
      </c>
      <c r="AP1658" t="str">
        <f t="shared" si="334"/>
        <v>Valid</v>
      </c>
      <c r="AQ1658" t="str">
        <f>IF(Audit_Data[[#This Row],[Z_CostContact]]=3,"Valid","Invalid")</f>
        <v>Valid</v>
      </c>
      <c r="AR1658" t="str">
        <f t="shared" si="335"/>
        <v>Valid</v>
      </c>
      <c r="AS1658" t="str">
        <f t="shared" si="336"/>
        <v>Valid</v>
      </c>
    </row>
    <row r="1659" spans="1:45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 t="str">
        <f t="shared" si="325"/>
        <v>Ok</v>
      </c>
      <c r="AE1659" t="str">
        <f>IF(AND(Audit_Data[[#This Row],[Year_Birth]]&gt;=1900,Audit_Data[[#This Row],[Year_Birth]]&lt;=2010),"OK","Invalid")</f>
        <v>OK</v>
      </c>
      <c r="AF1659" t="str">
        <f t="shared" si="326"/>
        <v>Valid</v>
      </c>
      <c r="AG1659" t="str">
        <f t="shared" si="327"/>
        <v>Valid</v>
      </c>
      <c r="AH1659" t="str">
        <f t="shared" si="328"/>
        <v>Valid</v>
      </c>
      <c r="AI1659" t="str">
        <f t="shared" si="329"/>
        <v>Valid</v>
      </c>
      <c r="AJ1659" t="str">
        <f t="shared" si="330"/>
        <v>Valid</v>
      </c>
      <c r="AK1659" t="str">
        <f t="shared" si="337"/>
        <v xml:space="preserve">Valid </v>
      </c>
      <c r="AL1659" t="str">
        <f>IF(AND(Audit_Data[[#This Row],[Recency]]&gt;=0,Audit_Data[[#This Row],[Recency]]&lt;=100),"Valid","Invalid")</f>
        <v>Valid</v>
      </c>
      <c r="AM1659" t="str">
        <f t="shared" si="331"/>
        <v>Valid</v>
      </c>
      <c r="AN1659" t="str">
        <f t="shared" si="332"/>
        <v>Valid</v>
      </c>
      <c r="AO1659" t="str">
        <f t="shared" si="333"/>
        <v>Valid</v>
      </c>
      <c r="AP1659" t="str">
        <f t="shared" si="334"/>
        <v>Valid</v>
      </c>
      <c r="AQ1659" t="str">
        <f>IF(Audit_Data[[#This Row],[Z_CostContact]]=3,"Valid","Invalid")</f>
        <v>Valid</v>
      </c>
      <c r="AR1659" t="str">
        <f t="shared" si="335"/>
        <v>Valid</v>
      </c>
      <c r="AS1659" t="str">
        <f t="shared" si="336"/>
        <v>Valid</v>
      </c>
    </row>
    <row r="1660" spans="1:45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 t="str">
        <f t="shared" si="325"/>
        <v>Ok</v>
      </c>
      <c r="AE1660" t="str">
        <f>IF(AND(Audit_Data[[#This Row],[Year_Birth]]&gt;=1900,Audit_Data[[#This Row],[Year_Birth]]&lt;=2010),"OK","Invalid")</f>
        <v>OK</v>
      </c>
      <c r="AF1660" t="str">
        <f t="shared" si="326"/>
        <v>Valid</v>
      </c>
      <c r="AG1660" t="str">
        <f t="shared" si="327"/>
        <v>Valid</v>
      </c>
      <c r="AH1660" t="str">
        <f t="shared" si="328"/>
        <v>Valid</v>
      </c>
      <c r="AI1660" t="str">
        <f t="shared" si="329"/>
        <v>Valid</v>
      </c>
      <c r="AJ1660" t="str">
        <f t="shared" si="330"/>
        <v>Valid</v>
      </c>
      <c r="AK1660" t="str">
        <f t="shared" si="337"/>
        <v xml:space="preserve">Valid </v>
      </c>
      <c r="AL1660" t="str">
        <f>IF(AND(Audit_Data[[#This Row],[Recency]]&gt;=0,Audit_Data[[#This Row],[Recency]]&lt;=100),"Valid","Invalid")</f>
        <v>Valid</v>
      </c>
      <c r="AM1660" t="str">
        <f t="shared" si="331"/>
        <v>Valid</v>
      </c>
      <c r="AN1660" t="str">
        <f t="shared" si="332"/>
        <v>Valid</v>
      </c>
      <c r="AO1660" t="str">
        <f t="shared" si="333"/>
        <v>Valid</v>
      </c>
      <c r="AP1660" t="str">
        <f t="shared" si="334"/>
        <v>Valid</v>
      </c>
      <c r="AQ1660" t="str">
        <f>IF(Audit_Data[[#This Row],[Z_CostContact]]=3,"Valid","Invalid")</f>
        <v>Valid</v>
      </c>
      <c r="AR1660" t="str">
        <f t="shared" si="335"/>
        <v>Valid</v>
      </c>
      <c r="AS1660" t="str">
        <f t="shared" si="336"/>
        <v>Valid</v>
      </c>
    </row>
    <row r="1661" spans="1:45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 t="str">
        <f t="shared" si="325"/>
        <v>Ok</v>
      </c>
      <c r="AE1661" t="str">
        <f>IF(AND(Audit_Data[[#This Row],[Year_Birth]]&gt;=1900,Audit_Data[[#This Row],[Year_Birth]]&lt;=2010),"OK","Invalid")</f>
        <v>OK</v>
      </c>
      <c r="AF1661" t="str">
        <f t="shared" si="326"/>
        <v>Valid</v>
      </c>
      <c r="AG1661" t="str">
        <f t="shared" si="327"/>
        <v>Valid</v>
      </c>
      <c r="AH1661" t="str">
        <f t="shared" si="328"/>
        <v>Valid</v>
      </c>
      <c r="AI1661" t="str">
        <f t="shared" si="329"/>
        <v>Valid</v>
      </c>
      <c r="AJ1661" t="str">
        <f t="shared" si="330"/>
        <v>Valid</v>
      </c>
      <c r="AK1661" t="str">
        <f t="shared" si="337"/>
        <v xml:space="preserve">Valid </v>
      </c>
      <c r="AL1661" t="str">
        <f>IF(AND(Audit_Data[[#This Row],[Recency]]&gt;=0,Audit_Data[[#This Row],[Recency]]&lt;=100),"Valid","Invalid")</f>
        <v>Valid</v>
      </c>
      <c r="AM1661" t="str">
        <f t="shared" si="331"/>
        <v>Valid</v>
      </c>
      <c r="AN1661" t="str">
        <f t="shared" si="332"/>
        <v>Valid</v>
      </c>
      <c r="AO1661" t="str">
        <f t="shared" si="333"/>
        <v>Valid</v>
      </c>
      <c r="AP1661" t="str">
        <f t="shared" si="334"/>
        <v>Valid</v>
      </c>
      <c r="AQ1661" t="str">
        <f>IF(Audit_Data[[#This Row],[Z_CostContact]]=3,"Valid","Invalid")</f>
        <v>Valid</v>
      </c>
      <c r="AR1661" t="str">
        <f t="shared" si="335"/>
        <v>Valid</v>
      </c>
      <c r="AS1661" t="str">
        <f t="shared" si="336"/>
        <v>Valid</v>
      </c>
    </row>
    <row r="1662" spans="1:45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 t="str">
        <f t="shared" si="325"/>
        <v>Ok</v>
      </c>
      <c r="AE1662" t="str">
        <f>IF(AND(Audit_Data[[#This Row],[Year_Birth]]&gt;=1900,Audit_Data[[#This Row],[Year_Birth]]&lt;=2010),"OK","Invalid")</f>
        <v>OK</v>
      </c>
      <c r="AF1662" t="str">
        <f t="shared" si="326"/>
        <v>Valid</v>
      </c>
      <c r="AG1662" t="str">
        <f t="shared" si="327"/>
        <v>Valid</v>
      </c>
      <c r="AH1662" t="str">
        <f t="shared" si="328"/>
        <v>Valid</v>
      </c>
      <c r="AI1662" t="str">
        <f t="shared" si="329"/>
        <v>Valid</v>
      </c>
      <c r="AJ1662" t="str">
        <f t="shared" si="330"/>
        <v>Valid</v>
      </c>
      <c r="AK1662" t="str">
        <f t="shared" si="337"/>
        <v xml:space="preserve">Valid </v>
      </c>
      <c r="AL1662" t="str">
        <f>IF(AND(Audit_Data[[#This Row],[Recency]]&gt;=0,Audit_Data[[#This Row],[Recency]]&lt;=100),"Valid","Invalid")</f>
        <v>Valid</v>
      </c>
      <c r="AM1662" t="str">
        <f t="shared" si="331"/>
        <v>Valid</v>
      </c>
      <c r="AN1662" t="str">
        <f t="shared" si="332"/>
        <v>Valid</v>
      </c>
      <c r="AO1662" t="str">
        <f t="shared" si="333"/>
        <v>Valid</v>
      </c>
      <c r="AP1662" t="str">
        <f t="shared" si="334"/>
        <v>Valid</v>
      </c>
      <c r="AQ1662" t="str">
        <f>IF(Audit_Data[[#This Row],[Z_CostContact]]=3,"Valid","Invalid")</f>
        <v>Valid</v>
      </c>
      <c r="AR1662" t="str">
        <f t="shared" si="335"/>
        <v>Valid</v>
      </c>
      <c r="AS1662" t="str">
        <f t="shared" si="336"/>
        <v>Valid</v>
      </c>
    </row>
    <row r="1663" spans="1:45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 t="str">
        <f t="shared" si="325"/>
        <v>Ok</v>
      </c>
      <c r="AE1663" t="str">
        <f>IF(AND(Audit_Data[[#This Row],[Year_Birth]]&gt;=1900,Audit_Data[[#This Row],[Year_Birth]]&lt;=2010),"OK","Invalid")</f>
        <v>OK</v>
      </c>
      <c r="AF1663" t="str">
        <f t="shared" si="326"/>
        <v>Valid</v>
      </c>
      <c r="AG1663" t="str">
        <f t="shared" si="327"/>
        <v>Valid</v>
      </c>
      <c r="AH1663" t="str">
        <f t="shared" si="328"/>
        <v>Valid</v>
      </c>
      <c r="AI1663" t="str">
        <f t="shared" si="329"/>
        <v>Valid</v>
      </c>
      <c r="AJ1663" t="str">
        <f t="shared" si="330"/>
        <v>Valid</v>
      </c>
      <c r="AK1663" t="str">
        <f t="shared" si="337"/>
        <v xml:space="preserve">Valid </v>
      </c>
      <c r="AL1663" t="str">
        <f>IF(AND(Audit_Data[[#This Row],[Recency]]&gt;=0,Audit_Data[[#This Row],[Recency]]&lt;=100),"Valid","Invalid")</f>
        <v>Valid</v>
      </c>
      <c r="AM1663" t="str">
        <f t="shared" si="331"/>
        <v>Valid</v>
      </c>
      <c r="AN1663" t="str">
        <f t="shared" si="332"/>
        <v>Valid</v>
      </c>
      <c r="AO1663" t="str">
        <f t="shared" si="333"/>
        <v>Valid</v>
      </c>
      <c r="AP1663" t="str">
        <f t="shared" si="334"/>
        <v>Valid</v>
      </c>
      <c r="AQ1663" t="str">
        <f>IF(Audit_Data[[#This Row],[Z_CostContact]]=3,"Valid","Invalid")</f>
        <v>Valid</v>
      </c>
      <c r="AR1663" t="str">
        <f t="shared" si="335"/>
        <v>Valid</v>
      </c>
      <c r="AS1663" t="str">
        <f t="shared" si="336"/>
        <v>Valid</v>
      </c>
    </row>
    <row r="1664" spans="1:45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 t="str">
        <f t="shared" si="325"/>
        <v>Ok</v>
      </c>
      <c r="AE1664" t="str">
        <f>IF(AND(Audit_Data[[#This Row],[Year_Birth]]&gt;=1900,Audit_Data[[#This Row],[Year_Birth]]&lt;=2010),"OK","Invalid")</f>
        <v>OK</v>
      </c>
      <c r="AF1664" t="str">
        <f t="shared" si="326"/>
        <v>Valid</v>
      </c>
      <c r="AG1664" t="str">
        <f t="shared" si="327"/>
        <v>Valid</v>
      </c>
      <c r="AH1664" t="str">
        <f t="shared" si="328"/>
        <v>Valid</v>
      </c>
      <c r="AI1664" t="str">
        <f t="shared" si="329"/>
        <v>Valid</v>
      </c>
      <c r="AJ1664" t="str">
        <f t="shared" si="330"/>
        <v>Valid</v>
      </c>
      <c r="AK1664" t="str">
        <f t="shared" si="337"/>
        <v xml:space="preserve">Valid </v>
      </c>
      <c r="AL1664" t="str">
        <f>IF(AND(Audit_Data[[#This Row],[Recency]]&gt;=0,Audit_Data[[#This Row],[Recency]]&lt;=100),"Valid","Invalid")</f>
        <v>Valid</v>
      </c>
      <c r="AM1664" t="str">
        <f t="shared" si="331"/>
        <v>Valid</v>
      </c>
      <c r="AN1664" t="str">
        <f t="shared" si="332"/>
        <v>Valid</v>
      </c>
      <c r="AO1664" t="str">
        <f t="shared" si="333"/>
        <v>Valid</v>
      </c>
      <c r="AP1664" t="str">
        <f t="shared" si="334"/>
        <v>Valid</v>
      </c>
      <c r="AQ1664" t="str">
        <f>IF(Audit_Data[[#This Row],[Z_CostContact]]=3,"Valid","Invalid")</f>
        <v>Valid</v>
      </c>
      <c r="AR1664" t="str">
        <f t="shared" si="335"/>
        <v>Valid</v>
      </c>
      <c r="AS1664" t="str">
        <f t="shared" si="336"/>
        <v>Valid</v>
      </c>
    </row>
    <row r="1665" spans="1:45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 t="str">
        <f t="shared" si="325"/>
        <v>Ok</v>
      </c>
      <c r="AE1665" t="str">
        <f>IF(AND(Audit_Data[[#This Row],[Year_Birth]]&gt;=1900,Audit_Data[[#This Row],[Year_Birth]]&lt;=2010),"OK","Invalid")</f>
        <v>OK</v>
      </c>
      <c r="AF1665" t="str">
        <f t="shared" si="326"/>
        <v>Valid</v>
      </c>
      <c r="AG1665" t="str">
        <f t="shared" si="327"/>
        <v>Valid</v>
      </c>
      <c r="AH1665" t="str">
        <f t="shared" si="328"/>
        <v>Valid</v>
      </c>
      <c r="AI1665" t="str">
        <f t="shared" si="329"/>
        <v>Valid</v>
      </c>
      <c r="AJ1665" t="str">
        <f t="shared" si="330"/>
        <v>Valid</v>
      </c>
      <c r="AK1665" t="str">
        <f t="shared" si="337"/>
        <v xml:space="preserve">Valid </v>
      </c>
      <c r="AL1665" t="str">
        <f>IF(AND(Audit_Data[[#This Row],[Recency]]&gt;=0,Audit_Data[[#This Row],[Recency]]&lt;=100),"Valid","Invalid")</f>
        <v>Valid</v>
      </c>
      <c r="AM1665" t="str">
        <f t="shared" si="331"/>
        <v>Valid</v>
      </c>
      <c r="AN1665" t="str">
        <f t="shared" si="332"/>
        <v>Valid</v>
      </c>
      <c r="AO1665" t="str">
        <f t="shared" si="333"/>
        <v>Valid</v>
      </c>
      <c r="AP1665" t="str">
        <f t="shared" si="334"/>
        <v>Valid</v>
      </c>
      <c r="AQ1665" t="str">
        <f>IF(Audit_Data[[#This Row],[Z_CostContact]]=3,"Valid","Invalid")</f>
        <v>Valid</v>
      </c>
      <c r="AR1665" t="str">
        <f t="shared" si="335"/>
        <v>Valid</v>
      </c>
      <c r="AS1665" t="str">
        <f t="shared" si="336"/>
        <v>Valid</v>
      </c>
    </row>
    <row r="1666" spans="1:45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 t="str">
        <f t="shared" ref="AD1666:AD1729" si="338">IF(COUNTIF(A:A,A1666)&gt;1,"Duplicate","Ok")</f>
        <v>Ok</v>
      </c>
      <c r="AE1666" t="str">
        <f>IF(AND(Audit_Data[[#This Row],[Year_Birth]]&gt;=1900,Audit_Data[[#This Row],[Year_Birth]]&lt;=2010),"OK","Invalid")</f>
        <v>OK</v>
      </c>
      <c r="AF1666" t="str">
        <f t="shared" ref="AF1666:AF1729" si="339">IF(OR(C1666="Graduation",C1666="phD",C1666="Master",C1666="Basic",C1666="2n Cycle"),"Valid","Invalid")</f>
        <v>Valid</v>
      </c>
      <c r="AG1666" t="str">
        <f t="shared" ref="AG1666:AG1729" si="340">IF(OR(D1666="Single",D1666="Married",D1666="Divorced",D1666="Together",D1666="Widow",D1666="Alone"),"Valid","Invalid")</f>
        <v>Valid</v>
      </c>
      <c r="AH1666" t="str">
        <f t="shared" ref="AH1666:AH1729" si="341">IF(AND(ISNUMBER(E1666),E1666&lt;&gt;""),"Valid","Invalid")</f>
        <v>Valid</v>
      </c>
      <c r="AI1666" t="str">
        <f t="shared" ref="AI1666:AI1729" si="342">IF(AND(F1666&gt;=0,F1666&lt;=2),"Valid","Invalid")</f>
        <v>Valid</v>
      </c>
      <c r="AJ1666" t="str">
        <f t="shared" ref="AJ1666:AJ1729" si="343">IF(AND(G1666&gt;=0,G1666&lt;=2),"Valid","Invalid")</f>
        <v>Valid</v>
      </c>
      <c r="AK1666" t="str">
        <f t="shared" si="337"/>
        <v xml:space="preserve">Valid </v>
      </c>
      <c r="AL1666" t="str">
        <f>IF(AND(Audit_Data[[#This Row],[Recency]]&gt;=0,Audit_Data[[#This Row],[Recency]]&lt;=100),"Valid","Invalid")</f>
        <v>Valid</v>
      </c>
      <c r="AM1666" t="str">
        <f t="shared" ref="AM1666:AM1729" si="344">IF(AND(ISNUMBER(J1666),J1666&gt;=0,ISNUMBER(K1666),K1666&gt;=0,ISNUMBER(L1666),L1666&gt;=0,ISNUMBER(M1666),M1666&gt;=0,ISNUMBER(N1666),N1666&gt;=0,ISNUMBER(O1666),O1666&gt;=0),"Valid","Invalid")</f>
        <v>Valid</v>
      </c>
      <c r="AN1666" t="str">
        <f t="shared" ref="AN1666:AN1729" si="345">IF(AND(ISNUMBER(P1666),P1666&gt;=0,ISNUMBER(Q1666),Q1666&gt;=0,ISNUMBER(R1666),R1666&gt;=0,ISNUMBER(S1666),S1666&gt;=0,ISNUMBER(T1666),T1666&gt;=0),"Valid","Invalid")</f>
        <v>Valid</v>
      </c>
      <c r="AO1666" t="str">
        <f t="shared" ref="AO1666:AO1729" si="346">IF(AND(U1666&lt;=1,V1666&lt;=1,W1666&lt;=1,X1666&lt;=1,Y1666&lt;=1),"Valid","Invalid")</f>
        <v>Valid</v>
      </c>
      <c r="AP1666" t="str">
        <f t="shared" ref="AP1666:AP1729" si="347">IF(OR(Z1666=0,Z1666=1),"Valid","Invalid")</f>
        <v>Valid</v>
      </c>
      <c r="AQ1666" t="str">
        <f>IF(Audit_Data[[#This Row],[Z_CostContact]]=3,"Valid","Invalid")</f>
        <v>Valid</v>
      </c>
      <c r="AR1666" t="str">
        <f t="shared" ref="AR1666:AR1729" si="348">IF(AB1666=11,"Valid","Invalid")</f>
        <v>Valid</v>
      </c>
      <c r="AS1666" t="str">
        <f t="shared" ref="AS1666:AS1729" si="349">IF(OR(AC1666=0,AC1666=1),"Valid","Invalid")</f>
        <v>Valid</v>
      </c>
    </row>
    <row r="1667" spans="1:45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 t="str">
        <f t="shared" si="338"/>
        <v>Ok</v>
      </c>
      <c r="AE1667" t="str">
        <f>IF(AND(Audit_Data[[#This Row],[Year_Birth]]&gt;=1900,Audit_Data[[#This Row],[Year_Birth]]&lt;=2010),"OK","Invalid")</f>
        <v>OK</v>
      </c>
      <c r="AF1667" t="str">
        <f t="shared" si="339"/>
        <v>Valid</v>
      </c>
      <c r="AG1667" t="str">
        <f t="shared" si="340"/>
        <v>Valid</v>
      </c>
      <c r="AH1667" t="str">
        <f t="shared" si="341"/>
        <v>Valid</v>
      </c>
      <c r="AI1667" t="str">
        <f t="shared" si="342"/>
        <v>Valid</v>
      </c>
      <c r="AJ1667" t="str">
        <f t="shared" si="343"/>
        <v>Valid</v>
      </c>
      <c r="AK1667" t="str">
        <f t="shared" ref="AK1667:AK1730" si="350">IF(AND(ISNUMBER(H1667),H1667&gt;=DATE(2012,1,1),H1667&lt;=DATE(2014,12,31)),"Valid ","Invalid")</f>
        <v xml:space="preserve">Valid </v>
      </c>
      <c r="AL1667" t="str">
        <f>IF(AND(Audit_Data[[#This Row],[Recency]]&gt;=0,Audit_Data[[#This Row],[Recency]]&lt;=100),"Valid","Invalid")</f>
        <v>Valid</v>
      </c>
      <c r="AM1667" t="str">
        <f t="shared" si="344"/>
        <v>Valid</v>
      </c>
      <c r="AN1667" t="str">
        <f t="shared" si="345"/>
        <v>Valid</v>
      </c>
      <c r="AO1667" t="str">
        <f t="shared" si="346"/>
        <v>Valid</v>
      </c>
      <c r="AP1667" t="str">
        <f t="shared" si="347"/>
        <v>Valid</v>
      </c>
      <c r="AQ1667" t="str">
        <f>IF(Audit_Data[[#This Row],[Z_CostContact]]=3,"Valid","Invalid")</f>
        <v>Valid</v>
      </c>
      <c r="AR1667" t="str">
        <f t="shared" si="348"/>
        <v>Valid</v>
      </c>
      <c r="AS1667" t="str">
        <f t="shared" si="349"/>
        <v>Valid</v>
      </c>
    </row>
    <row r="1668" spans="1:45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 t="str">
        <f t="shared" si="338"/>
        <v>Ok</v>
      </c>
      <c r="AE1668" t="str">
        <f>IF(AND(Audit_Data[[#This Row],[Year_Birth]]&gt;=1900,Audit_Data[[#This Row],[Year_Birth]]&lt;=2010),"OK","Invalid")</f>
        <v>OK</v>
      </c>
      <c r="AF1668" t="str">
        <f t="shared" si="339"/>
        <v>Valid</v>
      </c>
      <c r="AG1668" t="str">
        <f t="shared" si="340"/>
        <v>Valid</v>
      </c>
      <c r="AH1668" t="str">
        <f t="shared" si="341"/>
        <v>Valid</v>
      </c>
      <c r="AI1668" t="str">
        <f t="shared" si="342"/>
        <v>Valid</v>
      </c>
      <c r="AJ1668" t="str">
        <f t="shared" si="343"/>
        <v>Valid</v>
      </c>
      <c r="AK1668" t="str">
        <f t="shared" si="350"/>
        <v xml:space="preserve">Valid </v>
      </c>
      <c r="AL1668" t="str">
        <f>IF(AND(Audit_Data[[#This Row],[Recency]]&gt;=0,Audit_Data[[#This Row],[Recency]]&lt;=100),"Valid","Invalid")</f>
        <v>Valid</v>
      </c>
      <c r="AM1668" t="str">
        <f t="shared" si="344"/>
        <v>Valid</v>
      </c>
      <c r="AN1668" t="str">
        <f t="shared" si="345"/>
        <v>Valid</v>
      </c>
      <c r="AO1668" t="str">
        <f t="shared" si="346"/>
        <v>Valid</v>
      </c>
      <c r="AP1668" t="str">
        <f t="shared" si="347"/>
        <v>Valid</v>
      </c>
      <c r="AQ1668" t="str">
        <f>IF(Audit_Data[[#This Row],[Z_CostContact]]=3,"Valid","Invalid")</f>
        <v>Valid</v>
      </c>
      <c r="AR1668" t="str">
        <f t="shared" si="348"/>
        <v>Valid</v>
      </c>
      <c r="AS1668" t="str">
        <f t="shared" si="349"/>
        <v>Valid</v>
      </c>
    </row>
    <row r="1669" spans="1:45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 t="str">
        <f t="shared" si="338"/>
        <v>Ok</v>
      </c>
      <c r="AE1669" t="str">
        <f>IF(AND(Audit_Data[[#This Row],[Year_Birth]]&gt;=1900,Audit_Data[[#This Row],[Year_Birth]]&lt;=2010),"OK","Invalid")</f>
        <v>OK</v>
      </c>
      <c r="AF1669" t="str">
        <f t="shared" si="339"/>
        <v>Valid</v>
      </c>
      <c r="AG1669" t="str">
        <f t="shared" si="340"/>
        <v>Valid</v>
      </c>
      <c r="AH1669" t="str">
        <f t="shared" si="341"/>
        <v>Valid</v>
      </c>
      <c r="AI1669" t="str">
        <f t="shared" si="342"/>
        <v>Valid</v>
      </c>
      <c r="AJ1669" t="str">
        <f t="shared" si="343"/>
        <v>Valid</v>
      </c>
      <c r="AK1669" t="str">
        <f t="shared" si="350"/>
        <v xml:space="preserve">Valid </v>
      </c>
      <c r="AL1669" t="str">
        <f>IF(AND(Audit_Data[[#This Row],[Recency]]&gt;=0,Audit_Data[[#This Row],[Recency]]&lt;=100),"Valid","Invalid")</f>
        <v>Valid</v>
      </c>
      <c r="AM1669" t="str">
        <f t="shared" si="344"/>
        <v>Valid</v>
      </c>
      <c r="AN1669" t="str">
        <f t="shared" si="345"/>
        <v>Valid</v>
      </c>
      <c r="AO1669" t="str">
        <f t="shared" si="346"/>
        <v>Valid</v>
      </c>
      <c r="AP1669" t="str">
        <f t="shared" si="347"/>
        <v>Valid</v>
      </c>
      <c r="AQ1669" t="str">
        <f>IF(Audit_Data[[#This Row],[Z_CostContact]]=3,"Valid","Invalid")</f>
        <v>Valid</v>
      </c>
      <c r="AR1669" t="str">
        <f t="shared" si="348"/>
        <v>Valid</v>
      </c>
      <c r="AS1669" t="str">
        <f t="shared" si="349"/>
        <v>Valid</v>
      </c>
    </row>
    <row r="1670" spans="1:45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 t="str">
        <f t="shared" si="338"/>
        <v>Ok</v>
      </c>
      <c r="AE1670" t="str">
        <f>IF(AND(Audit_Data[[#This Row],[Year_Birth]]&gt;=1900,Audit_Data[[#This Row],[Year_Birth]]&lt;=2010),"OK","Invalid")</f>
        <v>OK</v>
      </c>
      <c r="AF1670" t="str">
        <f t="shared" si="339"/>
        <v>Valid</v>
      </c>
      <c r="AG1670" t="str">
        <f t="shared" si="340"/>
        <v>Valid</v>
      </c>
      <c r="AH1670" t="str">
        <f t="shared" si="341"/>
        <v>Valid</v>
      </c>
      <c r="AI1670" t="str">
        <f t="shared" si="342"/>
        <v>Valid</v>
      </c>
      <c r="AJ1670" t="str">
        <f t="shared" si="343"/>
        <v>Valid</v>
      </c>
      <c r="AK1670" t="str">
        <f t="shared" si="350"/>
        <v xml:space="preserve">Valid </v>
      </c>
      <c r="AL1670" t="str">
        <f>IF(AND(Audit_Data[[#This Row],[Recency]]&gt;=0,Audit_Data[[#This Row],[Recency]]&lt;=100),"Valid","Invalid")</f>
        <v>Valid</v>
      </c>
      <c r="AM1670" t="str">
        <f t="shared" si="344"/>
        <v>Valid</v>
      </c>
      <c r="AN1670" t="str">
        <f t="shared" si="345"/>
        <v>Valid</v>
      </c>
      <c r="AO1670" t="str">
        <f t="shared" si="346"/>
        <v>Valid</v>
      </c>
      <c r="AP1670" t="str">
        <f t="shared" si="347"/>
        <v>Valid</v>
      </c>
      <c r="AQ1670" t="str">
        <f>IF(Audit_Data[[#This Row],[Z_CostContact]]=3,"Valid","Invalid")</f>
        <v>Valid</v>
      </c>
      <c r="AR1670" t="str">
        <f t="shared" si="348"/>
        <v>Valid</v>
      </c>
      <c r="AS1670" t="str">
        <f t="shared" si="349"/>
        <v>Valid</v>
      </c>
    </row>
    <row r="1671" spans="1:45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 t="str">
        <f t="shared" si="338"/>
        <v>Ok</v>
      </c>
      <c r="AE1671" t="str">
        <f>IF(AND(Audit_Data[[#This Row],[Year_Birth]]&gt;=1900,Audit_Data[[#This Row],[Year_Birth]]&lt;=2010),"OK","Invalid")</f>
        <v>OK</v>
      </c>
      <c r="AF1671" t="str">
        <f t="shared" si="339"/>
        <v>Valid</v>
      </c>
      <c r="AG1671" t="str">
        <f t="shared" si="340"/>
        <v>Valid</v>
      </c>
      <c r="AH1671" t="str">
        <f t="shared" si="341"/>
        <v>Valid</v>
      </c>
      <c r="AI1671" t="str">
        <f t="shared" si="342"/>
        <v>Valid</v>
      </c>
      <c r="AJ1671" t="str">
        <f t="shared" si="343"/>
        <v>Valid</v>
      </c>
      <c r="AK1671" t="str">
        <f t="shared" si="350"/>
        <v xml:space="preserve">Valid </v>
      </c>
      <c r="AL1671" t="str">
        <f>IF(AND(Audit_Data[[#This Row],[Recency]]&gt;=0,Audit_Data[[#This Row],[Recency]]&lt;=100),"Valid","Invalid")</f>
        <v>Valid</v>
      </c>
      <c r="AM1671" t="str">
        <f t="shared" si="344"/>
        <v>Valid</v>
      </c>
      <c r="AN1671" t="str">
        <f t="shared" si="345"/>
        <v>Valid</v>
      </c>
      <c r="AO1671" t="str">
        <f t="shared" si="346"/>
        <v>Valid</v>
      </c>
      <c r="AP1671" t="str">
        <f t="shared" si="347"/>
        <v>Valid</v>
      </c>
      <c r="AQ1671" t="str">
        <f>IF(Audit_Data[[#This Row],[Z_CostContact]]=3,"Valid","Invalid")</f>
        <v>Valid</v>
      </c>
      <c r="AR1671" t="str">
        <f t="shared" si="348"/>
        <v>Valid</v>
      </c>
      <c r="AS1671" t="str">
        <f t="shared" si="349"/>
        <v>Valid</v>
      </c>
    </row>
    <row r="1672" spans="1:45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 t="str">
        <f t="shared" si="338"/>
        <v>Ok</v>
      </c>
      <c r="AE1672" t="str">
        <f>IF(AND(Audit_Data[[#This Row],[Year_Birth]]&gt;=1900,Audit_Data[[#This Row],[Year_Birth]]&lt;=2010),"OK","Invalid")</f>
        <v>OK</v>
      </c>
      <c r="AF1672" t="str">
        <f t="shared" si="339"/>
        <v>Valid</v>
      </c>
      <c r="AG1672" t="str">
        <f t="shared" si="340"/>
        <v>Valid</v>
      </c>
      <c r="AH1672" t="str">
        <f t="shared" si="341"/>
        <v>Valid</v>
      </c>
      <c r="AI1672" t="str">
        <f t="shared" si="342"/>
        <v>Valid</v>
      </c>
      <c r="AJ1672" t="str">
        <f t="shared" si="343"/>
        <v>Valid</v>
      </c>
      <c r="AK1672" t="str">
        <f t="shared" si="350"/>
        <v xml:space="preserve">Valid </v>
      </c>
      <c r="AL1672" t="str">
        <f>IF(AND(Audit_Data[[#This Row],[Recency]]&gt;=0,Audit_Data[[#This Row],[Recency]]&lt;=100),"Valid","Invalid")</f>
        <v>Valid</v>
      </c>
      <c r="AM1672" t="str">
        <f t="shared" si="344"/>
        <v>Valid</v>
      </c>
      <c r="AN1672" t="str">
        <f t="shared" si="345"/>
        <v>Valid</v>
      </c>
      <c r="AO1672" t="str">
        <f t="shared" si="346"/>
        <v>Valid</v>
      </c>
      <c r="AP1672" t="str">
        <f t="shared" si="347"/>
        <v>Valid</v>
      </c>
      <c r="AQ1672" t="str">
        <f>IF(Audit_Data[[#This Row],[Z_CostContact]]=3,"Valid","Invalid")</f>
        <v>Valid</v>
      </c>
      <c r="AR1672" t="str">
        <f t="shared" si="348"/>
        <v>Valid</v>
      </c>
      <c r="AS1672" t="str">
        <f t="shared" si="349"/>
        <v>Valid</v>
      </c>
    </row>
    <row r="1673" spans="1:45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 t="str">
        <f t="shared" si="338"/>
        <v>Ok</v>
      </c>
      <c r="AE1673" t="str">
        <f>IF(AND(Audit_Data[[#This Row],[Year_Birth]]&gt;=1900,Audit_Data[[#This Row],[Year_Birth]]&lt;=2010),"OK","Invalid")</f>
        <v>OK</v>
      </c>
      <c r="AF1673" t="str">
        <f t="shared" si="339"/>
        <v>Valid</v>
      </c>
      <c r="AG1673" t="str">
        <f t="shared" si="340"/>
        <v>Valid</v>
      </c>
      <c r="AH1673" t="str">
        <f t="shared" si="341"/>
        <v>Valid</v>
      </c>
      <c r="AI1673" t="str">
        <f t="shared" si="342"/>
        <v>Valid</v>
      </c>
      <c r="AJ1673" t="str">
        <f t="shared" si="343"/>
        <v>Valid</v>
      </c>
      <c r="AK1673" t="str">
        <f t="shared" si="350"/>
        <v xml:space="preserve">Valid </v>
      </c>
      <c r="AL1673" t="str">
        <f>IF(AND(Audit_Data[[#This Row],[Recency]]&gt;=0,Audit_Data[[#This Row],[Recency]]&lt;=100),"Valid","Invalid")</f>
        <v>Valid</v>
      </c>
      <c r="AM1673" t="str">
        <f t="shared" si="344"/>
        <v>Valid</v>
      </c>
      <c r="AN1673" t="str">
        <f t="shared" si="345"/>
        <v>Valid</v>
      </c>
      <c r="AO1673" t="str">
        <f t="shared" si="346"/>
        <v>Valid</v>
      </c>
      <c r="AP1673" t="str">
        <f t="shared" si="347"/>
        <v>Valid</v>
      </c>
      <c r="AQ1673" t="str">
        <f>IF(Audit_Data[[#This Row],[Z_CostContact]]=3,"Valid","Invalid")</f>
        <v>Valid</v>
      </c>
      <c r="AR1673" t="str">
        <f t="shared" si="348"/>
        <v>Valid</v>
      </c>
      <c r="AS1673" t="str">
        <f t="shared" si="349"/>
        <v>Valid</v>
      </c>
    </row>
    <row r="1674" spans="1:45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 t="str">
        <f t="shared" si="338"/>
        <v>Ok</v>
      </c>
      <c r="AE1674" t="str">
        <f>IF(AND(Audit_Data[[#This Row],[Year_Birth]]&gt;=1900,Audit_Data[[#This Row],[Year_Birth]]&lt;=2010),"OK","Invalid")</f>
        <v>OK</v>
      </c>
      <c r="AF1674" t="str">
        <f t="shared" si="339"/>
        <v>Valid</v>
      </c>
      <c r="AG1674" t="str">
        <f t="shared" si="340"/>
        <v>Valid</v>
      </c>
      <c r="AH1674" t="str">
        <f t="shared" si="341"/>
        <v>Valid</v>
      </c>
      <c r="AI1674" t="str">
        <f t="shared" si="342"/>
        <v>Valid</v>
      </c>
      <c r="AJ1674" t="str">
        <f t="shared" si="343"/>
        <v>Valid</v>
      </c>
      <c r="AK1674" t="str">
        <f t="shared" si="350"/>
        <v xml:space="preserve">Valid </v>
      </c>
      <c r="AL1674" t="str">
        <f>IF(AND(Audit_Data[[#This Row],[Recency]]&gt;=0,Audit_Data[[#This Row],[Recency]]&lt;=100),"Valid","Invalid")</f>
        <v>Valid</v>
      </c>
      <c r="AM1674" t="str">
        <f t="shared" si="344"/>
        <v>Valid</v>
      </c>
      <c r="AN1674" t="str">
        <f t="shared" si="345"/>
        <v>Valid</v>
      </c>
      <c r="AO1674" t="str">
        <f t="shared" si="346"/>
        <v>Valid</v>
      </c>
      <c r="AP1674" t="str">
        <f t="shared" si="347"/>
        <v>Valid</v>
      </c>
      <c r="AQ1674" t="str">
        <f>IF(Audit_Data[[#This Row],[Z_CostContact]]=3,"Valid","Invalid")</f>
        <v>Valid</v>
      </c>
      <c r="AR1674" t="str">
        <f t="shared" si="348"/>
        <v>Valid</v>
      </c>
      <c r="AS1674" t="str">
        <f t="shared" si="349"/>
        <v>Valid</v>
      </c>
    </row>
    <row r="1675" spans="1:45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 t="str">
        <f t="shared" si="338"/>
        <v>Ok</v>
      </c>
      <c r="AE1675" t="str">
        <f>IF(AND(Audit_Data[[#This Row],[Year_Birth]]&gt;=1900,Audit_Data[[#This Row],[Year_Birth]]&lt;=2010),"OK","Invalid")</f>
        <v>OK</v>
      </c>
      <c r="AF1675" t="str">
        <f t="shared" si="339"/>
        <v>Valid</v>
      </c>
      <c r="AG1675" t="str">
        <f t="shared" si="340"/>
        <v>Valid</v>
      </c>
      <c r="AH1675" t="str">
        <f t="shared" si="341"/>
        <v>Valid</v>
      </c>
      <c r="AI1675" t="str">
        <f t="shared" si="342"/>
        <v>Valid</v>
      </c>
      <c r="AJ1675" t="str">
        <f t="shared" si="343"/>
        <v>Valid</v>
      </c>
      <c r="AK1675" t="str">
        <f t="shared" si="350"/>
        <v xml:space="preserve">Valid </v>
      </c>
      <c r="AL1675" t="str">
        <f>IF(AND(Audit_Data[[#This Row],[Recency]]&gt;=0,Audit_Data[[#This Row],[Recency]]&lt;=100),"Valid","Invalid")</f>
        <v>Valid</v>
      </c>
      <c r="AM1675" t="str">
        <f t="shared" si="344"/>
        <v>Valid</v>
      </c>
      <c r="AN1675" t="str">
        <f t="shared" si="345"/>
        <v>Valid</v>
      </c>
      <c r="AO1675" t="str">
        <f t="shared" si="346"/>
        <v>Valid</v>
      </c>
      <c r="AP1675" t="str">
        <f t="shared" si="347"/>
        <v>Valid</v>
      </c>
      <c r="AQ1675" t="str">
        <f>IF(Audit_Data[[#This Row],[Z_CostContact]]=3,"Valid","Invalid")</f>
        <v>Valid</v>
      </c>
      <c r="AR1675" t="str">
        <f t="shared" si="348"/>
        <v>Valid</v>
      </c>
      <c r="AS1675" t="str">
        <f t="shared" si="349"/>
        <v>Valid</v>
      </c>
    </row>
    <row r="1676" spans="1:45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 t="str">
        <f t="shared" si="338"/>
        <v>Ok</v>
      </c>
      <c r="AE1676" t="str">
        <f>IF(AND(Audit_Data[[#This Row],[Year_Birth]]&gt;=1900,Audit_Data[[#This Row],[Year_Birth]]&lt;=2010),"OK","Invalid")</f>
        <v>OK</v>
      </c>
      <c r="AF1676" t="str">
        <f t="shared" si="339"/>
        <v>Valid</v>
      </c>
      <c r="AG1676" t="str">
        <f t="shared" si="340"/>
        <v>Valid</v>
      </c>
      <c r="AH1676" t="str">
        <f t="shared" si="341"/>
        <v>Valid</v>
      </c>
      <c r="AI1676" t="str">
        <f t="shared" si="342"/>
        <v>Valid</v>
      </c>
      <c r="AJ1676" t="str">
        <f t="shared" si="343"/>
        <v>Valid</v>
      </c>
      <c r="AK1676" t="str">
        <f t="shared" si="350"/>
        <v xml:space="preserve">Valid </v>
      </c>
      <c r="AL1676" t="str">
        <f>IF(AND(Audit_Data[[#This Row],[Recency]]&gt;=0,Audit_Data[[#This Row],[Recency]]&lt;=100),"Valid","Invalid")</f>
        <v>Valid</v>
      </c>
      <c r="AM1676" t="str">
        <f t="shared" si="344"/>
        <v>Valid</v>
      </c>
      <c r="AN1676" t="str">
        <f t="shared" si="345"/>
        <v>Valid</v>
      </c>
      <c r="AO1676" t="str">
        <f t="shared" si="346"/>
        <v>Valid</v>
      </c>
      <c r="AP1676" t="str">
        <f t="shared" si="347"/>
        <v>Valid</v>
      </c>
      <c r="AQ1676" t="str">
        <f>IF(Audit_Data[[#This Row],[Z_CostContact]]=3,"Valid","Invalid")</f>
        <v>Valid</v>
      </c>
      <c r="AR1676" t="str">
        <f t="shared" si="348"/>
        <v>Valid</v>
      </c>
      <c r="AS1676" t="str">
        <f t="shared" si="349"/>
        <v>Valid</v>
      </c>
    </row>
    <row r="1677" spans="1:45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 t="str">
        <f t="shared" si="338"/>
        <v>Ok</v>
      </c>
      <c r="AE1677" t="str">
        <f>IF(AND(Audit_Data[[#This Row],[Year_Birth]]&gt;=1900,Audit_Data[[#This Row],[Year_Birth]]&lt;=2010),"OK","Invalid")</f>
        <v>OK</v>
      </c>
      <c r="AF1677" t="str">
        <f t="shared" si="339"/>
        <v>Valid</v>
      </c>
      <c r="AG1677" t="str">
        <f t="shared" si="340"/>
        <v>Valid</v>
      </c>
      <c r="AH1677" t="str">
        <f t="shared" si="341"/>
        <v>Valid</v>
      </c>
      <c r="AI1677" t="str">
        <f t="shared" si="342"/>
        <v>Valid</v>
      </c>
      <c r="AJ1677" t="str">
        <f t="shared" si="343"/>
        <v>Valid</v>
      </c>
      <c r="AK1677" t="str">
        <f t="shared" si="350"/>
        <v xml:space="preserve">Valid </v>
      </c>
      <c r="AL1677" t="str">
        <f>IF(AND(Audit_Data[[#This Row],[Recency]]&gt;=0,Audit_Data[[#This Row],[Recency]]&lt;=100),"Valid","Invalid")</f>
        <v>Valid</v>
      </c>
      <c r="AM1677" t="str">
        <f t="shared" si="344"/>
        <v>Valid</v>
      </c>
      <c r="AN1677" t="str">
        <f t="shared" si="345"/>
        <v>Valid</v>
      </c>
      <c r="AO1677" t="str">
        <f t="shared" si="346"/>
        <v>Valid</v>
      </c>
      <c r="AP1677" t="str">
        <f t="shared" si="347"/>
        <v>Valid</v>
      </c>
      <c r="AQ1677" t="str">
        <f>IF(Audit_Data[[#This Row],[Z_CostContact]]=3,"Valid","Invalid")</f>
        <v>Valid</v>
      </c>
      <c r="AR1677" t="str">
        <f t="shared" si="348"/>
        <v>Valid</v>
      </c>
      <c r="AS1677" t="str">
        <f t="shared" si="349"/>
        <v>Valid</v>
      </c>
    </row>
    <row r="1678" spans="1:45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 t="str">
        <f t="shared" si="338"/>
        <v>Ok</v>
      </c>
      <c r="AE1678" t="str">
        <f>IF(AND(Audit_Data[[#This Row],[Year_Birth]]&gt;=1900,Audit_Data[[#This Row],[Year_Birth]]&lt;=2010),"OK","Invalid")</f>
        <v>OK</v>
      </c>
      <c r="AF1678" t="str">
        <f t="shared" si="339"/>
        <v>Valid</v>
      </c>
      <c r="AG1678" t="str">
        <f t="shared" si="340"/>
        <v>Valid</v>
      </c>
      <c r="AH1678" t="str">
        <f t="shared" si="341"/>
        <v>Valid</v>
      </c>
      <c r="AI1678" t="str">
        <f t="shared" si="342"/>
        <v>Valid</v>
      </c>
      <c r="AJ1678" t="str">
        <f t="shared" si="343"/>
        <v>Valid</v>
      </c>
      <c r="AK1678" t="str">
        <f t="shared" si="350"/>
        <v xml:space="preserve">Valid </v>
      </c>
      <c r="AL1678" t="str">
        <f>IF(AND(Audit_Data[[#This Row],[Recency]]&gt;=0,Audit_Data[[#This Row],[Recency]]&lt;=100),"Valid","Invalid")</f>
        <v>Valid</v>
      </c>
      <c r="AM1678" t="str">
        <f t="shared" si="344"/>
        <v>Valid</v>
      </c>
      <c r="AN1678" t="str">
        <f t="shared" si="345"/>
        <v>Valid</v>
      </c>
      <c r="AO1678" t="str">
        <f t="shared" si="346"/>
        <v>Valid</v>
      </c>
      <c r="AP1678" t="str">
        <f t="shared" si="347"/>
        <v>Valid</v>
      </c>
      <c r="AQ1678" t="str">
        <f>IF(Audit_Data[[#This Row],[Z_CostContact]]=3,"Valid","Invalid")</f>
        <v>Valid</v>
      </c>
      <c r="AR1678" t="str">
        <f t="shared" si="348"/>
        <v>Valid</v>
      </c>
      <c r="AS1678" t="str">
        <f t="shared" si="349"/>
        <v>Valid</v>
      </c>
    </row>
    <row r="1679" spans="1:45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 t="str">
        <f t="shared" si="338"/>
        <v>Ok</v>
      </c>
      <c r="AE1679" t="str">
        <f>IF(AND(Audit_Data[[#This Row],[Year_Birth]]&gt;=1900,Audit_Data[[#This Row],[Year_Birth]]&lt;=2010),"OK","Invalid")</f>
        <v>OK</v>
      </c>
      <c r="AF1679" t="str">
        <f t="shared" si="339"/>
        <v>Valid</v>
      </c>
      <c r="AG1679" t="str">
        <f t="shared" si="340"/>
        <v>Valid</v>
      </c>
      <c r="AH1679" t="str">
        <f t="shared" si="341"/>
        <v>Valid</v>
      </c>
      <c r="AI1679" t="str">
        <f t="shared" si="342"/>
        <v>Valid</v>
      </c>
      <c r="AJ1679" t="str">
        <f t="shared" si="343"/>
        <v>Valid</v>
      </c>
      <c r="AK1679" t="str">
        <f t="shared" si="350"/>
        <v xml:space="preserve">Valid </v>
      </c>
      <c r="AL1679" t="str">
        <f>IF(AND(Audit_Data[[#This Row],[Recency]]&gt;=0,Audit_Data[[#This Row],[Recency]]&lt;=100),"Valid","Invalid")</f>
        <v>Valid</v>
      </c>
      <c r="AM1679" t="str">
        <f t="shared" si="344"/>
        <v>Valid</v>
      </c>
      <c r="AN1679" t="str">
        <f t="shared" si="345"/>
        <v>Valid</v>
      </c>
      <c r="AO1679" t="str">
        <f t="shared" si="346"/>
        <v>Valid</v>
      </c>
      <c r="AP1679" t="str">
        <f t="shared" si="347"/>
        <v>Valid</v>
      </c>
      <c r="AQ1679" t="str">
        <f>IF(Audit_Data[[#This Row],[Z_CostContact]]=3,"Valid","Invalid")</f>
        <v>Valid</v>
      </c>
      <c r="AR1679" t="str">
        <f t="shared" si="348"/>
        <v>Valid</v>
      </c>
      <c r="AS1679" t="str">
        <f t="shared" si="349"/>
        <v>Valid</v>
      </c>
    </row>
    <row r="1680" spans="1:45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 t="str">
        <f t="shared" si="338"/>
        <v>Ok</v>
      </c>
      <c r="AE1680" t="str">
        <f>IF(AND(Audit_Data[[#This Row],[Year_Birth]]&gt;=1900,Audit_Data[[#This Row],[Year_Birth]]&lt;=2010),"OK","Invalid")</f>
        <v>OK</v>
      </c>
      <c r="AF1680" t="str">
        <f t="shared" si="339"/>
        <v>Valid</v>
      </c>
      <c r="AG1680" t="str">
        <f t="shared" si="340"/>
        <v>Valid</v>
      </c>
      <c r="AH1680" t="str">
        <f t="shared" si="341"/>
        <v>Valid</v>
      </c>
      <c r="AI1680" t="str">
        <f t="shared" si="342"/>
        <v>Valid</v>
      </c>
      <c r="AJ1680" t="str">
        <f t="shared" si="343"/>
        <v>Valid</v>
      </c>
      <c r="AK1680" t="str">
        <f t="shared" si="350"/>
        <v xml:space="preserve">Valid </v>
      </c>
      <c r="AL1680" t="str">
        <f>IF(AND(Audit_Data[[#This Row],[Recency]]&gt;=0,Audit_Data[[#This Row],[Recency]]&lt;=100),"Valid","Invalid")</f>
        <v>Valid</v>
      </c>
      <c r="AM1680" t="str">
        <f t="shared" si="344"/>
        <v>Valid</v>
      </c>
      <c r="AN1680" t="str">
        <f t="shared" si="345"/>
        <v>Valid</v>
      </c>
      <c r="AO1680" t="str">
        <f t="shared" si="346"/>
        <v>Valid</v>
      </c>
      <c r="AP1680" t="str">
        <f t="shared" si="347"/>
        <v>Valid</v>
      </c>
      <c r="AQ1680" t="str">
        <f>IF(Audit_Data[[#This Row],[Z_CostContact]]=3,"Valid","Invalid")</f>
        <v>Valid</v>
      </c>
      <c r="AR1680" t="str">
        <f t="shared" si="348"/>
        <v>Valid</v>
      </c>
      <c r="AS1680" t="str">
        <f t="shared" si="349"/>
        <v>Valid</v>
      </c>
    </row>
    <row r="1681" spans="1:45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 t="str">
        <f t="shared" si="338"/>
        <v>Ok</v>
      </c>
      <c r="AE1681" t="str">
        <f>IF(AND(Audit_Data[[#This Row],[Year_Birth]]&gt;=1900,Audit_Data[[#This Row],[Year_Birth]]&lt;=2010),"OK","Invalid")</f>
        <v>OK</v>
      </c>
      <c r="AF1681" t="str">
        <f t="shared" si="339"/>
        <v>Valid</v>
      </c>
      <c r="AG1681" t="str">
        <f t="shared" si="340"/>
        <v>Valid</v>
      </c>
      <c r="AH1681" t="str">
        <f t="shared" si="341"/>
        <v>Valid</v>
      </c>
      <c r="AI1681" t="str">
        <f t="shared" si="342"/>
        <v>Valid</v>
      </c>
      <c r="AJ1681" t="str">
        <f t="shared" si="343"/>
        <v>Valid</v>
      </c>
      <c r="AK1681" t="str">
        <f t="shared" si="350"/>
        <v xml:space="preserve">Valid </v>
      </c>
      <c r="AL1681" t="str">
        <f>IF(AND(Audit_Data[[#This Row],[Recency]]&gt;=0,Audit_Data[[#This Row],[Recency]]&lt;=100),"Valid","Invalid")</f>
        <v>Valid</v>
      </c>
      <c r="AM1681" t="str">
        <f t="shared" si="344"/>
        <v>Valid</v>
      </c>
      <c r="AN1681" t="str">
        <f t="shared" si="345"/>
        <v>Valid</v>
      </c>
      <c r="AO1681" t="str">
        <f t="shared" si="346"/>
        <v>Valid</v>
      </c>
      <c r="AP1681" t="str">
        <f t="shared" si="347"/>
        <v>Valid</v>
      </c>
      <c r="AQ1681" t="str">
        <f>IF(Audit_Data[[#This Row],[Z_CostContact]]=3,"Valid","Invalid")</f>
        <v>Valid</v>
      </c>
      <c r="AR1681" t="str">
        <f t="shared" si="348"/>
        <v>Valid</v>
      </c>
      <c r="AS1681" t="str">
        <f t="shared" si="349"/>
        <v>Valid</v>
      </c>
    </row>
    <row r="1682" spans="1:45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 t="str">
        <f t="shared" si="338"/>
        <v>Ok</v>
      </c>
      <c r="AE1682" t="str">
        <f>IF(AND(Audit_Data[[#This Row],[Year_Birth]]&gt;=1900,Audit_Data[[#This Row],[Year_Birth]]&lt;=2010),"OK","Invalid")</f>
        <v>OK</v>
      </c>
      <c r="AF1682" t="str">
        <f t="shared" si="339"/>
        <v>Valid</v>
      </c>
      <c r="AG1682" t="str">
        <f t="shared" si="340"/>
        <v>Valid</v>
      </c>
      <c r="AH1682" t="str">
        <f t="shared" si="341"/>
        <v>Valid</v>
      </c>
      <c r="AI1682" t="str">
        <f t="shared" si="342"/>
        <v>Valid</v>
      </c>
      <c r="AJ1682" t="str">
        <f t="shared" si="343"/>
        <v>Valid</v>
      </c>
      <c r="AK1682" t="str">
        <f t="shared" si="350"/>
        <v xml:space="preserve">Valid </v>
      </c>
      <c r="AL1682" t="str">
        <f>IF(AND(Audit_Data[[#This Row],[Recency]]&gt;=0,Audit_Data[[#This Row],[Recency]]&lt;=100),"Valid","Invalid")</f>
        <v>Valid</v>
      </c>
      <c r="AM1682" t="str">
        <f t="shared" si="344"/>
        <v>Valid</v>
      </c>
      <c r="AN1682" t="str">
        <f t="shared" si="345"/>
        <v>Valid</v>
      </c>
      <c r="AO1682" t="str">
        <f t="shared" si="346"/>
        <v>Valid</v>
      </c>
      <c r="AP1682" t="str">
        <f t="shared" si="347"/>
        <v>Valid</v>
      </c>
      <c r="AQ1682" t="str">
        <f>IF(Audit_Data[[#This Row],[Z_CostContact]]=3,"Valid","Invalid")</f>
        <v>Valid</v>
      </c>
      <c r="AR1682" t="str">
        <f t="shared" si="348"/>
        <v>Valid</v>
      </c>
      <c r="AS1682" t="str">
        <f t="shared" si="349"/>
        <v>Valid</v>
      </c>
    </row>
    <row r="1683" spans="1:45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 t="str">
        <f t="shared" si="338"/>
        <v>Ok</v>
      </c>
      <c r="AE1683" t="str">
        <f>IF(AND(Audit_Data[[#This Row],[Year_Birth]]&gt;=1900,Audit_Data[[#This Row],[Year_Birth]]&lt;=2010),"OK","Invalid")</f>
        <v>OK</v>
      </c>
      <c r="AF1683" t="str">
        <f t="shared" si="339"/>
        <v>Valid</v>
      </c>
      <c r="AG1683" t="str">
        <f t="shared" si="340"/>
        <v>Valid</v>
      </c>
      <c r="AH1683" t="str">
        <f t="shared" si="341"/>
        <v>Valid</v>
      </c>
      <c r="AI1683" t="str">
        <f t="shared" si="342"/>
        <v>Valid</v>
      </c>
      <c r="AJ1683" t="str">
        <f t="shared" si="343"/>
        <v>Valid</v>
      </c>
      <c r="AK1683" t="str">
        <f t="shared" si="350"/>
        <v xml:space="preserve">Valid </v>
      </c>
      <c r="AL1683" t="str">
        <f>IF(AND(Audit_Data[[#This Row],[Recency]]&gt;=0,Audit_Data[[#This Row],[Recency]]&lt;=100),"Valid","Invalid")</f>
        <v>Valid</v>
      </c>
      <c r="AM1683" t="str">
        <f t="shared" si="344"/>
        <v>Valid</v>
      </c>
      <c r="AN1683" t="str">
        <f t="shared" si="345"/>
        <v>Valid</v>
      </c>
      <c r="AO1683" t="str">
        <f t="shared" si="346"/>
        <v>Valid</v>
      </c>
      <c r="AP1683" t="str">
        <f t="shared" si="347"/>
        <v>Valid</v>
      </c>
      <c r="AQ1683" t="str">
        <f>IF(Audit_Data[[#This Row],[Z_CostContact]]=3,"Valid","Invalid")</f>
        <v>Valid</v>
      </c>
      <c r="AR1683" t="str">
        <f t="shared" si="348"/>
        <v>Valid</v>
      </c>
      <c r="AS1683" t="str">
        <f t="shared" si="349"/>
        <v>Valid</v>
      </c>
    </row>
    <row r="1684" spans="1:45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 t="str">
        <f t="shared" si="338"/>
        <v>Ok</v>
      </c>
      <c r="AE1684" t="str">
        <f>IF(AND(Audit_Data[[#This Row],[Year_Birth]]&gt;=1900,Audit_Data[[#This Row],[Year_Birth]]&lt;=2010),"OK","Invalid")</f>
        <v>OK</v>
      </c>
      <c r="AF1684" t="str">
        <f t="shared" si="339"/>
        <v>Valid</v>
      </c>
      <c r="AG1684" t="str">
        <f t="shared" si="340"/>
        <v>Valid</v>
      </c>
      <c r="AH1684" t="str">
        <f t="shared" si="341"/>
        <v>Valid</v>
      </c>
      <c r="AI1684" t="str">
        <f t="shared" si="342"/>
        <v>Valid</v>
      </c>
      <c r="AJ1684" t="str">
        <f t="shared" si="343"/>
        <v>Valid</v>
      </c>
      <c r="AK1684" t="str">
        <f t="shared" si="350"/>
        <v xml:space="preserve">Valid </v>
      </c>
      <c r="AL1684" t="str">
        <f>IF(AND(Audit_Data[[#This Row],[Recency]]&gt;=0,Audit_Data[[#This Row],[Recency]]&lt;=100),"Valid","Invalid")</f>
        <v>Valid</v>
      </c>
      <c r="AM1684" t="str">
        <f t="shared" si="344"/>
        <v>Valid</v>
      </c>
      <c r="AN1684" t="str">
        <f t="shared" si="345"/>
        <v>Valid</v>
      </c>
      <c r="AO1684" t="str">
        <f t="shared" si="346"/>
        <v>Valid</v>
      </c>
      <c r="AP1684" t="str">
        <f t="shared" si="347"/>
        <v>Valid</v>
      </c>
      <c r="AQ1684" t="str">
        <f>IF(Audit_Data[[#This Row],[Z_CostContact]]=3,"Valid","Invalid")</f>
        <v>Valid</v>
      </c>
      <c r="AR1684" t="str">
        <f t="shared" si="348"/>
        <v>Valid</v>
      </c>
      <c r="AS1684" t="str">
        <f t="shared" si="349"/>
        <v>Valid</v>
      </c>
    </row>
    <row r="1685" spans="1:45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 t="str">
        <f t="shared" si="338"/>
        <v>Ok</v>
      </c>
      <c r="AE1685" t="str">
        <f>IF(AND(Audit_Data[[#This Row],[Year_Birth]]&gt;=1900,Audit_Data[[#This Row],[Year_Birth]]&lt;=2010),"OK","Invalid")</f>
        <v>OK</v>
      </c>
      <c r="AF1685" t="str">
        <f t="shared" si="339"/>
        <v>Valid</v>
      </c>
      <c r="AG1685" t="str">
        <f t="shared" si="340"/>
        <v>Valid</v>
      </c>
      <c r="AH1685" t="str">
        <f t="shared" si="341"/>
        <v>Valid</v>
      </c>
      <c r="AI1685" t="str">
        <f t="shared" si="342"/>
        <v>Valid</v>
      </c>
      <c r="AJ1685" t="str">
        <f t="shared" si="343"/>
        <v>Valid</v>
      </c>
      <c r="AK1685" t="str">
        <f t="shared" si="350"/>
        <v xml:space="preserve">Valid </v>
      </c>
      <c r="AL1685" t="str">
        <f>IF(AND(Audit_Data[[#This Row],[Recency]]&gt;=0,Audit_Data[[#This Row],[Recency]]&lt;=100),"Valid","Invalid")</f>
        <v>Valid</v>
      </c>
      <c r="AM1685" t="str">
        <f t="shared" si="344"/>
        <v>Valid</v>
      </c>
      <c r="AN1685" t="str">
        <f t="shared" si="345"/>
        <v>Valid</v>
      </c>
      <c r="AO1685" t="str">
        <f t="shared" si="346"/>
        <v>Valid</v>
      </c>
      <c r="AP1685" t="str">
        <f t="shared" si="347"/>
        <v>Valid</v>
      </c>
      <c r="AQ1685" t="str">
        <f>IF(Audit_Data[[#This Row],[Z_CostContact]]=3,"Valid","Invalid")</f>
        <v>Valid</v>
      </c>
      <c r="AR1685" t="str">
        <f t="shared" si="348"/>
        <v>Valid</v>
      </c>
      <c r="AS1685" t="str">
        <f t="shared" si="349"/>
        <v>Valid</v>
      </c>
    </row>
    <row r="1686" spans="1:45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 t="str">
        <f t="shared" si="338"/>
        <v>Ok</v>
      </c>
      <c r="AE1686" t="str">
        <f>IF(AND(Audit_Data[[#This Row],[Year_Birth]]&gt;=1900,Audit_Data[[#This Row],[Year_Birth]]&lt;=2010),"OK","Invalid")</f>
        <v>OK</v>
      </c>
      <c r="AF1686" t="str">
        <f t="shared" si="339"/>
        <v>Valid</v>
      </c>
      <c r="AG1686" t="str">
        <f t="shared" si="340"/>
        <v>Valid</v>
      </c>
      <c r="AH1686" t="str">
        <f t="shared" si="341"/>
        <v>Valid</v>
      </c>
      <c r="AI1686" t="str">
        <f t="shared" si="342"/>
        <v>Valid</v>
      </c>
      <c r="AJ1686" t="str">
        <f t="shared" si="343"/>
        <v>Valid</v>
      </c>
      <c r="AK1686" t="str">
        <f t="shared" si="350"/>
        <v xml:space="preserve">Valid </v>
      </c>
      <c r="AL1686" t="str">
        <f>IF(AND(Audit_Data[[#This Row],[Recency]]&gt;=0,Audit_Data[[#This Row],[Recency]]&lt;=100),"Valid","Invalid")</f>
        <v>Valid</v>
      </c>
      <c r="AM1686" t="str">
        <f t="shared" si="344"/>
        <v>Valid</v>
      </c>
      <c r="AN1686" t="str">
        <f t="shared" si="345"/>
        <v>Valid</v>
      </c>
      <c r="AO1686" t="str">
        <f t="shared" si="346"/>
        <v>Valid</v>
      </c>
      <c r="AP1686" t="str">
        <f t="shared" si="347"/>
        <v>Valid</v>
      </c>
      <c r="AQ1686" t="str">
        <f>IF(Audit_Data[[#This Row],[Z_CostContact]]=3,"Valid","Invalid")</f>
        <v>Valid</v>
      </c>
      <c r="AR1686" t="str">
        <f t="shared" si="348"/>
        <v>Valid</v>
      </c>
      <c r="AS1686" t="str">
        <f t="shared" si="349"/>
        <v>Valid</v>
      </c>
    </row>
    <row r="1687" spans="1:45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 t="str">
        <f t="shared" si="338"/>
        <v>Ok</v>
      </c>
      <c r="AE1687" t="str">
        <f>IF(AND(Audit_Data[[#This Row],[Year_Birth]]&gt;=1900,Audit_Data[[#This Row],[Year_Birth]]&lt;=2010),"OK","Invalid")</f>
        <v>OK</v>
      </c>
      <c r="AF1687" t="str">
        <f t="shared" si="339"/>
        <v>Valid</v>
      </c>
      <c r="AG1687" t="str">
        <f t="shared" si="340"/>
        <v>Valid</v>
      </c>
      <c r="AH1687" t="str">
        <f t="shared" si="341"/>
        <v>Valid</v>
      </c>
      <c r="AI1687" t="str">
        <f t="shared" si="342"/>
        <v>Valid</v>
      </c>
      <c r="AJ1687" t="str">
        <f t="shared" si="343"/>
        <v>Valid</v>
      </c>
      <c r="AK1687" t="str">
        <f t="shared" si="350"/>
        <v xml:space="preserve">Valid </v>
      </c>
      <c r="AL1687" t="str">
        <f>IF(AND(Audit_Data[[#This Row],[Recency]]&gt;=0,Audit_Data[[#This Row],[Recency]]&lt;=100),"Valid","Invalid")</f>
        <v>Valid</v>
      </c>
      <c r="AM1687" t="str">
        <f t="shared" si="344"/>
        <v>Valid</v>
      </c>
      <c r="AN1687" t="str">
        <f t="shared" si="345"/>
        <v>Valid</v>
      </c>
      <c r="AO1687" t="str">
        <f t="shared" si="346"/>
        <v>Valid</v>
      </c>
      <c r="AP1687" t="str">
        <f t="shared" si="347"/>
        <v>Valid</v>
      </c>
      <c r="AQ1687" t="str">
        <f>IF(Audit_Data[[#This Row],[Z_CostContact]]=3,"Valid","Invalid")</f>
        <v>Valid</v>
      </c>
      <c r="AR1687" t="str">
        <f t="shared" si="348"/>
        <v>Valid</v>
      </c>
      <c r="AS1687" t="str">
        <f t="shared" si="349"/>
        <v>Valid</v>
      </c>
    </row>
    <row r="1688" spans="1:45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 t="str">
        <f t="shared" si="338"/>
        <v>Ok</v>
      </c>
      <c r="AE1688" t="str">
        <f>IF(AND(Audit_Data[[#This Row],[Year_Birth]]&gt;=1900,Audit_Data[[#This Row],[Year_Birth]]&lt;=2010),"OK","Invalid")</f>
        <v>OK</v>
      </c>
      <c r="AF1688" t="str">
        <f t="shared" si="339"/>
        <v>Valid</v>
      </c>
      <c r="AG1688" t="str">
        <f t="shared" si="340"/>
        <v>Valid</v>
      </c>
      <c r="AH1688" t="str">
        <f t="shared" si="341"/>
        <v>Valid</v>
      </c>
      <c r="AI1688" t="str">
        <f t="shared" si="342"/>
        <v>Valid</v>
      </c>
      <c r="AJ1688" t="str">
        <f t="shared" si="343"/>
        <v>Valid</v>
      </c>
      <c r="AK1688" t="str">
        <f t="shared" si="350"/>
        <v xml:space="preserve">Valid </v>
      </c>
      <c r="AL1688" t="str">
        <f>IF(AND(Audit_Data[[#This Row],[Recency]]&gt;=0,Audit_Data[[#This Row],[Recency]]&lt;=100),"Valid","Invalid")</f>
        <v>Valid</v>
      </c>
      <c r="AM1688" t="str">
        <f t="shared" si="344"/>
        <v>Valid</v>
      </c>
      <c r="AN1688" t="str">
        <f t="shared" si="345"/>
        <v>Valid</v>
      </c>
      <c r="AO1688" t="str">
        <f t="shared" si="346"/>
        <v>Valid</v>
      </c>
      <c r="AP1688" t="str">
        <f t="shared" si="347"/>
        <v>Valid</v>
      </c>
      <c r="AQ1688" t="str">
        <f>IF(Audit_Data[[#This Row],[Z_CostContact]]=3,"Valid","Invalid")</f>
        <v>Valid</v>
      </c>
      <c r="AR1688" t="str">
        <f t="shared" si="348"/>
        <v>Valid</v>
      </c>
      <c r="AS1688" t="str">
        <f t="shared" si="349"/>
        <v>Valid</v>
      </c>
    </row>
    <row r="1689" spans="1:45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 t="str">
        <f t="shared" si="338"/>
        <v>Ok</v>
      </c>
      <c r="AE1689" t="str">
        <f>IF(AND(Audit_Data[[#This Row],[Year_Birth]]&gt;=1900,Audit_Data[[#This Row],[Year_Birth]]&lt;=2010),"OK","Invalid")</f>
        <v>OK</v>
      </c>
      <c r="AF1689" t="str">
        <f t="shared" si="339"/>
        <v>Valid</v>
      </c>
      <c r="AG1689" t="str">
        <f t="shared" si="340"/>
        <v>Valid</v>
      </c>
      <c r="AH1689" t="str">
        <f t="shared" si="341"/>
        <v>Valid</v>
      </c>
      <c r="AI1689" t="str">
        <f t="shared" si="342"/>
        <v>Valid</v>
      </c>
      <c r="AJ1689" t="str">
        <f t="shared" si="343"/>
        <v>Valid</v>
      </c>
      <c r="AK1689" t="str">
        <f t="shared" si="350"/>
        <v xml:space="preserve">Valid </v>
      </c>
      <c r="AL1689" t="str">
        <f>IF(AND(Audit_Data[[#This Row],[Recency]]&gt;=0,Audit_Data[[#This Row],[Recency]]&lt;=100),"Valid","Invalid")</f>
        <v>Valid</v>
      </c>
      <c r="AM1689" t="str">
        <f t="shared" si="344"/>
        <v>Valid</v>
      </c>
      <c r="AN1689" t="str">
        <f t="shared" si="345"/>
        <v>Valid</v>
      </c>
      <c r="AO1689" t="str">
        <f t="shared" si="346"/>
        <v>Valid</v>
      </c>
      <c r="AP1689" t="str">
        <f t="shared" si="347"/>
        <v>Valid</v>
      </c>
      <c r="AQ1689" t="str">
        <f>IF(Audit_Data[[#This Row],[Z_CostContact]]=3,"Valid","Invalid")</f>
        <v>Valid</v>
      </c>
      <c r="AR1689" t="str">
        <f t="shared" si="348"/>
        <v>Valid</v>
      </c>
      <c r="AS1689" t="str">
        <f t="shared" si="349"/>
        <v>Valid</v>
      </c>
    </row>
    <row r="1690" spans="1:45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 t="str">
        <f t="shared" si="338"/>
        <v>Ok</v>
      </c>
      <c r="AE1690" t="str">
        <f>IF(AND(Audit_Data[[#This Row],[Year_Birth]]&gt;=1900,Audit_Data[[#This Row],[Year_Birth]]&lt;=2010),"OK","Invalid")</f>
        <v>OK</v>
      </c>
      <c r="AF1690" t="str">
        <f t="shared" si="339"/>
        <v>Valid</v>
      </c>
      <c r="AG1690" t="str">
        <f t="shared" si="340"/>
        <v>Valid</v>
      </c>
      <c r="AH1690" t="str">
        <f t="shared" si="341"/>
        <v>Valid</v>
      </c>
      <c r="AI1690" t="str">
        <f t="shared" si="342"/>
        <v>Valid</v>
      </c>
      <c r="AJ1690" t="str">
        <f t="shared" si="343"/>
        <v>Valid</v>
      </c>
      <c r="AK1690" t="str">
        <f t="shared" si="350"/>
        <v xml:space="preserve">Valid </v>
      </c>
      <c r="AL1690" t="str">
        <f>IF(AND(Audit_Data[[#This Row],[Recency]]&gt;=0,Audit_Data[[#This Row],[Recency]]&lt;=100),"Valid","Invalid")</f>
        <v>Valid</v>
      </c>
      <c r="AM1690" t="str">
        <f t="shared" si="344"/>
        <v>Valid</v>
      </c>
      <c r="AN1690" t="str">
        <f t="shared" si="345"/>
        <v>Valid</v>
      </c>
      <c r="AO1690" t="str">
        <f t="shared" si="346"/>
        <v>Valid</v>
      </c>
      <c r="AP1690" t="str">
        <f t="shared" si="347"/>
        <v>Valid</v>
      </c>
      <c r="AQ1690" t="str">
        <f>IF(Audit_Data[[#This Row],[Z_CostContact]]=3,"Valid","Invalid")</f>
        <v>Valid</v>
      </c>
      <c r="AR1690" t="str">
        <f t="shared" si="348"/>
        <v>Valid</v>
      </c>
      <c r="AS1690" t="str">
        <f t="shared" si="349"/>
        <v>Valid</v>
      </c>
    </row>
    <row r="1691" spans="1:45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 t="str">
        <f t="shared" si="338"/>
        <v>Ok</v>
      </c>
      <c r="AE1691" t="str">
        <f>IF(AND(Audit_Data[[#This Row],[Year_Birth]]&gt;=1900,Audit_Data[[#This Row],[Year_Birth]]&lt;=2010),"OK","Invalid")</f>
        <v>OK</v>
      </c>
      <c r="AF1691" t="str">
        <f t="shared" si="339"/>
        <v>Valid</v>
      </c>
      <c r="AG1691" t="str">
        <f t="shared" si="340"/>
        <v>Valid</v>
      </c>
      <c r="AH1691" t="str">
        <f t="shared" si="341"/>
        <v>Valid</v>
      </c>
      <c r="AI1691" t="str">
        <f t="shared" si="342"/>
        <v>Valid</v>
      </c>
      <c r="AJ1691" t="str">
        <f t="shared" si="343"/>
        <v>Valid</v>
      </c>
      <c r="AK1691" t="str">
        <f t="shared" si="350"/>
        <v xml:space="preserve">Valid </v>
      </c>
      <c r="AL1691" t="str">
        <f>IF(AND(Audit_Data[[#This Row],[Recency]]&gt;=0,Audit_Data[[#This Row],[Recency]]&lt;=100),"Valid","Invalid")</f>
        <v>Valid</v>
      </c>
      <c r="AM1691" t="str">
        <f t="shared" si="344"/>
        <v>Valid</v>
      </c>
      <c r="AN1691" t="str">
        <f t="shared" si="345"/>
        <v>Valid</v>
      </c>
      <c r="AO1691" t="str">
        <f t="shared" si="346"/>
        <v>Valid</v>
      </c>
      <c r="AP1691" t="str">
        <f t="shared" si="347"/>
        <v>Valid</v>
      </c>
      <c r="AQ1691" t="str">
        <f>IF(Audit_Data[[#This Row],[Z_CostContact]]=3,"Valid","Invalid")</f>
        <v>Valid</v>
      </c>
      <c r="AR1691" t="str">
        <f t="shared" si="348"/>
        <v>Valid</v>
      </c>
      <c r="AS1691" t="str">
        <f t="shared" si="349"/>
        <v>Valid</v>
      </c>
    </row>
    <row r="1692" spans="1:45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 t="str">
        <f t="shared" si="338"/>
        <v>Ok</v>
      </c>
      <c r="AE1692" t="str">
        <f>IF(AND(Audit_Data[[#This Row],[Year_Birth]]&gt;=1900,Audit_Data[[#This Row],[Year_Birth]]&lt;=2010),"OK","Invalid")</f>
        <v>OK</v>
      </c>
      <c r="AF1692" t="str">
        <f t="shared" si="339"/>
        <v>Valid</v>
      </c>
      <c r="AG1692" t="str">
        <f t="shared" si="340"/>
        <v>Valid</v>
      </c>
      <c r="AH1692" t="str">
        <f t="shared" si="341"/>
        <v>Valid</v>
      </c>
      <c r="AI1692" t="str">
        <f t="shared" si="342"/>
        <v>Valid</v>
      </c>
      <c r="AJ1692" t="str">
        <f t="shared" si="343"/>
        <v>Valid</v>
      </c>
      <c r="AK1692" t="str">
        <f t="shared" si="350"/>
        <v xml:space="preserve">Valid </v>
      </c>
      <c r="AL1692" t="str">
        <f>IF(AND(Audit_Data[[#This Row],[Recency]]&gt;=0,Audit_Data[[#This Row],[Recency]]&lt;=100),"Valid","Invalid")</f>
        <v>Valid</v>
      </c>
      <c r="AM1692" t="str">
        <f t="shared" si="344"/>
        <v>Valid</v>
      </c>
      <c r="AN1692" t="str">
        <f t="shared" si="345"/>
        <v>Valid</v>
      </c>
      <c r="AO1692" t="str">
        <f t="shared" si="346"/>
        <v>Valid</v>
      </c>
      <c r="AP1692" t="str">
        <f t="shared" si="347"/>
        <v>Valid</v>
      </c>
      <c r="AQ1692" t="str">
        <f>IF(Audit_Data[[#This Row],[Z_CostContact]]=3,"Valid","Invalid")</f>
        <v>Valid</v>
      </c>
      <c r="AR1692" t="str">
        <f t="shared" si="348"/>
        <v>Valid</v>
      </c>
      <c r="AS1692" t="str">
        <f t="shared" si="349"/>
        <v>Valid</v>
      </c>
    </row>
    <row r="1693" spans="1:45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 t="str">
        <f t="shared" si="338"/>
        <v>Ok</v>
      </c>
      <c r="AE1693" t="str">
        <f>IF(AND(Audit_Data[[#This Row],[Year_Birth]]&gt;=1900,Audit_Data[[#This Row],[Year_Birth]]&lt;=2010),"OK","Invalid")</f>
        <v>OK</v>
      </c>
      <c r="AF1693" t="str">
        <f t="shared" si="339"/>
        <v>Valid</v>
      </c>
      <c r="AG1693" t="str">
        <f t="shared" si="340"/>
        <v>Valid</v>
      </c>
      <c r="AH1693" t="str">
        <f t="shared" si="341"/>
        <v>Valid</v>
      </c>
      <c r="AI1693" t="str">
        <f t="shared" si="342"/>
        <v>Valid</v>
      </c>
      <c r="AJ1693" t="str">
        <f t="shared" si="343"/>
        <v>Valid</v>
      </c>
      <c r="AK1693" t="str">
        <f t="shared" si="350"/>
        <v xml:space="preserve">Valid </v>
      </c>
      <c r="AL1693" t="str">
        <f>IF(AND(Audit_Data[[#This Row],[Recency]]&gt;=0,Audit_Data[[#This Row],[Recency]]&lt;=100),"Valid","Invalid")</f>
        <v>Valid</v>
      </c>
      <c r="AM1693" t="str">
        <f t="shared" si="344"/>
        <v>Valid</v>
      </c>
      <c r="AN1693" t="str">
        <f t="shared" si="345"/>
        <v>Valid</v>
      </c>
      <c r="AO1693" t="str">
        <f t="shared" si="346"/>
        <v>Valid</v>
      </c>
      <c r="AP1693" t="str">
        <f t="shared" si="347"/>
        <v>Valid</v>
      </c>
      <c r="AQ1693" t="str">
        <f>IF(Audit_Data[[#This Row],[Z_CostContact]]=3,"Valid","Invalid")</f>
        <v>Valid</v>
      </c>
      <c r="AR1693" t="str">
        <f t="shared" si="348"/>
        <v>Valid</v>
      </c>
      <c r="AS1693" t="str">
        <f t="shared" si="349"/>
        <v>Valid</v>
      </c>
    </row>
    <row r="1694" spans="1:45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 t="str">
        <f t="shared" si="338"/>
        <v>Ok</v>
      </c>
      <c r="AE1694" t="str">
        <f>IF(AND(Audit_Data[[#This Row],[Year_Birth]]&gt;=1900,Audit_Data[[#This Row],[Year_Birth]]&lt;=2010),"OK","Invalid")</f>
        <v>OK</v>
      </c>
      <c r="AF1694" t="str">
        <f t="shared" si="339"/>
        <v>Valid</v>
      </c>
      <c r="AG1694" t="str">
        <f t="shared" si="340"/>
        <v>Valid</v>
      </c>
      <c r="AH1694" t="str">
        <f t="shared" si="341"/>
        <v>Valid</v>
      </c>
      <c r="AI1694" t="str">
        <f t="shared" si="342"/>
        <v>Valid</v>
      </c>
      <c r="AJ1694" t="str">
        <f t="shared" si="343"/>
        <v>Valid</v>
      </c>
      <c r="AK1694" t="str">
        <f t="shared" si="350"/>
        <v xml:space="preserve">Valid </v>
      </c>
      <c r="AL1694" t="str">
        <f>IF(AND(Audit_Data[[#This Row],[Recency]]&gt;=0,Audit_Data[[#This Row],[Recency]]&lt;=100),"Valid","Invalid")</f>
        <v>Valid</v>
      </c>
      <c r="AM1694" t="str">
        <f t="shared" si="344"/>
        <v>Valid</v>
      </c>
      <c r="AN1694" t="str">
        <f t="shared" si="345"/>
        <v>Valid</v>
      </c>
      <c r="AO1694" t="str">
        <f t="shared" si="346"/>
        <v>Valid</v>
      </c>
      <c r="AP1694" t="str">
        <f t="shared" si="347"/>
        <v>Valid</v>
      </c>
      <c r="AQ1694" t="str">
        <f>IF(Audit_Data[[#This Row],[Z_CostContact]]=3,"Valid","Invalid")</f>
        <v>Valid</v>
      </c>
      <c r="AR1694" t="str">
        <f t="shared" si="348"/>
        <v>Valid</v>
      </c>
      <c r="AS1694" t="str">
        <f t="shared" si="349"/>
        <v>Valid</v>
      </c>
    </row>
    <row r="1695" spans="1:45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 t="str">
        <f t="shared" si="338"/>
        <v>Ok</v>
      </c>
      <c r="AE1695" t="str">
        <f>IF(AND(Audit_Data[[#This Row],[Year_Birth]]&gt;=1900,Audit_Data[[#This Row],[Year_Birth]]&lt;=2010),"OK","Invalid")</f>
        <v>OK</v>
      </c>
      <c r="AF1695" t="str">
        <f t="shared" si="339"/>
        <v>Valid</v>
      </c>
      <c r="AG1695" t="str">
        <f t="shared" si="340"/>
        <v>Valid</v>
      </c>
      <c r="AH1695" t="str">
        <f t="shared" si="341"/>
        <v>Valid</v>
      </c>
      <c r="AI1695" t="str">
        <f t="shared" si="342"/>
        <v>Valid</v>
      </c>
      <c r="AJ1695" t="str">
        <f t="shared" si="343"/>
        <v>Valid</v>
      </c>
      <c r="AK1695" t="str">
        <f t="shared" si="350"/>
        <v xml:space="preserve">Valid </v>
      </c>
      <c r="AL1695" t="str">
        <f>IF(AND(Audit_Data[[#This Row],[Recency]]&gt;=0,Audit_Data[[#This Row],[Recency]]&lt;=100),"Valid","Invalid")</f>
        <v>Valid</v>
      </c>
      <c r="AM1695" t="str">
        <f t="shared" si="344"/>
        <v>Valid</v>
      </c>
      <c r="AN1695" t="str">
        <f t="shared" si="345"/>
        <v>Valid</v>
      </c>
      <c r="AO1695" t="str">
        <f t="shared" si="346"/>
        <v>Valid</v>
      </c>
      <c r="AP1695" t="str">
        <f t="shared" si="347"/>
        <v>Valid</v>
      </c>
      <c r="AQ1695" t="str">
        <f>IF(Audit_Data[[#This Row],[Z_CostContact]]=3,"Valid","Invalid")</f>
        <v>Valid</v>
      </c>
      <c r="AR1695" t="str">
        <f t="shared" si="348"/>
        <v>Valid</v>
      </c>
      <c r="AS1695" t="str">
        <f t="shared" si="349"/>
        <v>Valid</v>
      </c>
    </row>
    <row r="1696" spans="1:45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 t="str">
        <f t="shared" si="338"/>
        <v>Ok</v>
      </c>
      <c r="AE1696" t="str">
        <f>IF(AND(Audit_Data[[#This Row],[Year_Birth]]&gt;=1900,Audit_Data[[#This Row],[Year_Birth]]&lt;=2010),"OK","Invalid")</f>
        <v>OK</v>
      </c>
      <c r="AF1696" t="str">
        <f t="shared" si="339"/>
        <v>Valid</v>
      </c>
      <c r="AG1696" t="str">
        <f t="shared" si="340"/>
        <v>Valid</v>
      </c>
      <c r="AH1696" t="str">
        <f t="shared" si="341"/>
        <v>Valid</v>
      </c>
      <c r="AI1696" t="str">
        <f t="shared" si="342"/>
        <v>Valid</v>
      </c>
      <c r="AJ1696" t="str">
        <f t="shared" si="343"/>
        <v>Valid</v>
      </c>
      <c r="AK1696" t="str">
        <f t="shared" si="350"/>
        <v xml:space="preserve">Valid </v>
      </c>
      <c r="AL1696" t="str">
        <f>IF(AND(Audit_Data[[#This Row],[Recency]]&gt;=0,Audit_Data[[#This Row],[Recency]]&lt;=100),"Valid","Invalid")</f>
        <v>Valid</v>
      </c>
      <c r="AM1696" t="str">
        <f t="shared" si="344"/>
        <v>Valid</v>
      </c>
      <c r="AN1696" t="str">
        <f t="shared" si="345"/>
        <v>Valid</v>
      </c>
      <c r="AO1696" t="str">
        <f t="shared" si="346"/>
        <v>Valid</v>
      </c>
      <c r="AP1696" t="str">
        <f t="shared" si="347"/>
        <v>Valid</v>
      </c>
      <c r="AQ1696" t="str">
        <f>IF(Audit_Data[[#This Row],[Z_CostContact]]=3,"Valid","Invalid")</f>
        <v>Valid</v>
      </c>
      <c r="AR1696" t="str">
        <f t="shared" si="348"/>
        <v>Valid</v>
      </c>
      <c r="AS1696" t="str">
        <f t="shared" si="349"/>
        <v>Valid</v>
      </c>
    </row>
    <row r="1697" spans="1:45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 t="str">
        <f t="shared" si="338"/>
        <v>Ok</v>
      </c>
      <c r="AE1697" t="str">
        <f>IF(AND(Audit_Data[[#This Row],[Year_Birth]]&gt;=1900,Audit_Data[[#This Row],[Year_Birth]]&lt;=2010),"OK","Invalid")</f>
        <v>OK</v>
      </c>
      <c r="AF1697" t="str">
        <f t="shared" si="339"/>
        <v>Valid</v>
      </c>
      <c r="AG1697" t="str">
        <f t="shared" si="340"/>
        <v>Valid</v>
      </c>
      <c r="AH1697" t="str">
        <f t="shared" si="341"/>
        <v>Valid</v>
      </c>
      <c r="AI1697" t="str">
        <f t="shared" si="342"/>
        <v>Valid</v>
      </c>
      <c r="AJ1697" t="str">
        <f t="shared" si="343"/>
        <v>Valid</v>
      </c>
      <c r="AK1697" t="str">
        <f t="shared" si="350"/>
        <v xml:space="preserve">Valid </v>
      </c>
      <c r="AL1697" t="str">
        <f>IF(AND(Audit_Data[[#This Row],[Recency]]&gt;=0,Audit_Data[[#This Row],[Recency]]&lt;=100),"Valid","Invalid")</f>
        <v>Valid</v>
      </c>
      <c r="AM1697" t="str">
        <f t="shared" si="344"/>
        <v>Valid</v>
      </c>
      <c r="AN1697" t="str">
        <f t="shared" si="345"/>
        <v>Valid</v>
      </c>
      <c r="AO1697" t="str">
        <f t="shared" si="346"/>
        <v>Valid</v>
      </c>
      <c r="AP1697" t="str">
        <f t="shared" si="347"/>
        <v>Valid</v>
      </c>
      <c r="AQ1697" t="str">
        <f>IF(Audit_Data[[#This Row],[Z_CostContact]]=3,"Valid","Invalid")</f>
        <v>Valid</v>
      </c>
      <c r="AR1697" t="str">
        <f t="shared" si="348"/>
        <v>Valid</v>
      </c>
      <c r="AS1697" t="str">
        <f t="shared" si="349"/>
        <v>Valid</v>
      </c>
    </row>
    <row r="1698" spans="1:45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 t="str">
        <f t="shared" si="338"/>
        <v>Ok</v>
      </c>
      <c r="AE1698" t="str">
        <f>IF(AND(Audit_Data[[#This Row],[Year_Birth]]&gt;=1900,Audit_Data[[#This Row],[Year_Birth]]&lt;=2010),"OK","Invalid")</f>
        <v>OK</v>
      </c>
      <c r="AF1698" t="str">
        <f t="shared" si="339"/>
        <v>Valid</v>
      </c>
      <c r="AG1698" t="str">
        <f t="shared" si="340"/>
        <v>Valid</v>
      </c>
      <c r="AH1698" t="str">
        <f t="shared" si="341"/>
        <v>Valid</v>
      </c>
      <c r="AI1698" t="str">
        <f t="shared" si="342"/>
        <v>Valid</v>
      </c>
      <c r="AJ1698" t="str">
        <f t="shared" si="343"/>
        <v>Valid</v>
      </c>
      <c r="AK1698" t="str">
        <f t="shared" si="350"/>
        <v xml:space="preserve">Valid </v>
      </c>
      <c r="AL1698" t="str">
        <f>IF(AND(Audit_Data[[#This Row],[Recency]]&gt;=0,Audit_Data[[#This Row],[Recency]]&lt;=100),"Valid","Invalid")</f>
        <v>Valid</v>
      </c>
      <c r="AM1698" t="str">
        <f t="shared" si="344"/>
        <v>Valid</v>
      </c>
      <c r="AN1698" t="str">
        <f t="shared" si="345"/>
        <v>Valid</v>
      </c>
      <c r="AO1698" t="str">
        <f t="shared" si="346"/>
        <v>Valid</v>
      </c>
      <c r="AP1698" t="str">
        <f t="shared" si="347"/>
        <v>Valid</v>
      </c>
      <c r="AQ1698" t="str">
        <f>IF(Audit_Data[[#This Row],[Z_CostContact]]=3,"Valid","Invalid")</f>
        <v>Valid</v>
      </c>
      <c r="AR1698" t="str">
        <f t="shared" si="348"/>
        <v>Valid</v>
      </c>
      <c r="AS1698" t="str">
        <f t="shared" si="349"/>
        <v>Valid</v>
      </c>
    </row>
    <row r="1699" spans="1:45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 t="str">
        <f t="shared" si="338"/>
        <v>Ok</v>
      </c>
      <c r="AE1699" t="str">
        <f>IF(AND(Audit_Data[[#This Row],[Year_Birth]]&gt;=1900,Audit_Data[[#This Row],[Year_Birth]]&lt;=2010),"OK","Invalid")</f>
        <v>OK</v>
      </c>
      <c r="AF1699" t="str">
        <f t="shared" si="339"/>
        <v>Valid</v>
      </c>
      <c r="AG1699" t="str">
        <f t="shared" si="340"/>
        <v>Valid</v>
      </c>
      <c r="AH1699" t="str">
        <f t="shared" si="341"/>
        <v>Valid</v>
      </c>
      <c r="AI1699" t="str">
        <f t="shared" si="342"/>
        <v>Valid</v>
      </c>
      <c r="AJ1699" t="str">
        <f t="shared" si="343"/>
        <v>Valid</v>
      </c>
      <c r="AK1699" t="str">
        <f t="shared" si="350"/>
        <v xml:space="preserve">Valid </v>
      </c>
      <c r="AL1699" t="str">
        <f>IF(AND(Audit_Data[[#This Row],[Recency]]&gt;=0,Audit_Data[[#This Row],[Recency]]&lt;=100),"Valid","Invalid")</f>
        <v>Valid</v>
      </c>
      <c r="AM1699" t="str">
        <f t="shared" si="344"/>
        <v>Valid</v>
      </c>
      <c r="AN1699" t="str">
        <f t="shared" si="345"/>
        <v>Valid</v>
      </c>
      <c r="AO1699" t="str">
        <f t="shared" si="346"/>
        <v>Valid</v>
      </c>
      <c r="AP1699" t="str">
        <f t="shared" si="347"/>
        <v>Valid</v>
      </c>
      <c r="AQ1699" t="str">
        <f>IF(Audit_Data[[#This Row],[Z_CostContact]]=3,"Valid","Invalid")</f>
        <v>Valid</v>
      </c>
      <c r="AR1699" t="str">
        <f t="shared" si="348"/>
        <v>Valid</v>
      </c>
      <c r="AS1699" t="str">
        <f t="shared" si="349"/>
        <v>Valid</v>
      </c>
    </row>
    <row r="1700" spans="1:45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 t="str">
        <f t="shared" si="338"/>
        <v>Ok</v>
      </c>
      <c r="AE1700" t="str">
        <f>IF(AND(Audit_Data[[#This Row],[Year_Birth]]&gt;=1900,Audit_Data[[#This Row],[Year_Birth]]&lt;=2010),"OK","Invalid")</f>
        <v>OK</v>
      </c>
      <c r="AF1700" t="str">
        <f t="shared" si="339"/>
        <v>Valid</v>
      </c>
      <c r="AG1700" t="str">
        <f t="shared" si="340"/>
        <v>Valid</v>
      </c>
      <c r="AH1700" t="str">
        <f t="shared" si="341"/>
        <v>Valid</v>
      </c>
      <c r="AI1700" t="str">
        <f t="shared" si="342"/>
        <v>Valid</v>
      </c>
      <c r="AJ1700" t="str">
        <f t="shared" si="343"/>
        <v>Valid</v>
      </c>
      <c r="AK1700" t="str">
        <f t="shared" si="350"/>
        <v xml:space="preserve">Valid </v>
      </c>
      <c r="AL1700" t="str">
        <f>IF(AND(Audit_Data[[#This Row],[Recency]]&gt;=0,Audit_Data[[#This Row],[Recency]]&lt;=100),"Valid","Invalid")</f>
        <v>Valid</v>
      </c>
      <c r="AM1700" t="str">
        <f t="shared" si="344"/>
        <v>Valid</v>
      </c>
      <c r="AN1700" t="str">
        <f t="shared" si="345"/>
        <v>Valid</v>
      </c>
      <c r="AO1700" t="str">
        <f t="shared" si="346"/>
        <v>Valid</v>
      </c>
      <c r="AP1700" t="str">
        <f t="shared" si="347"/>
        <v>Valid</v>
      </c>
      <c r="AQ1700" t="str">
        <f>IF(Audit_Data[[#This Row],[Z_CostContact]]=3,"Valid","Invalid")</f>
        <v>Valid</v>
      </c>
      <c r="AR1700" t="str">
        <f t="shared" si="348"/>
        <v>Valid</v>
      </c>
      <c r="AS1700" t="str">
        <f t="shared" si="349"/>
        <v>Valid</v>
      </c>
    </row>
    <row r="1701" spans="1:45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 t="str">
        <f t="shared" si="338"/>
        <v>Ok</v>
      </c>
      <c r="AE1701" t="str">
        <f>IF(AND(Audit_Data[[#This Row],[Year_Birth]]&gt;=1900,Audit_Data[[#This Row],[Year_Birth]]&lt;=2010),"OK","Invalid")</f>
        <v>OK</v>
      </c>
      <c r="AF1701" t="str">
        <f t="shared" si="339"/>
        <v>Valid</v>
      </c>
      <c r="AG1701" t="str">
        <f t="shared" si="340"/>
        <v>Valid</v>
      </c>
      <c r="AH1701" t="str">
        <f t="shared" si="341"/>
        <v>Valid</v>
      </c>
      <c r="AI1701" t="str">
        <f t="shared" si="342"/>
        <v>Valid</v>
      </c>
      <c r="AJ1701" t="str">
        <f t="shared" si="343"/>
        <v>Valid</v>
      </c>
      <c r="AK1701" t="str">
        <f t="shared" si="350"/>
        <v xml:space="preserve">Valid </v>
      </c>
      <c r="AL1701" t="str">
        <f>IF(AND(Audit_Data[[#This Row],[Recency]]&gt;=0,Audit_Data[[#This Row],[Recency]]&lt;=100),"Valid","Invalid")</f>
        <v>Valid</v>
      </c>
      <c r="AM1701" t="str">
        <f t="shared" si="344"/>
        <v>Valid</v>
      </c>
      <c r="AN1701" t="str">
        <f t="shared" si="345"/>
        <v>Valid</v>
      </c>
      <c r="AO1701" t="str">
        <f t="shared" si="346"/>
        <v>Valid</v>
      </c>
      <c r="AP1701" t="str">
        <f t="shared" si="347"/>
        <v>Valid</v>
      </c>
      <c r="AQ1701" t="str">
        <f>IF(Audit_Data[[#This Row],[Z_CostContact]]=3,"Valid","Invalid")</f>
        <v>Valid</v>
      </c>
      <c r="AR1701" t="str">
        <f t="shared" si="348"/>
        <v>Valid</v>
      </c>
      <c r="AS1701" t="str">
        <f t="shared" si="349"/>
        <v>Valid</v>
      </c>
    </row>
    <row r="1702" spans="1:45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 t="str">
        <f t="shared" si="338"/>
        <v>Ok</v>
      </c>
      <c r="AE1702" t="str">
        <f>IF(AND(Audit_Data[[#This Row],[Year_Birth]]&gt;=1900,Audit_Data[[#This Row],[Year_Birth]]&lt;=2010),"OK","Invalid")</f>
        <v>OK</v>
      </c>
      <c r="AF1702" t="str">
        <f t="shared" si="339"/>
        <v>Valid</v>
      </c>
      <c r="AG1702" t="str">
        <f t="shared" si="340"/>
        <v>Valid</v>
      </c>
      <c r="AH1702" t="str">
        <f t="shared" si="341"/>
        <v>Valid</v>
      </c>
      <c r="AI1702" t="str">
        <f t="shared" si="342"/>
        <v>Valid</v>
      </c>
      <c r="AJ1702" t="str">
        <f t="shared" si="343"/>
        <v>Valid</v>
      </c>
      <c r="AK1702" t="str">
        <f t="shared" si="350"/>
        <v xml:space="preserve">Valid </v>
      </c>
      <c r="AL1702" t="str">
        <f>IF(AND(Audit_Data[[#This Row],[Recency]]&gt;=0,Audit_Data[[#This Row],[Recency]]&lt;=100),"Valid","Invalid")</f>
        <v>Valid</v>
      </c>
      <c r="AM1702" t="str">
        <f t="shared" si="344"/>
        <v>Valid</v>
      </c>
      <c r="AN1702" t="str">
        <f t="shared" si="345"/>
        <v>Valid</v>
      </c>
      <c r="AO1702" t="str">
        <f t="shared" si="346"/>
        <v>Valid</v>
      </c>
      <c r="AP1702" t="str">
        <f t="shared" si="347"/>
        <v>Valid</v>
      </c>
      <c r="AQ1702" t="str">
        <f>IF(Audit_Data[[#This Row],[Z_CostContact]]=3,"Valid","Invalid")</f>
        <v>Valid</v>
      </c>
      <c r="AR1702" t="str">
        <f t="shared" si="348"/>
        <v>Valid</v>
      </c>
      <c r="AS1702" t="str">
        <f t="shared" si="349"/>
        <v>Valid</v>
      </c>
    </row>
    <row r="1703" spans="1:45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 t="str">
        <f t="shared" si="338"/>
        <v>Ok</v>
      </c>
      <c r="AE1703" t="str">
        <f>IF(AND(Audit_Data[[#This Row],[Year_Birth]]&gt;=1900,Audit_Data[[#This Row],[Year_Birth]]&lt;=2010),"OK","Invalid")</f>
        <v>OK</v>
      </c>
      <c r="AF1703" t="str">
        <f t="shared" si="339"/>
        <v>Valid</v>
      </c>
      <c r="AG1703" t="str">
        <f t="shared" si="340"/>
        <v>Valid</v>
      </c>
      <c r="AH1703" t="str">
        <f t="shared" si="341"/>
        <v>Valid</v>
      </c>
      <c r="AI1703" t="str">
        <f t="shared" si="342"/>
        <v>Valid</v>
      </c>
      <c r="AJ1703" t="str">
        <f t="shared" si="343"/>
        <v>Valid</v>
      </c>
      <c r="AK1703" t="str">
        <f t="shared" si="350"/>
        <v xml:space="preserve">Valid </v>
      </c>
      <c r="AL1703" t="str">
        <f>IF(AND(Audit_Data[[#This Row],[Recency]]&gt;=0,Audit_Data[[#This Row],[Recency]]&lt;=100),"Valid","Invalid")</f>
        <v>Valid</v>
      </c>
      <c r="AM1703" t="str">
        <f t="shared" si="344"/>
        <v>Valid</v>
      </c>
      <c r="AN1703" t="str">
        <f t="shared" si="345"/>
        <v>Valid</v>
      </c>
      <c r="AO1703" t="str">
        <f t="shared" si="346"/>
        <v>Valid</v>
      </c>
      <c r="AP1703" t="str">
        <f t="shared" si="347"/>
        <v>Valid</v>
      </c>
      <c r="AQ1703" t="str">
        <f>IF(Audit_Data[[#This Row],[Z_CostContact]]=3,"Valid","Invalid")</f>
        <v>Valid</v>
      </c>
      <c r="AR1703" t="str">
        <f t="shared" si="348"/>
        <v>Valid</v>
      </c>
      <c r="AS1703" t="str">
        <f t="shared" si="349"/>
        <v>Valid</v>
      </c>
    </row>
    <row r="1704" spans="1:45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 t="str">
        <f t="shared" si="338"/>
        <v>Ok</v>
      </c>
      <c r="AE1704" t="str">
        <f>IF(AND(Audit_Data[[#This Row],[Year_Birth]]&gt;=1900,Audit_Data[[#This Row],[Year_Birth]]&lt;=2010),"OK","Invalid")</f>
        <v>OK</v>
      </c>
      <c r="AF1704" t="str">
        <f t="shared" si="339"/>
        <v>Valid</v>
      </c>
      <c r="AG1704" t="str">
        <f t="shared" si="340"/>
        <v>Valid</v>
      </c>
      <c r="AH1704" t="str">
        <f t="shared" si="341"/>
        <v>Valid</v>
      </c>
      <c r="AI1704" t="str">
        <f t="shared" si="342"/>
        <v>Valid</v>
      </c>
      <c r="AJ1704" t="str">
        <f t="shared" si="343"/>
        <v>Valid</v>
      </c>
      <c r="AK1704" t="str">
        <f t="shared" si="350"/>
        <v xml:space="preserve">Valid </v>
      </c>
      <c r="AL1704" t="str">
        <f>IF(AND(Audit_Data[[#This Row],[Recency]]&gt;=0,Audit_Data[[#This Row],[Recency]]&lt;=100),"Valid","Invalid")</f>
        <v>Valid</v>
      </c>
      <c r="AM1704" t="str">
        <f t="shared" si="344"/>
        <v>Valid</v>
      </c>
      <c r="AN1704" t="str">
        <f t="shared" si="345"/>
        <v>Valid</v>
      </c>
      <c r="AO1704" t="str">
        <f t="shared" si="346"/>
        <v>Valid</v>
      </c>
      <c r="AP1704" t="str">
        <f t="shared" si="347"/>
        <v>Valid</v>
      </c>
      <c r="AQ1704" t="str">
        <f>IF(Audit_Data[[#This Row],[Z_CostContact]]=3,"Valid","Invalid")</f>
        <v>Valid</v>
      </c>
      <c r="AR1704" t="str">
        <f t="shared" si="348"/>
        <v>Valid</v>
      </c>
      <c r="AS1704" t="str">
        <f t="shared" si="349"/>
        <v>Valid</v>
      </c>
    </row>
    <row r="1705" spans="1:45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 t="str">
        <f t="shared" si="338"/>
        <v>Ok</v>
      </c>
      <c r="AE1705" t="str">
        <f>IF(AND(Audit_Data[[#This Row],[Year_Birth]]&gt;=1900,Audit_Data[[#This Row],[Year_Birth]]&lt;=2010),"OK","Invalid")</f>
        <v>OK</v>
      </c>
      <c r="AF1705" t="str">
        <f t="shared" si="339"/>
        <v>Valid</v>
      </c>
      <c r="AG1705" t="str">
        <f t="shared" si="340"/>
        <v>Valid</v>
      </c>
      <c r="AH1705" t="str">
        <f t="shared" si="341"/>
        <v>Valid</v>
      </c>
      <c r="AI1705" t="str">
        <f t="shared" si="342"/>
        <v>Valid</v>
      </c>
      <c r="AJ1705" t="str">
        <f t="shared" si="343"/>
        <v>Valid</v>
      </c>
      <c r="AK1705" t="str">
        <f t="shared" si="350"/>
        <v xml:space="preserve">Valid </v>
      </c>
      <c r="AL1705" t="str">
        <f>IF(AND(Audit_Data[[#This Row],[Recency]]&gt;=0,Audit_Data[[#This Row],[Recency]]&lt;=100),"Valid","Invalid")</f>
        <v>Valid</v>
      </c>
      <c r="AM1705" t="str">
        <f t="shared" si="344"/>
        <v>Valid</v>
      </c>
      <c r="AN1705" t="str">
        <f t="shared" si="345"/>
        <v>Valid</v>
      </c>
      <c r="AO1705" t="str">
        <f t="shared" si="346"/>
        <v>Valid</v>
      </c>
      <c r="AP1705" t="str">
        <f t="shared" si="347"/>
        <v>Valid</v>
      </c>
      <c r="AQ1705" t="str">
        <f>IF(Audit_Data[[#This Row],[Z_CostContact]]=3,"Valid","Invalid")</f>
        <v>Valid</v>
      </c>
      <c r="AR1705" t="str">
        <f t="shared" si="348"/>
        <v>Valid</v>
      </c>
      <c r="AS1705" t="str">
        <f t="shared" si="349"/>
        <v>Valid</v>
      </c>
    </row>
    <row r="1706" spans="1:45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 t="str">
        <f t="shared" si="338"/>
        <v>Ok</v>
      </c>
      <c r="AE1706" t="str">
        <f>IF(AND(Audit_Data[[#This Row],[Year_Birth]]&gt;=1900,Audit_Data[[#This Row],[Year_Birth]]&lt;=2010),"OK","Invalid")</f>
        <v>OK</v>
      </c>
      <c r="AF1706" t="str">
        <f t="shared" si="339"/>
        <v>Valid</v>
      </c>
      <c r="AG1706" t="str">
        <f t="shared" si="340"/>
        <v>Valid</v>
      </c>
      <c r="AH1706" t="str">
        <f t="shared" si="341"/>
        <v>Valid</v>
      </c>
      <c r="AI1706" t="str">
        <f t="shared" si="342"/>
        <v>Valid</v>
      </c>
      <c r="AJ1706" t="str">
        <f t="shared" si="343"/>
        <v>Valid</v>
      </c>
      <c r="AK1706" t="str">
        <f t="shared" si="350"/>
        <v xml:space="preserve">Valid </v>
      </c>
      <c r="AL1706" t="str">
        <f>IF(AND(Audit_Data[[#This Row],[Recency]]&gt;=0,Audit_Data[[#This Row],[Recency]]&lt;=100),"Valid","Invalid")</f>
        <v>Valid</v>
      </c>
      <c r="AM1706" t="str">
        <f t="shared" si="344"/>
        <v>Valid</v>
      </c>
      <c r="AN1706" t="str">
        <f t="shared" si="345"/>
        <v>Valid</v>
      </c>
      <c r="AO1706" t="str">
        <f t="shared" si="346"/>
        <v>Valid</v>
      </c>
      <c r="AP1706" t="str">
        <f t="shared" si="347"/>
        <v>Valid</v>
      </c>
      <c r="AQ1706" t="str">
        <f>IF(Audit_Data[[#This Row],[Z_CostContact]]=3,"Valid","Invalid")</f>
        <v>Valid</v>
      </c>
      <c r="AR1706" t="str">
        <f t="shared" si="348"/>
        <v>Valid</v>
      </c>
      <c r="AS1706" t="str">
        <f t="shared" si="349"/>
        <v>Valid</v>
      </c>
    </row>
    <row r="1707" spans="1:45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 t="str">
        <f t="shared" si="338"/>
        <v>Ok</v>
      </c>
      <c r="AE1707" t="str">
        <f>IF(AND(Audit_Data[[#This Row],[Year_Birth]]&gt;=1900,Audit_Data[[#This Row],[Year_Birth]]&lt;=2010),"OK","Invalid")</f>
        <v>OK</v>
      </c>
      <c r="AF1707" t="str">
        <f t="shared" si="339"/>
        <v>Valid</v>
      </c>
      <c r="AG1707" t="str">
        <f t="shared" si="340"/>
        <v>Valid</v>
      </c>
      <c r="AH1707" t="str">
        <f t="shared" si="341"/>
        <v>Valid</v>
      </c>
      <c r="AI1707" t="str">
        <f t="shared" si="342"/>
        <v>Valid</v>
      </c>
      <c r="AJ1707" t="str">
        <f t="shared" si="343"/>
        <v>Valid</v>
      </c>
      <c r="AK1707" t="str">
        <f t="shared" si="350"/>
        <v xml:space="preserve">Valid </v>
      </c>
      <c r="AL1707" t="str">
        <f>IF(AND(Audit_Data[[#This Row],[Recency]]&gt;=0,Audit_Data[[#This Row],[Recency]]&lt;=100),"Valid","Invalid")</f>
        <v>Valid</v>
      </c>
      <c r="AM1707" t="str">
        <f t="shared" si="344"/>
        <v>Valid</v>
      </c>
      <c r="AN1707" t="str">
        <f t="shared" si="345"/>
        <v>Valid</v>
      </c>
      <c r="AO1707" t="str">
        <f t="shared" si="346"/>
        <v>Valid</v>
      </c>
      <c r="AP1707" t="str">
        <f t="shared" si="347"/>
        <v>Valid</v>
      </c>
      <c r="AQ1707" t="str">
        <f>IF(Audit_Data[[#This Row],[Z_CostContact]]=3,"Valid","Invalid")</f>
        <v>Valid</v>
      </c>
      <c r="AR1707" t="str">
        <f t="shared" si="348"/>
        <v>Valid</v>
      </c>
      <c r="AS1707" t="str">
        <f t="shared" si="349"/>
        <v>Valid</v>
      </c>
    </row>
    <row r="1708" spans="1:45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 t="str">
        <f t="shared" si="338"/>
        <v>Ok</v>
      </c>
      <c r="AE1708" t="str">
        <f>IF(AND(Audit_Data[[#This Row],[Year_Birth]]&gt;=1900,Audit_Data[[#This Row],[Year_Birth]]&lt;=2010),"OK","Invalid")</f>
        <v>OK</v>
      </c>
      <c r="AF1708" t="str">
        <f t="shared" si="339"/>
        <v>Valid</v>
      </c>
      <c r="AG1708" t="str">
        <f t="shared" si="340"/>
        <v>Valid</v>
      </c>
      <c r="AH1708" t="str">
        <f t="shared" si="341"/>
        <v>Valid</v>
      </c>
      <c r="AI1708" t="str">
        <f t="shared" si="342"/>
        <v>Valid</v>
      </c>
      <c r="AJ1708" t="str">
        <f t="shared" si="343"/>
        <v>Valid</v>
      </c>
      <c r="AK1708" t="str">
        <f t="shared" si="350"/>
        <v xml:space="preserve">Valid </v>
      </c>
      <c r="AL1708" t="str">
        <f>IF(AND(Audit_Data[[#This Row],[Recency]]&gt;=0,Audit_Data[[#This Row],[Recency]]&lt;=100),"Valid","Invalid")</f>
        <v>Valid</v>
      </c>
      <c r="AM1708" t="str">
        <f t="shared" si="344"/>
        <v>Valid</v>
      </c>
      <c r="AN1708" t="str">
        <f t="shared" si="345"/>
        <v>Valid</v>
      </c>
      <c r="AO1708" t="str">
        <f t="shared" si="346"/>
        <v>Valid</v>
      </c>
      <c r="AP1708" t="str">
        <f t="shared" si="347"/>
        <v>Valid</v>
      </c>
      <c r="AQ1708" t="str">
        <f>IF(Audit_Data[[#This Row],[Z_CostContact]]=3,"Valid","Invalid")</f>
        <v>Valid</v>
      </c>
      <c r="AR1708" t="str">
        <f t="shared" si="348"/>
        <v>Valid</v>
      </c>
      <c r="AS1708" t="str">
        <f t="shared" si="349"/>
        <v>Valid</v>
      </c>
    </row>
    <row r="1709" spans="1:45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 t="str">
        <f t="shared" si="338"/>
        <v>Ok</v>
      </c>
      <c r="AE1709" t="str">
        <f>IF(AND(Audit_Data[[#This Row],[Year_Birth]]&gt;=1900,Audit_Data[[#This Row],[Year_Birth]]&lt;=2010),"OK","Invalid")</f>
        <v>OK</v>
      </c>
      <c r="AF1709" t="str">
        <f t="shared" si="339"/>
        <v>Valid</v>
      </c>
      <c r="AG1709" t="str">
        <f t="shared" si="340"/>
        <v>Valid</v>
      </c>
      <c r="AH1709" t="str">
        <f t="shared" si="341"/>
        <v>Valid</v>
      </c>
      <c r="AI1709" t="str">
        <f t="shared" si="342"/>
        <v>Valid</v>
      </c>
      <c r="AJ1709" t="str">
        <f t="shared" si="343"/>
        <v>Valid</v>
      </c>
      <c r="AK1709" t="str">
        <f t="shared" si="350"/>
        <v xml:space="preserve">Valid </v>
      </c>
      <c r="AL1709" t="str">
        <f>IF(AND(Audit_Data[[#This Row],[Recency]]&gt;=0,Audit_Data[[#This Row],[Recency]]&lt;=100),"Valid","Invalid")</f>
        <v>Valid</v>
      </c>
      <c r="AM1709" t="str">
        <f t="shared" si="344"/>
        <v>Valid</v>
      </c>
      <c r="AN1709" t="str">
        <f t="shared" si="345"/>
        <v>Valid</v>
      </c>
      <c r="AO1709" t="str">
        <f t="shared" si="346"/>
        <v>Valid</v>
      </c>
      <c r="AP1709" t="str">
        <f t="shared" si="347"/>
        <v>Valid</v>
      </c>
      <c r="AQ1709" t="str">
        <f>IF(Audit_Data[[#This Row],[Z_CostContact]]=3,"Valid","Invalid")</f>
        <v>Valid</v>
      </c>
      <c r="AR1709" t="str">
        <f t="shared" si="348"/>
        <v>Valid</v>
      </c>
      <c r="AS1709" t="str">
        <f t="shared" si="349"/>
        <v>Valid</v>
      </c>
    </row>
    <row r="1710" spans="1:45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 t="str">
        <f t="shared" si="338"/>
        <v>Ok</v>
      </c>
      <c r="AE1710" t="str">
        <f>IF(AND(Audit_Data[[#This Row],[Year_Birth]]&gt;=1900,Audit_Data[[#This Row],[Year_Birth]]&lt;=2010),"OK","Invalid")</f>
        <v>OK</v>
      </c>
      <c r="AF1710" t="str">
        <f t="shared" si="339"/>
        <v>Valid</v>
      </c>
      <c r="AG1710" t="str">
        <f t="shared" si="340"/>
        <v>Valid</v>
      </c>
      <c r="AH1710" t="str">
        <f t="shared" si="341"/>
        <v>Valid</v>
      </c>
      <c r="AI1710" t="str">
        <f t="shared" si="342"/>
        <v>Valid</v>
      </c>
      <c r="AJ1710" t="str">
        <f t="shared" si="343"/>
        <v>Valid</v>
      </c>
      <c r="AK1710" t="str">
        <f t="shared" si="350"/>
        <v xml:space="preserve">Valid </v>
      </c>
      <c r="AL1710" t="str">
        <f>IF(AND(Audit_Data[[#This Row],[Recency]]&gt;=0,Audit_Data[[#This Row],[Recency]]&lt;=100),"Valid","Invalid")</f>
        <v>Valid</v>
      </c>
      <c r="AM1710" t="str">
        <f t="shared" si="344"/>
        <v>Valid</v>
      </c>
      <c r="AN1710" t="str">
        <f t="shared" si="345"/>
        <v>Valid</v>
      </c>
      <c r="AO1710" t="str">
        <f t="shared" si="346"/>
        <v>Valid</v>
      </c>
      <c r="AP1710" t="str">
        <f t="shared" si="347"/>
        <v>Valid</v>
      </c>
      <c r="AQ1710" t="str">
        <f>IF(Audit_Data[[#This Row],[Z_CostContact]]=3,"Valid","Invalid")</f>
        <v>Valid</v>
      </c>
      <c r="AR1710" t="str">
        <f t="shared" si="348"/>
        <v>Valid</v>
      </c>
      <c r="AS1710" t="str">
        <f t="shared" si="349"/>
        <v>Valid</v>
      </c>
    </row>
    <row r="1711" spans="1:45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 t="str">
        <f t="shared" si="338"/>
        <v>Ok</v>
      </c>
      <c r="AE1711" t="str">
        <f>IF(AND(Audit_Data[[#This Row],[Year_Birth]]&gt;=1900,Audit_Data[[#This Row],[Year_Birth]]&lt;=2010),"OK","Invalid")</f>
        <v>OK</v>
      </c>
      <c r="AF1711" t="str">
        <f t="shared" si="339"/>
        <v>Valid</v>
      </c>
      <c r="AG1711" t="str">
        <f t="shared" si="340"/>
        <v>Valid</v>
      </c>
      <c r="AH1711" t="str">
        <f t="shared" si="341"/>
        <v>Valid</v>
      </c>
      <c r="AI1711" t="str">
        <f t="shared" si="342"/>
        <v>Valid</v>
      </c>
      <c r="AJ1711" t="str">
        <f t="shared" si="343"/>
        <v>Valid</v>
      </c>
      <c r="AK1711" t="str">
        <f t="shared" si="350"/>
        <v xml:space="preserve">Valid </v>
      </c>
      <c r="AL1711" t="str">
        <f>IF(AND(Audit_Data[[#This Row],[Recency]]&gt;=0,Audit_Data[[#This Row],[Recency]]&lt;=100),"Valid","Invalid")</f>
        <v>Valid</v>
      </c>
      <c r="AM1711" t="str">
        <f t="shared" si="344"/>
        <v>Valid</v>
      </c>
      <c r="AN1711" t="str">
        <f t="shared" si="345"/>
        <v>Valid</v>
      </c>
      <c r="AO1711" t="str">
        <f t="shared" si="346"/>
        <v>Valid</v>
      </c>
      <c r="AP1711" t="str">
        <f t="shared" si="347"/>
        <v>Valid</v>
      </c>
      <c r="AQ1711" t="str">
        <f>IF(Audit_Data[[#This Row],[Z_CostContact]]=3,"Valid","Invalid")</f>
        <v>Valid</v>
      </c>
      <c r="AR1711" t="str">
        <f t="shared" si="348"/>
        <v>Valid</v>
      </c>
      <c r="AS1711" t="str">
        <f t="shared" si="349"/>
        <v>Valid</v>
      </c>
    </row>
    <row r="1712" spans="1:45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 t="str">
        <f t="shared" si="338"/>
        <v>Ok</v>
      </c>
      <c r="AE1712" t="str">
        <f>IF(AND(Audit_Data[[#This Row],[Year_Birth]]&gt;=1900,Audit_Data[[#This Row],[Year_Birth]]&lt;=2010),"OK","Invalid")</f>
        <v>OK</v>
      </c>
      <c r="AF1712" t="str">
        <f t="shared" si="339"/>
        <v>Valid</v>
      </c>
      <c r="AG1712" t="str">
        <f t="shared" si="340"/>
        <v>Valid</v>
      </c>
      <c r="AH1712" t="str">
        <f t="shared" si="341"/>
        <v>Valid</v>
      </c>
      <c r="AI1712" t="str">
        <f t="shared" si="342"/>
        <v>Valid</v>
      </c>
      <c r="AJ1712" t="str">
        <f t="shared" si="343"/>
        <v>Valid</v>
      </c>
      <c r="AK1712" t="str">
        <f t="shared" si="350"/>
        <v xml:space="preserve">Valid </v>
      </c>
      <c r="AL1712" t="str">
        <f>IF(AND(Audit_Data[[#This Row],[Recency]]&gt;=0,Audit_Data[[#This Row],[Recency]]&lt;=100),"Valid","Invalid")</f>
        <v>Valid</v>
      </c>
      <c r="AM1712" t="str">
        <f t="shared" si="344"/>
        <v>Valid</v>
      </c>
      <c r="AN1712" t="str">
        <f t="shared" si="345"/>
        <v>Valid</v>
      </c>
      <c r="AO1712" t="str">
        <f t="shared" si="346"/>
        <v>Valid</v>
      </c>
      <c r="AP1712" t="str">
        <f t="shared" si="347"/>
        <v>Valid</v>
      </c>
      <c r="AQ1712" t="str">
        <f>IF(Audit_Data[[#This Row],[Z_CostContact]]=3,"Valid","Invalid")</f>
        <v>Valid</v>
      </c>
      <c r="AR1712" t="str">
        <f t="shared" si="348"/>
        <v>Valid</v>
      </c>
      <c r="AS1712" t="str">
        <f t="shared" si="349"/>
        <v>Valid</v>
      </c>
    </row>
    <row r="1713" spans="1:45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 t="str">
        <f t="shared" si="338"/>
        <v>Ok</v>
      </c>
      <c r="AE1713" t="str">
        <f>IF(AND(Audit_Data[[#This Row],[Year_Birth]]&gt;=1900,Audit_Data[[#This Row],[Year_Birth]]&lt;=2010),"OK","Invalid")</f>
        <v>OK</v>
      </c>
      <c r="AF1713" t="str">
        <f t="shared" si="339"/>
        <v>Valid</v>
      </c>
      <c r="AG1713" t="str">
        <f t="shared" si="340"/>
        <v>Valid</v>
      </c>
      <c r="AH1713" t="str">
        <f t="shared" si="341"/>
        <v>Valid</v>
      </c>
      <c r="AI1713" t="str">
        <f t="shared" si="342"/>
        <v>Valid</v>
      </c>
      <c r="AJ1713" t="str">
        <f t="shared" si="343"/>
        <v>Valid</v>
      </c>
      <c r="AK1713" t="str">
        <f t="shared" si="350"/>
        <v xml:space="preserve">Valid </v>
      </c>
      <c r="AL1713" t="str">
        <f>IF(AND(Audit_Data[[#This Row],[Recency]]&gt;=0,Audit_Data[[#This Row],[Recency]]&lt;=100),"Valid","Invalid")</f>
        <v>Valid</v>
      </c>
      <c r="AM1713" t="str">
        <f t="shared" si="344"/>
        <v>Valid</v>
      </c>
      <c r="AN1713" t="str">
        <f t="shared" si="345"/>
        <v>Valid</v>
      </c>
      <c r="AO1713" t="str">
        <f t="shared" si="346"/>
        <v>Valid</v>
      </c>
      <c r="AP1713" t="str">
        <f t="shared" si="347"/>
        <v>Valid</v>
      </c>
      <c r="AQ1713" t="str">
        <f>IF(Audit_Data[[#This Row],[Z_CostContact]]=3,"Valid","Invalid")</f>
        <v>Valid</v>
      </c>
      <c r="AR1713" t="str">
        <f t="shared" si="348"/>
        <v>Valid</v>
      </c>
      <c r="AS1713" t="str">
        <f t="shared" si="349"/>
        <v>Valid</v>
      </c>
    </row>
    <row r="1714" spans="1:45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 t="str">
        <f t="shared" si="338"/>
        <v>Ok</v>
      </c>
      <c r="AE1714" t="str">
        <f>IF(AND(Audit_Data[[#This Row],[Year_Birth]]&gt;=1900,Audit_Data[[#This Row],[Year_Birth]]&lt;=2010),"OK","Invalid")</f>
        <v>OK</v>
      </c>
      <c r="AF1714" t="str">
        <f t="shared" si="339"/>
        <v>Valid</v>
      </c>
      <c r="AG1714" t="str">
        <f t="shared" si="340"/>
        <v>Valid</v>
      </c>
      <c r="AH1714" t="str">
        <f t="shared" si="341"/>
        <v>Valid</v>
      </c>
      <c r="AI1714" t="str">
        <f t="shared" si="342"/>
        <v>Valid</v>
      </c>
      <c r="AJ1714" t="str">
        <f t="shared" si="343"/>
        <v>Valid</v>
      </c>
      <c r="AK1714" t="str">
        <f t="shared" si="350"/>
        <v xml:space="preserve">Valid </v>
      </c>
      <c r="AL1714" t="str">
        <f>IF(AND(Audit_Data[[#This Row],[Recency]]&gt;=0,Audit_Data[[#This Row],[Recency]]&lt;=100),"Valid","Invalid")</f>
        <v>Valid</v>
      </c>
      <c r="AM1714" t="str">
        <f t="shared" si="344"/>
        <v>Valid</v>
      </c>
      <c r="AN1714" t="str">
        <f t="shared" si="345"/>
        <v>Valid</v>
      </c>
      <c r="AO1714" t="str">
        <f t="shared" si="346"/>
        <v>Valid</v>
      </c>
      <c r="AP1714" t="str">
        <f t="shared" si="347"/>
        <v>Valid</v>
      </c>
      <c r="AQ1714" t="str">
        <f>IF(Audit_Data[[#This Row],[Z_CostContact]]=3,"Valid","Invalid")</f>
        <v>Valid</v>
      </c>
      <c r="AR1714" t="str">
        <f t="shared" si="348"/>
        <v>Valid</v>
      </c>
      <c r="AS1714" t="str">
        <f t="shared" si="349"/>
        <v>Valid</v>
      </c>
    </row>
    <row r="1715" spans="1:45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 t="str">
        <f t="shared" si="338"/>
        <v>Ok</v>
      </c>
      <c r="AE1715" t="str">
        <f>IF(AND(Audit_Data[[#This Row],[Year_Birth]]&gt;=1900,Audit_Data[[#This Row],[Year_Birth]]&lt;=2010),"OK","Invalid")</f>
        <v>OK</v>
      </c>
      <c r="AF1715" t="str">
        <f t="shared" si="339"/>
        <v>Valid</v>
      </c>
      <c r="AG1715" t="str">
        <f t="shared" si="340"/>
        <v>Valid</v>
      </c>
      <c r="AH1715" t="str">
        <f t="shared" si="341"/>
        <v>Valid</v>
      </c>
      <c r="AI1715" t="str">
        <f t="shared" si="342"/>
        <v>Valid</v>
      </c>
      <c r="AJ1715" t="str">
        <f t="shared" si="343"/>
        <v>Valid</v>
      </c>
      <c r="AK1715" t="str">
        <f t="shared" si="350"/>
        <v xml:space="preserve">Valid </v>
      </c>
      <c r="AL1715" t="str">
        <f>IF(AND(Audit_Data[[#This Row],[Recency]]&gt;=0,Audit_Data[[#This Row],[Recency]]&lt;=100),"Valid","Invalid")</f>
        <v>Valid</v>
      </c>
      <c r="AM1715" t="str">
        <f t="shared" si="344"/>
        <v>Valid</v>
      </c>
      <c r="AN1715" t="str">
        <f t="shared" si="345"/>
        <v>Valid</v>
      </c>
      <c r="AO1715" t="str">
        <f t="shared" si="346"/>
        <v>Valid</v>
      </c>
      <c r="AP1715" t="str">
        <f t="shared" si="347"/>
        <v>Valid</v>
      </c>
      <c r="AQ1715" t="str">
        <f>IF(Audit_Data[[#This Row],[Z_CostContact]]=3,"Valid","Invalid")</f>
        <v>Valid</v>
      </c>
      <c r="AR1715" t="str">
        <f t="shared" si="348"/>
        <v>Valid</v>
      </c>
      <c r="AS1715" t="str">
        <f t="shared" si="349"/>
        <v>Valid</v>
      </c>
    </row>
    <row r="1716" spans="1:45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 t="str">
        <f t="shared" si="338"/>
        <v>Ok</v>
      </c>
      <c r="AE1716" t="str">
        <f>IF(AND(Audit_Data[[#This Row],[Year_Birth]]&gt;=1900,Audit_Data[[#This Row],[Year_Birth]]&lt;=2010),"OK","Invalid")</f>
        <v>OK</v>
      </c>
      <c r="AF1716" t="str">
        <f t="shared" si="339"/>
        <v>Valid</v>
      </c>
      <c r="AG1716" t="str">
        <f t="shared" si="340"/>
        <v>Valid</v>
      </c>
      <c r="AH1716" t="str">
        <f t="shared" si="341"/>
        <v>Valid</v>
      </c>
      <c r="AI1716" t="str">
        <f t="shared" si="342"/>
        <v>Valid</v>
      </c>
      <c r="AJ1716" t="str">
        <f t="shared" si="343"/>
        <v>Valid</v>
      </c>
      <c r="AK1716" t="str">
        <f t="shared" si="350"/>
        <v xml:space="preserve">Valid </v>
      </c>
      <c r="AL1716" t="str">
        <f>IF(AND(Audit_Data[[#This Row],[Recency]]&gt;=0,Audit_Data[[#This Row],[Recency]]&lt;=100),"Valid","Invalid")</f>
        <v>Valid</v>
      </c>
      <c r="AM1716" t="str">
        <f t="shared" si="344"/>
        <v>Valid</v>
      </c>
      <c r="AN1716" t="str">
        <f t="shared" si="345"/>
        <v>Valid</v>
      </c>
      <c r="AO1716" t="str">
        <f t="shared" si="346"/>
        <v>Valid</v>
      </c>
      <c r="AP1716" t="str">
        <f t="shared" si="347"/>
        <v>Valid</v>
      </c>
      <c r="AQ1716" t="str">
        <f>IF(Audit_Data[[#This Row],[Z_CostContact]]=3,"Valid","Invalid")</f>
        <v>Valid</v>
      </c>
      <c r="AR1716" t="str">
        <f t="shared" si="348"/>
        <v>Valid</v>
      </c>
      <c r="AS1716" t="str">
        <f t="shared" si="349"/>
        <v>Valid</v>
      </c>
    </row>
    <row r="1717" spans="1:45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 t="str">
        <f t="shared" si="338"/>
        <v>Ok</v>
      </c>
      <c r="AE1717" t="str">
        <f>IF(AND(Audit_Data[[#This Row],[Year_Birth]]&gt;=1900,Audit_Data[[#This Row],[Year_Birth]]&lt;=2010),"OK","Invalid")</f>
        <v>OK</v>
      </c>
      <c r="AF1717" t="str">
        <f t="shared" si="339"/>
        <v>Valid</v>
      </c>
      <c r="AG1717" t="str">
        <f t="shared" si="340"/>
        <v>Valid</v>
      </c>
      <c r="AH1717" t="str">
        <f t="shared" si="341"/>
        <v>Valid</v>
      </c>
      <c r="AI1717" t="str">
        <f t="shared" si="342"/>
        <v>Valid</v>
      </c>
      <c r="AJ1717" t="str">
        <f t="shared" si="343"/>
        <v>Valid</v>
      </c>
      <c r="AK1717" t="str">
        <f t="shared" si="350"/>
        <v xml:space="preserve">Valid </v>
      </c>
      <c r="AL1717" t="str">
        <f>IF(AND(Audit_Data[[#This Row],[Recency]]&gt;=0,Audit_Data[[#This Row],[Recency]]&lt;=100),"Valid","Invalid")</f>
        <v>Valid</v>
      </c>
      <c r="AM1717" t="str">
        <f t="shared" si="344"/>
        <v>Valid</v>
      </c>
      <c r="AN1717" t="str">
        <f t="shared" si="345"/>
        <v>Valid</v>
      </c>
      <c r="AO1717" t="str">
        <f t="shared" si="346"/>
        <v>Valid</v>
      </c>
      <c r="AP1717" t="str">
        <f t="shared" si="347"/>
        <v>Valid</v>
      </c>
      <c r="AQ1717" t="str">
        <f>IF(Audit_Data[[#This Row],[Z_CostContact]]=3,"Valid","Invalid")</f>
        <v>Valid</v>
      </c>
      <c r="AR1717" t="str">
        <f t="shared" si="348"/>
        <v>Valid</v>
      </c>
      <c r="AS1717" t="str">
        <f t="shared" si="349"/>
        <v>Valid</v>
      </c>
    </row>
    <row r="1718" spans="1:45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 t="str">
        <f t="shared" si="338"/>
        <v>Ok</v>
      </c>
      <c r="AE1718" t="str">
        <f>IF(AND(Audit_Data[[#This Row],[Year_Birth]]&gt;=1900,Audit_Data[[#This Row],[Year_Birth]]&lt;=2010),"OK","Invalid")</f>
        <v>OK</v>
      </c>
      <c r="AF1718" t="str">
        <f t="shared" si="339"/>
        <v>Valid</v>
      </c>
      <c r="AG1718" t="str">
        <f t="shared" si="340"/>
        <v>Valid</v>
      </c>
      <c r="AH1718" t="str">
        <f t="shared" si="341"/>
        <v>Valid</v>
      </c>
      <c r="AI1718" t="str">
        <f t="shared" si="342"/>
        <v>Valid</v>
      </c>
      <c r="AJ1718" t="str">
        <f t="shared" si="343"/>
        <v>Valid</v>
      </c>
      <c r="AK1718" t="str">
        <f t="shared" si="350"/>
        <v xml:space="preserve">Valid </v>
      </c>
      <c r="AL1718" t="str">
        <f>IF(AND(Audit_Data[[#This Row],[Recency]]&gt;=0,Audit_Data[[#This Row],[Recency]]&lt;=100),"Valid","Invalid")</f>
        <v>Valid</v>
      </c>
      <c r="AM1718" t="str">
        <f t="shared" si="344"/>
        <v>Valid</v>
      </c>
      <c r="AN1718" t="str">
        <f t="shared" si="345"/>
        <v>Valid</v>
      </c>
      <c r="AO1718" t="str">
        <f t="shared" si="346"/>
        <v>Valid</v>
      </c>
      <c r="AP1718" t="str">
        <f t="shared" si="347"/>
        <v>Valid</v>
      </c>
      <c r="AQ1718" t="str">
        <f>IF(Audit_Data[[#This Row],[Z_CostContact]]=3,"Valid","Invalid")</f>
        <v>Valid</v>
      </c>
      <c r="AR1718" t="str">
        <f t="shared" si="348"/>
        <v>Valid</v>
      </c>
      <c r="AS1718" t="str">
        <f t="shared" si="349"/>
        <v>Valid</v>
      </c>
    </row>
    <row r="1719" spans="1:45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 t="str">
        <f t="shared" si="338"/>
        <v>Ok</v>
      </c>
      <c r="AE1719" t="str">
        <f>IF(AND(Audit_Data[[#This Row],[Year_Birth]]&gt;=1900,Audit_Data[[#This Row],[Year_Birth]]&lt;=2010),"OK","Invalid")</f>
        <v>OK</v>
      </c>
      <c r="AF1719" t="str">
        <f t="shared" si="339"/>
        <v>Valid</v>
      </c>
      <c r="AG1719" t="str">
        <f t="shared" si="340"/>
        <v>Valid</v>
      </c>
      <c r="AH1719" t="str">
        <f t="shared" si="341"/>
        <v>Valid</v>
      </c>
      <c r="AI1719" t="str">
        <f t="shared" si="342"/>
        <v>Valid</v>
      </c>
      <c r="AJ1719" t="str">
        <f t="shared" si="343"/>
        <v>Valid</v>
      </c>
      <c r="AK1719" t="str">
        <f t="shared" si="350"/>
        <v xml:space="preserve">Valid </v>
      </c>
      <c r="AL1719" t="str">
        <f>IF(AND(Audit_Data[[#This Row],[Recency]]&gt;=0,Audit_Data[[#This Row],[Recency]]&lt;=100),"Valid","Invalid")</f>
        <v>Valid</v>
      </c>
      <c r="AM1719" t="str">
        <f t="shared" si="344"/>
        <v>Valid</v>
      </c>
      <c r="AN1719" t="str">
        <f t="shared" si="345"/>
        <v>Valid</v>
      </c>
      <c r="AO1719" t="str">
        <f t="shared" si="346"/>
        <v>Valid</v>
      </c>
      <c r="AP1719" t="str">
        <f t="shared" si="347"/>
        <v>Valid</v>
      </c>
      <c r="AQ1719" t="str">
        <f>IF(Audit_Data[[#This Row],[Z_CostContact]]=3,"Valid","Invalid")</f>
        <v>Valid</v>
      </c>
      <c r="AR1719" t="str">
        <f t="shared" si="348"/>
        <v>Valid</v>
      </c>
      <c r="AS1719" t="str">
        <f t="shared" si="349"/>
        <v>Valid</v>
      </c>
    </row>
    <row r="1720" spans="1:45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 t="str">
        <f t="shared" si="338"/>
        <v>Ok</v>
      </c>
      <c r="AE1720" t="str">
        <f>IF(AND(Audit_Data[[#This Row],[Year_Birth]]&gt;=1900,Audit_Data[[#This Row],[Year_Birth]]&lt;=2010),"OK","Invalid")</f>
        <v>OK</v>
      </c>
      <c r="AF1720" t="str">
        <f t="shared" si="339"/>
        <v>Valid</v>
      </c>
      <c r="AG1720" t="str">
        <f t="shared" si="340"/>
        <v>Valid</v>
      </c>
      <c r="AH1720" t="str">
        <f t="shared" si="341"/>
        <v>Valid</v>
      </c>
      <c r="AI1720" t="str">
        <f t="shared" si="342"/>
        <v>Valid</v>
      </c>
      <c r="AJ1720" t="str">
        <f t="shared" si="343"/>
        <v>Valid</v>
      </c>
      <c r="AK1720" t="str">
        <f t="shared" si="350"/>
        <v xml:space="preserve">Valid </v>
      </c>
      <c r="AL1720" t="str">
        <f>IF(AND(Audit_Data[[#This Row],[Recency]]&gt;=0,Audit_Data[[#This Row],[Recency]]&lt;=100),"Valid","Invalid")</f>
        <v>Valid</v>
      </c>
      <c r="AM1720" t="str">
        <f t="shared" si="344"/>
        <v>Valid</v>
      </c>
      <c r="AN1720" t="str">
        <f t="shared" si="345"/>
        <v>Valid</v>
      </c>
      <c r="AO1720" t="str">
        <f t="shared" si="346"/>
        <v>Valid</v>
      </c>
      <c r="AP1720" t="str">
        <f t="shared" si="347"/>
        <v>Valid</v>
      </c>
      <c r="AQ1720" t="str">
        <f>IF(Audit_Data[[#This Row],[Z_CostContact]]=3,"Valid","Invalid")</f>
        <v>Valid</v>
      </c>
      <c r="AR1720" t="str">
        <f t="shared" si="348"/>
        <v>Valid</v>
      </c>
      <c r="AS1720" t="str">
        <f t="shared" si="349"/>
        <v>Valid</v>
      </c>
    </row>
    <row r="1721" spans="1:45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 t="str">
        <f t="shared" si="338"/>
        <v>Ok</v>
      </c>
      <c r="AE1721" t="str">
        <f>IF(AND(Audit_Data[[#This Row],[Year_Birth]]&gt;=1900,Audit_Data[[#This Row],[Year_Birth]]&lt;=2010),"OK","Invalid")</f>
        <v>OK</v>
      </c>
      <c r="AF1721" t="str">
        <f t="shared" si="339"/>
        <v>Valid</v>
      </c>
      <c r="AG1721" t="str">
        <f t="shared" si="340"/>
        <v>Valid</v>
      </c>
      <c r="AH1721" t="str">
        <f t="shared" si="341"/>
        <v>Valid</v>
      </c>
      <c r="AI1721" t="str">
        <f t="shared" si="342"/>
        <v>Valid</v>
      </c>
      <c r="AJ1721" t="str">
        <f t="shared" si="343"/>
        <v>Valid</v>
      </c>
      <c r="AK1721" t="str">
        <f t="shared" si="350"/>
        <v xml:space="preserve">Valid </v>
      </c>
      <c r="AL1721" t="str">
        <f>IF(AND(Audit_Data[[#This Row],[Recency]]&gt;=0,Audit_Data[[#This Row],[Recency]]&lt;=100),"Valid","Invalid")</f>
        <v>Valid</v>
      </c>
      <c r="AM1721" t="str">
        <f t="shared" si="344"/>
        <v>Valid</v>
      </c>
      <c r="AN1721" t="str">
        <f t="shared" si="345"/>
        <v>Valid</v>
      </c>
      <c r="AO1721" t="str">
        <f t="shared" si="346"/>
        <v>Valid</v>
      </c>
      <c r="AP1721" t="str">
        <f t="shared" si="347"/>
        <v>Valid</v>
      </c>
      <c r="AQ1721" t="str">
        <f>IF(Audit_Data[[#This Row],[Z_CostContact]]=3,"Valid","Invalid")</f>
        <v>Valid</v>
      </c>
      <c r="AR1721" t="str">
        <f t="shared" si="348"/>
        <v>Valid</v>
      </c>
      <c r="AS1721" t="str">
        <f t="shared" si="349"/>
        <v>Valid</v>
      </c>
    </row>
    <row r="1722" spans="1:45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 t="str">
        <f t="shared" si="338"/>
        <v>Ok</v>
      </c>
      <c r="AE1722" t="str">
        <f>IF(AND(Audit_Data[[#This Row],[Year_Birth]]&gt;=1900,Audit_Data[[#This Row],[Year_Birth]]&lt;=2010),"OK","Invalid")</f>
        <v>OK</v>
      </c>
      <c r="AF1722" t="str">
        <f t="shared" si="339"/>
        <v>Valid</v>
      </c>
      <c r="AG1722" t="str">
        <f t="shared" si="340"/>
        <v>Valid</v>
      </c>
      <c r="AH1722" t="str">
        <f t="shared" si="341"/>
        <v>Valid</v>
      </c>
      <c r="AI1722" t="str">
        <f t="shared" si="342"/>
        <v>Valid</v>
      </c>
      <c r="AJ1722" t="str">
        <f t="shared" si="343"/>
        <v>Valid</v>
      </c>
      <c r="AK1722" t="str">
        <f t="shared" si="350"/>
        <v xml:space="preserve">Valid </v>
      </c>
      <c r="AL1722" t="str">
        <f>IF(AND(Audit_Data[[#This Row],[Recency]]&gt;=0,Audit_Data[[#This Row],[Recency]]&lt;=100),"Valid","Invalid")</f>
        <v>Valid</v>
      </c>
      <c r="AM1722" t="str">
        <f t="shared" si="344"/>
        <v>Valid</v>
      </c>
      <c r="AN1722" t="str">
        <f t="shared" si="345"/>
        <v>Valid</v>
      </c>
      <c r="AO1722" t="str">
        <f t="shared" si="346"/>
        <v>Valid</v>
      </c>
      <c r="AP1722" t="str">
        <f t="shared" si="347"/>
        <v>Valid</v>
      </c>
      <c r="AQ1722" t="str">
        <f>IF(Audit_Data[[#This Row],[Z_CostContact]]=3,"Valid","Invalid")</f>
        <v>Valid</v>
      </c>
      <c r="AR1722" t="str">
        <f t="shared" si="348"/>
        <v>Valid</v>
      </c>
      <c r="AS1722" t="str">
        <f t="shared" si="349"/>
        <v>Valid</v>
      </c>
    </row>
    <row r="1723" spans="1:45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 t="str">
        <f t="shared" si="338"/>
        <v>Ok</v>
      </c>
      <c r="AE1723" t="str">
        <f>IF(AND(Audit_Data[[#This Row],[Year_Birth]]&gt;=1900,Audit_Data[[#This Row],[Year_Birth]]&lt;=2010),"OK","Invalid")</f>
        <v>OK</v>
      </c>
      <c r="AF1723" t="str">
        <f t="shared" si="339"/>
        <v>Valid</v>
      </c>
      <c r="AG1723" t="str">
        <f t="shared" si="340"/>
        <v>Valid</v>
      </c>
      <c r="AH1723" t="str">
        <f t="shared" si="341"/>
        <v>Valid</v>
      </c>
      <c r="AI1723" t="str">
        <f t="shared" si="342"/>
        <v>Valid</v>
      </c>
      <c r="AJ1723" t="str">
        <f t="shared" si="343"/>
        <v>Valid</v>
      </c>
      <c r="AK1723" t="str">
        <f t="shared" si="350"/>
        <v xml:space="preserve">Valid </v>
      </c>
      <c r="AL1723" t="str">
        <f>IF(AND(Audit_Data[[#This Row],[Recency]]&gt;=0,Audit_Data[[#This Row],[Recency]]&lt;=100),"Valid","Invalid")</f>
        <v>Valid</v>
      </c>
      <c r="AM1723" t="str">
        <f t="shared" si="344"/>
        <v>Valid</v>
      </c>
      <c r="AN1723" t="str">
        <f t="shared" si="345"/>
        <v>Valid</v>
      </c>
      <c r="AO1723" t="str">
        <f t="shared" si="346"/>
        <v>Valid</v>
      </c>
      <c r="AP1723" t="str">
        <f t="shared" si="347"/>
        <v>Valid</v>
      </c>
      <c r="AQ1723" t="str">
        <f>IF(Audit_Data[[#This Row],[Z_CostContact]]=3,"Valid","Invalid")</f>
        <v>Valid</v>
      </c>
      <c r="AR1723" t="str">
        <f t="shared" si="348"/>
        <v>Valid</v>
      </c>
      <c r="AS1723" t="str">
        <f t="shared" si="349"/>
        <v>Valid</v>
      </c>
    </row>
    <row r="1724" spans="1:45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 t="str">
        <f t="shared" si="338"/>
        <v>Ok</v>
      </c>
      <c r="AE1724" t="str">
        <f>IF(AND(Audit_Data[[#This Row],[Year_Birth]]&gt;=1900,Audit_Data[[#This Row],[Year_Birth]]&lt;=2010),"OK","Invalid")</f>
        <v>OK</v>
      </c>
      <c r="AF1724" t="str">
        <f t="shared" si="339"/>
        <v>Valid</v>
      </c>
      <c r="AG1724" t="str">
        <f t="shared" si="340"/>
        <v>Valid</v>
      </c>
      <c r="AH1724" t="str">
        <f t="shared" si="341"/>
        <v>Valid</v>
      </c>
      <c r="AI1724" t="str">
        <f t="shared" si="342"/>
        <v>Valid</v>
      </c>
      <c r="AJ1724" t="str">
        <f t="shared" si="343"/>
        <v>Valid</v>
      </c>
      <c r="AK1724" t="str">
        <f t="shared" si="350"/>
        <v xml:space="preserve">Valid </v>
      </c>
      <c r="AL1724" t="str">
        <f>IF(AND(Audit_Data[[#This Row],[Recency]]&gt;=0,Audit_Data[[#This Row],[Recency]]&lt;=100),"Valid","Invalid")</f>
        <v>Valid</v>
      </c>
      <c r="AM1724" t="str">
        <f t="shared" si="344"/>
        <v>Valid</v>
      </c>
      <c r="AN1724" t="str">
        <f t="shared" si="345"/>
        <v>Valid</v>
      </c>
      <c r="AO1724" t="str">
        <f t="shared" si="346"/>
        <v>Valid</v>
      </c>
      <c r="AP1724" t="str">
        <f t="shared" si="347"/>
        <v>Valid</v>
      </c>
      <c r="AQ1724" t="str">
        <f>IF(Audit_Data[[#This Row],[Z_CostContact]]=3,"Valid","Invalid")</f>
        <v>Valid</v>
      </c>
      <c r="AR1724" t="str">
        <f t="shared" si="348"/>
        <v>Valid</v>
      </c>
      <c r="AS1724" t="str">
        <f t="shared" si="349"/>
        <v>Valid</v>
      </c>
    </row>
    <row r="1725" spans="1:45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 t="str">
        <f t="shared" si="338"/>
        <v>Ok</v>
      </c>
      <c r="AE1725" t="str">
        <f>IF(AND(Audit_Data[[#This Row],[Year_Birth]]&gt;=1900,Audit_Data[[#This Row],[Year_Birth]]&lt;=2010),"OK","Invalid")</f>
        <v>OK</v>
      </c>
      <c r="AF1725" t="str">
        <f t="shared" si="339"/>
        <v>Valid</v>
      </c>
      <c r="AG1725" t="str">
        <f t="shared" si="340"/>
        <v>Valid</v>
      </c>
      <c r="AH1725" t="str">
        <f t="shared" si="341"/>
        <v>Valid</v>
      </c>
      <c r="AI1725" t="str">
        <f t="shared" si="342"/>
        <v>Valid</v>
      </c>
      <c r="AJ1725" t="str">
        <f t="shared" si="343"/>
        <v>Valid</v>
      </c>
      <c r="AK1725" t="str">
        <f t="shared" si="350"/>
        <v xml:space="preserve">Valid </v>
      </c>
      <c r="AL1725" t="str">
        <f>IF(AND(Audit_Data[[#This Row],[Recency]]&gt;=0,Audit_Data[[#This Row],[Recency]]&lt;=100),"Valid","Invalid")</f>
        <v>Valid</v>
      </c>
      <c r="AM1725" t="str">
        <f t="shared" si="344"/>
        <v>Valid</v>
      </c>
      <c r="AN1725" t="str">
        <f t="shared" si="345"/>
        <v>Valid</v>
      </c>
      <c r="AO1725" t="str">
        <f t="shared" si="346"/>
        <v>Valid</v>
      </c>
      <c r="AP1725" t="str">
        <f t="shared" si="347"/>
        <v>Valid</v>
      </c>
      <c r="AQ1725" t="str">
        <f>IF(Audit_Data[[#This Row],[Z_CostContact]]=3,"Valid","Invalid")</f>
        <v>Valid</v>
      </c>
      <c r="AR1725" t="str">
        <f t="shared" si="348"/>
        <v>Valid</v>
      </c>
      <c r="AS1725" t="str">
        <f t="shared" si="349"/>
        <v>Valid</v>
      </c>
    </row>
    <row r="1726" spans="1:45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 t="str">
        <f t="shared" si="338"/>
        <v>Ok</v>
      </c>
      <c r="AE1726" t="str">
        <f>IF(AND(Audit_Data[[#This Row],[Year_Birth]]&gt;=1900,Audit_Data[[#This Row],[Year_Birth]]&lt;=2010),"OK","Invalid")</f>
        <v>OK</v>
      </c>
      <c r="AF1726" t="str">
        <f t="shared" si="339"/>
        <v>Valid</v>
      </c>
      <c r="AG1726" t="str">
        <f t="shared" si="340"/>
        <v>Valid</v>
      </c>
      <c r="AH1726" t="str">
        <f t="shared" si="341"/>
        <v>Valid</v>
      </c>
      <c r="AI1726" t="str">
        <f t="shared" si="342"/>
        <v>Valid</v>
      </c>
      <c r="AJ1726" t="str">
        <f t="shared" si="343"/>
        <v>Valid</v>
      </c>
      <c r="AK1726" t="str">
        <f t="shared" si="350"/>
        <v xml:space="preserve">Valid </v>
      </c>
      <c r="AL1726" t="str">
        <f>IF(AND(Audit_Data[[#This Row],[Recency]]&gt;=0,Audit_Data[[#This Row],[Recency]]&lt;=100),"Valid","Invalid")</f>
        <v>Valid</v>
      </c>
      <c r="AM1726" t="str">
        <f t="shared" si="344"/>
        <v>Valid</v>
      </c>
      <c r="AN1726" t="str">
        <f t="shared" si="345"/>
        <v>Valid</v>
      </c>
      <c r="AO1726" t="str">
        <f t="shared" si="346"/>
        <v>Valid</v>
      </c>
      <c r="AP1726" t="str">
        <f t="shared" si="347"/>
        <v>Valid</v>
      </c>
      <c r="AQ1726" t="str">
        <f>IF(Audit_Data[[#This Row],[Z_CostContact]]=3,"Valid","Invalid")</f>
        <v>Valid</v>
      </c>
      <c r="AR1726" t="str">
        <f t="shared" si="348"/>
        <v>Valid</v>
      </c>
      <c r="AS1726" t="str">
        <f t="shared" si="349"/>
        <v>Valid</v>
      </c>
    </row>
    <row r="1727" spans="1:45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 t="str">
        <f t="shared" si="338"/>
        <v>Ok</v>
      </c>
      <c r="AE1727" t="str">
        <f>IF(AND(Audit_Data[[#This Row],[Year_Birth]]&gt;=1900,Audit_Data[[#This Row],[Year_Birth]]&lt;=2010),"OK","Invalid")</f>
        <v>OK</v>
      </c>
      <c r="AF1727" t="str">
        <f t="shared" si="339"/>
        <v>Valid</v>
      </c>
      <c r="AG1727" t="str">
        <f t="shared" si="340"/>
        <v>Valid</v>
      </c>
      <c r="AH1727" t="str">
        <f t="shared" si="341"/>
        <v>Valid</v>
      </c>
      <c r="AI1727" t="str">
        <f t="shared" si="342"/>
        <v>Valid</v>
      </c>
      <c r="AJ1727" t="str">
        <f t="shared" si="343"/>
        <v>Valid</v>
      </c>
      <c r="AK1727" t="str">
        <f t="shared" si="350"/>
        <v xml:space="preserve">Valid </v>
      </c>
      <c r="AL1727" t="str">
        <f>IF(AND(Audit_Data[[#This Row],[Recency]]&gt;=0,Audit_Data[[#This Row],[Recency]]&lt;=100),"Valid","Invalid")</f>
        <v>Valid</v>
      </c>
      <c r="AM1727" t="str">
        <f t="shared" si="344"/>
        <v>Valid</v>
      </c>
      <c r="AN1727" t="str">
        <f t="shared" si="345"/>
        <v>Valid</v>
      </c>
      <c r="AO1727" t="str">
        <f t="shared" si="346"/>
        <v>Valid</v>
      </c>
      <c r="AP1727" t="str">
        <f t="shared" si="347"/>
        <v>Valid</v>
      </c>
      <c r="AQ1727" t="str">
        <f>IF(Audit_Data[[#This Row],[Z_CostContact]]=3,"Valid","Invalid")</f>
        <v>Valid</v>
      </c>
      <c r="AR1727" t="str">
        <f t="shared" si="348"/>
        <v>Valid</v>
      </c>
      <c r="AS1727" t="str">
        <f t="shared" si="349"/>
        <v>Valid</v>
      </c>
    </row>
    <row r="1728" spans="1:45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 t="str">
        <f t="shared" si="338"/>
        <v>Ok</v>
      </c>
      <c r="AE1728" t="str">
        <f>IF(AND(Audit_Data[[#This Row],[Year_Birth]]&gt;=1900,Audit_Data[[#This Row],[Year_Birth]]&lt;=2010),"OK","Invalid")</f>
        <v>OK</v>
      </c>
      <c r="AF1728" t="str">
        <f t="shared" si="339"/>
        <v>Valid</v>
      </c>
      <c r="AG1728" t="str">
        <f t="shared" si="340"/>
        <v>Valid</v>
      </c>
      <c r="AH1728" t="str">
        <f t="shared" si="341"/>
        <v>Valid</v>
      </c>
      <c r="AI1728" t="str">
        <f t="shared" si="342"/>
        <v>Valid</v>
      </c>
      <c r="AJ1728" t="str">
        <f t="shared" si="343"/>
        <v>Valid</v>
      </c>
      <c r="AK1728" t="str">
        <f t="shared" si="350"/>
        <v xml:space="preserve">Valid </v>
      </c>
      <c r="AL1728" t="str">
        <f>IF(AND(Audit_Data[[#This Row],[Recency]]&gt;=0,Audit_Data[[#This Row],[Recency]]&lt;=100),"Valid","Invalid")</f>
        <v>Valid</v>
      </c>
      <c r="AM1728" t="str">
        <f t="shared" si="344"/>
        <v>Valid</v>
      </c>
      <c r="AN1728" t="str">
        <f t="shared" si="345"/>
        <v>Valid</v>
      </c>
      <c r="AO1728" t="str">
        <f t="shared" si="346"/>
        <v>Valid</v>
      </c>
      <c r="AP1728" t="str">
        <f t="shared" si="347"/>
        <v>Valid</v>
      </c>
      <c r="AQ1728" t="str">
        <f>IF(Audit_Data[[#This Row],[Z_CostContact]]=3,"Valid","Invalid")</f>
        <v>Valid</v>
      </c>
      <c r="AR1728" t="str">
        <f t="shared" si="348"/>
        <v>Valid</v>
      </c>
      <c r="AS1728" t="str">
        <f t="shared" si="349"/>
        <v>Valid</v>
      </c>
    </row>
    <row r="1729" spans="1:45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 t="str">
        <f t="shared" si="338"/>
        <v>Ok</v>
      </c>
      <c r="AE1729" t="str">
        <f>IF(AND(Audit_Data[[#This Row],[Year_Birth]]&gt;=1900,Audit_Data[[#This Row],[Year_Birth]]&lt;=2010),"OK","Invalid")</f>
        <v>OK</v>
      </c>
      <c r="AF1729" t="str">
        <f t="shared" si="339"/>
        <v>Valid</v>
      </c>
      <c r="AG1729" t="str">
        <f t="shared" si="340"/>
        <v>Valid</v>
      </c>
      <c r="AH1729" t="str">
        <f t="shared" si="341"/>
        <v>Valid</v>
      </c>
      <c r="AI1729" t="str">
        <f t="shared" si="342"/>
        <v>Valid</v>
      </c>
      <c r="AJ1729" t="str">
        <f t="shared" si="343"/>
        <v>Valid</v>
      </c>
      <c r="AK1729" t="str">
        <f t="shared" si="350"/>
        <v xml:space="preserve">Valid </v>
      </c>
      <c r="AL1729" t="str">
        <f>IF(AND(Audit_Data[[#This Row],[Recency]]&gt;=0,Audit_Data[[#This Row],[Recency]]&lt;=100),"Valid","Invalid")</f>
        <v>Valid</v>
      </c>
      <c r="AM1729" t="str">
        <f t="shared" si="344"/>
        <v>Valid</v>
      </c>
      <c r="AN1729" t="str">
        <f t="shared" si="345"/>
        <v>Valid</v>
      </c>
      <c r="AO1729" t="str">
        <f t="shared" si="346"/>
        <v>Valid</v>
      </c>
      <c r="AP1729" t="str">
        <f t="shared" si="347"/>
        <v>Valid</v>
      </c>
      <c r="AQ1729" t="str">
        <f>IF(Audit_Data[[#This Row],[Z_CostContact]]=3,"Valid","Invalid")</f>
        <v>Valid</v>
      </c>
      <c r="AR1729" t="str">
        <f t="shared" si="348"/>
        <v>Valid</v>
      </c>
      <c r="AS1729" t="str">
        <f t="shared" si="349"/>
        <v>Valid</v>
      </c>
    </row>
    <row r="1730" spans="1:45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 t="str">
        <f t="shared" ref="AD1730:AD1793" si="351">IF(COUNTIF(A:A,A1730)&gt;1,"Duplicate","Ok")</f>
        <v>Ok</v>
      </c>
      <c r="AE1730" t="str">
        <f>IF(AND(Audit_Data[[#This Row],[Year_Birth]]&gt;=1900,Audit_Data[[#This Row],[Year_Birth]]&lt;=2010),"OK","Invalid")</f>
        <v>OK</v>
      </c>
      <c r="AF1730" t="str">
        <f t="shared" ref="AF1730:AF1793" si="352">IF(OR(C1730="Graduation",C1730="phD",C1730="Master",C1730="Basic",C1730="2n Cycle"),"Valid","Invalid")</f>
        <v>Valid</v>
      </c>
      <c r="AG1730" t="str">
        <f t="shared" ref="AG1730:AG1793" si="353">IF(OR(D1730="Single",D1730="Married",D1730="Divorced",D1730="Together",D1730="Widow",D1730="Alone"),"Valid","Invalid")</f>
        <v>Valid</v>
      </c>
      <c r="AH1730" t="str">
        <f t="shared" ref="AH1730:AH1793" si="354">IF(AND(ISNUMBER(E1730),E1730&lt;&gt;""),"Valid","Invalid")</f>
        <v>Valid</v>
      </c>
      <c r="AI1730" t="str">
        <f t="shared" ref="AI1730:AI1793" si="355">IF(AND(F1730&gt;=0,F1730&lt;=2),"Valid","Invalid")</f>
        <v>Valid</v>
      </c>
      <c r="AJ1730" t="str">
        <f t="shared" ref="AJ1730:AJ1793" si="356">IF(AND(G1730&gt;=0,G1730&lt;=2),"Valid","Invalid")</f>
        <v>Valid</v>
      </c>
      <c r="AK1730" t="str">
        <f t="shared" si="350"/>
        <v xml:space="preserve">Valid </v>
      </c>
      <c r="AL1730" t="str">
        <f>IF(AND(Audit_Data[[#This Row],[Recency]]&gt;=0,Audit_Data[[#This Row],[Recency]]&lt;=100),"Valid","Invalid")</f>
        <v>Valid</v>
      </c>
      <c r="AM1730" t="str">
        <f t="shared" ref="AM1730:AM1793" si="357">IF(AND(ISNUMBER(J1730),J1730&gt;=0,ISNUMBER(K1730),K1730&gt;=0,ISNUMBER(L1730),L1730&gt;=0,ISNUMBER(M1730),M1730&gt;=0,ISNUMBER(N1730),N1730&gt;=0,ISNUMBER(O1730),O1730&gt;=0),"Valid","Invalid")</f>
        <v>Valid</v>
      </c>
      <c r="AN1730" t="str">
        <f t="shared" ref="AN1730:AN1793" si="358">IF(AND(ISNUMBER(P1730),P1730&gt;=0,ISNUMBER(Q1730),Q1730&gt;=0,ISNUMBER(R1730),R1730&gt;=0,ISNUMBER(S1730),S1730&gt;=0,ISNUMBER(T1730),T1730&gt;=0),"Valid","Invalid")</f>
        <v>Valid</v>
      </c>
      <c r="AO1730" t="str">
        <f t="shared" ref="AO1730:AO1793" si="359">IF(AND(U1730&lt;=1,V1730&lt;=1,W1730&lt;=1,X1730&lt;=1,Y1730&lt;=1),"Valid","Invalid")</f>
        <v>Valid</v>
      </c>
      <c r="AP1730" t="str">
        <f t="shared" ref="AP1730:AP1793" si="360">IF(OR(Z1730=0,Z1730=1),"Valid","Invalid")</f>
        <v>Valid</v>
      </c>
      <c r="AQ1730" t="str">
        <f>IF(Audit_Data[[#This Row],[Z_CostContact]]=3,"Valid","Invalid")</f>
        <v>Valid</v>
      </c>
      <c r="AR1730" t="str">
        <f t="shared" ref="AR1730:AR1793" si="361">IF(AB1730=11,"Valid","Invalid")</f>
        <v>Valid</v>
      </c>
      <c r="AS1730" t="str">
        <f t="shared" ref="AS1730:AS1793" si="362">IF(OR(AC1730=0,AC1730=1),"Valid","Invalid")</f>
        <v>Valid</v>
      </c>
    </row>
    <row r="1731" spans="1:45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 t="str">
        <f t="shared" si="351"/>
        <v>Ok</v>
      </c>
      <c r="AE1731" t="str">
        <f>IF(AND(Audit_Data[[#This Row],[Year_Birth]]&gt;=1900,Audit_Data[[#This Row],[Year_Birth]]&lt;=2010),"OK","Invalid")</f>
        <v>OK</v>
      </c>
      <c r="AF1731" t="str">
        <f t="shared" si="352"/>
        <v>Valid</v>
      </c>
      <c r="AG1731" t="str">
        <f t="shared" si="353"/>
        <v>Valid</v>
      </c>
      <c r="AH1731" t="str">
        <f t="shared" si="354"/>
        <v>Valid</v>
      </c>
      <c r="AI1731" t="str">
        <f t="shared" si="355"/>
        <v>Valid</v>
      </c>
      <c r="AJ1731" t="str">
        <f t="shared" si="356"/>
        <v>Valid</v>
      </c>
      <c r="AK1731" t="str">
        <f t="shared" ref="AK1731:AK1794" si="363">IF(AND(ISNUMBER(H1731),H1731&gt;=DATE(2012,1,1),H1731&lt;=DATE(2014,12,31)),"Valid ","Invalid")</f>
        <v xml:space="preserve">Valid </v>
      </c>
      <c r="AL1731" t="str">
        <f>IF(AND(Audit_Data[[#This Row],[Recency]]&gt;=0,Audit_Data[[#This Row],[Recency]]&lt;=100),"Valid","Invalid")</f>
        <v>Valid</v>
      </c>
      <c r="AM1731" t="str">
        <f t="shared" si="357"/>
        <v>Valid</v>
      </c>
      <c r="AN1731" t="str">
        <f t="shared" si="358"/>
        <v>Valid</v>
      </c>
      <c r="AO1731" t="str">
        <f t="shared" si="359"/>
        <v>Valid</v>
      </c>
      <c r="AP1731" t="str">
        <f t="shared" si="360"/>
        <v>Valid</v>
      </c>
      <c r="AQ1731" t="str">
        <f>IF(Audit_Data[[#This Row],[Z_CostContact]]=3,"Valid","Invalid")</f>
        <v>Valid</v>
      </c>
      <c r="AR1731" t="str">
        <f t="shared" si="361"/>
        <v>Valid</v>
      </c>
      <c r="AS1731" t="str">
        <f t="shared" si="362"/>
        <v>Valid</v>
      </c>
    </row>
    <row r="1732" spans="1:45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 t="str">
        <f t="shared" si="351"/>
        <v>Ok</v>
      </c>
      <c r="AE1732" t="str">
        <f>IF(AND(Audit_Data[[#This Row],[Year_Birth]]&gt;=1900,Audit_Data[[#This Row],[Year_Birth]]&lt;=2010),"OK","Invalid")</f>
        <v>OK</v>
      </c>
      <c r="AF1732" t="str">
        <f t="shared" si="352"/>
        <v>Valid</v>
      </c>
      <c r="AG1732" t="str">
        <f t="shared" si="353"/>
        <v>Valid</v>
      </c>
      <c r="AH1732" t="str">
        <f t="shared" si="354"/>
        <v>Valid</v>
      </c>
      <c r="AI1732" t="str">
        <f t="shared" si="355"/>
        <v>Valid</v>
      </c>
      <c r="AJ1732" t="str">
        <f t="shared" si="356"/>
        <v>Valid</v>
      </c>
      <c r="AK1732" t="str">
        <f t="shared" si="363"/>
        <v xml:space="preserve">Valid </v>
      </c>
      <c r="AL1732" t="str">
        <f>IF(AND(Audit_Data[[#This Row],[Recency]]&gt;=0,Audit_Data[[#This Row],[Recency]]&lt;=100),"Valid","Invalid")</f>
        <v>Valid</v>
      </c>
      <c r="AM1732" t="str">
        <f t="shared" si="357"/>
        <v>Valid</v>
      </c>
      <c r="AN1732" t="str">
        <f t="shared" si="358"/>
        <v>Valid</v>
      </c>
      <c r="AO1732" t="str">
        <f t="shared" si="359"/>
        <v>Valid</v>
      </c>
      <c r="AP1732" t="str">
        <f t="shared" si="360"/>
        <v>Valid</v>
      </c>
      <c r="AQ1732" t="str">
        <f>IF(Audit_Data[[#This Row],[Z_CostContact]]=3,"Valid","Invalid")</f>
        <v>Valid</v>
      </c>
      <c r="AR1732" t="str">
        <f t="shared" si="361"/>
        <v>Valid</v>
      </c>
      <c r="AS1732" t="str">
        <f t="shared" si="362"/>
        <v>Valid</v>
      </c>
    </row>
    <row r="1733" spans="1:45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 t="str">
        <f t="shared" si="351"/>
        <v>Ok</v>
      </c>
      <c r="AE1733" t="str">
        <f>IF(AND(Audit_Data[[#This Row],[Year_Birth]]&gt;=1900,Audit_Data[[#This Row],[Year_Birth]]&lt;=2010),"OK","Invalid")</f>
        <v>OK</v>
      </c>
      <c r="AF1733" t="str">
        <f t="shared" si="352"/>
        <v>Valid</v>
      </c>
      <c r="AG1733" t="str">
        <f t="shared" si="353"/>
        <v>Valid</v>
      </c>
      <c r="AH1733" t="str">
        <f t="shared" si="354"/>
        <v>Valid</v>
      </c>
      <c r="AI1733" t="str">
        <f t="shared" si="355"/>
        <v>Valid</v>
      </c>
      <c r="AJ1733" t="str">
        <f t="shared" si="356"/>
        <v>Valid</v>
      </c>
      <c r="AK1733" t="str">
        <f t="shared" si="363"/>
        <v xml:space="preserve">Valid </v>
      </c>
      <c r="AL1733" t="str">
        <f>IF(AND(Audit_Data[[#This Row],[Recency]]&gt;=0,Audit_Data[[#This Row],[Recency]]&lt;=100),"Valid","Invalid")</f>
        <v>Valid</v>
      </c>
      <c r="AM1733" t="str">
        <f t="shared" si="357"/>
        <v>Valid</v>
      </c>
      <c r="AN1733" t="str">
        <f t="shared" si="358"/>
        <v>Valid</v>
      </c>
      <c r="AO1733" t="str">
        <f t="shared" si="359"/>
        <v>Valid</v>
      </c>
      <c r="AP1733" t="str">
        <f t="shared" si="360"/>
        <v>Valid</v>
      </c>
      <c r="AQ1733" t="str">
        <f>IF(Audit_Data[[#This Row],[Z_CostContact]]=3,"Valid","Invalid")</f>
        <v>Valid</v>
      </c>
      <c r="AR1733" t="str">
        <f t="shared" si="361"/>
        <v>Valid</v>
      </c>
      <c r="AS1733" t="str">
        <f t="shared" si="362"/>
        <v>Valid</v>
      </c>
    </row>
    <row r="1734" spans="1:45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 t="str">
        <f t="shared" si="351"/>
        <v>Ok</v>
      </c>
      <c r="AE1734" t="str">
        <f>IF(AND(Audit_Data[[#This Row],[Year_Birth]]&gt;=1900,Audit_Data[[#This Row],[Year_Birth]]&lt;=2010),"OK","Invalid")</f>
        <v>OK</v>
      </c>
      <c r="AF1734" t="str">
        <f t="shared" si="352"/>
        <v>Valid</v>
      </c>
      <c r="AG1734" t="str">
        <f t="shared" si="353"/>
        <v>Valid</v>
      </c>
      <c r="AH1734" t="str">
        <f t="shared" si="354"/>
        <v>Valid</v>
      </c>
      <c r="AI1734" t="str">
        <f t="shared" si="355"/>
        <v>Valid</v>
      </c>
      <c r="AJ1734" t="str">
        <f t="shared" si="356"/>
        <v>Valid</v>
      </c>
      <c r="AK1734" t="str">
        <f t="shared" si="363"/>
        <v xml:space="preserve">Valid </v>
      </c>
      <c r="AL1734" t="str">
        <f>IF(AND(Audit_Data[[#This Row],[Recency]]&gt;=0,Audit_Data[[#This Row],[Recency]]&lt;=100),"Valid","Invalid")</f>
        <v>Valid</v>
      </c>
      <c r="AM1734" t="str">
        <f t="shared" si="357"/>
        <v>Valid</v>
      </c>
      <c r="AN1734" t="str">
        <f t="shared" si="358"/>
        <v>Valid</v>
      </c>
      <c r="AO1734" t="str">
        <f t="shared" si="359"/>
        <v>Valid</v>
      </c>
      <c r="AP1734" t="str">
        <f t="shared" si="360"/>
        <v>Valid</v>
      </c>
      <c r="AQ1734" t="str">
        <f>IF(Audit_Data[[#This Row],[Z_CostContact]]=3,"Valid","Invalid")</f>
        <v>Valid</v>
      </c>
      <c r="AR1734" t="str">
        <f t="shared" si="361"/>
        <v>Valid</v>
      </c>
      <c r="AS1734" t="str">
        <f t="shared" si="362"/>
        <v>Valid</v>
      </c>
    </row>
    <row r="1735" spans="1:45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 t="str">
        <f t="shared" si="351"/>
        <v>Ok</v>
      </c>
      <c r="AE1735" t="str">
        <f>IF(AND(Audit_Data[[#This Row],[Year_Birth]]&gt;=1900,Audit_Data[[#This Row],[Year_Birth]]&lt;=2010),"OK","Invalid")</f>
        <v>OK</v>
      </c>
      <c r="AF1735" t="str">
        <f t="shared" si="352"/>
        <v>Valid</v>
      </c>
      <c r="AG1735" t="str">
        <f t="shared" si="353"/>
        <v>Valid</v>
      </c>
      <c r="AH1735" t="str">
        <f t="shared" si="354"/>
        <v>Valid</v>
      </c>
      <c r="AI1735" t="str">
        <f t="shared" si="355"/>
        <v>Valid</v>
      </c>
      <c r="AJ1735" t="str">
        <f t="shared" si="356"/>
        <v>Valid</v>
      </c>
      <c r="AK1735" t="str">
        <f t="shared" si="363"/>
        <v xml:space="preserve">Valid </v>
      </c>
      <c r="AL1735" t="str">
        <f>IF(AND(Audit_Data[[#This Row],[Recency]]&gt;=0,Audit_Data[[#This Row],[Recency]]&lt;=100),"Valid","Invalid")</f>
        <v>Valid</v>
      </c>
      <c r="AM1735" t="str">
        <f t="shared" si="357"/>
        <v>Valid</v>
      </c>
      <c r="AN1735" t="str">
        <f t="shared" si="358"/>
        <v>Valid</v>
      </c>
      <c r="AO1735" t="str">
        <f t="shared" si="359"/>
        <v>Valid</v>
      </c>
      <c r="AP1735" t="str">
        <f t="shared" si="360"/>
        <v>Valid</v>
      </c>
      <c r="AQ1735" t="str">
        <f>IF(Audit_Data[[#This Row],[Z_CostContact]]=3,"Valid","Invalid")</f>
        <v>Valid</v>
      </c>
      <c r="AR1735" t="str">
        <f t="shared" si="361"/>
        <v>Valid</v>
      </c>
      <c r="AS1735" t="str">
        <f t="shared" si="362"/>
        <v>Valid</v>
      </c>
    </row>
    <row r="1736" spans="1:45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 t="str">
        <f t="shared" si="351"/>
        <v>Ok</v>
      </c>
      <c r="AE1736" t="str">
        <f>IF(AND(Audit_Data[[#This Row],[Year_Birth]]&gt;=1900,Audit_Data[[#This Row],[Year_Birth]]&lt;=2010),"OK","Invalid")</f>
        <v>OK</v>
      </c>
      <c r="AF1736" t="str">
        <f t="shared" si="352"/>
        <v>Valid</v>
      </c>
      <c r="AG1736" t="str">
        <f t="shared" si="353"/>
        <v>Valid</v>
      </c>
      <c r="AH1736" t="str">
        <f t="shared" si="354"/>
        <v>Valid</v>
      </c>
      <c r="AI1736" t="str">
        <f t="shared" si="355"/>
        <v>Valid</v>
      </c>
      <c r="AJ1736" t="str">
        <f t="shared" si="356"/>
        <v>Valid</v>
      </c>
      <c r="AK1736" t="str">
        <f t="shared" si="363"/>
        <v xml:space="preserve">Valid </v>
      </c>
      <c r="AL1736" t="str">
        <f>IF(AND(Audit_Data[[#This Row],[Recency]]&gt;=0,Audit_Data[[#This Row],[Recency]]&lt;=100),"Valid","Invalid")</f>
        <v>Valid</v>
      </c>
      <c r="AM1736" t="str">
        <f t="shared" si="357"/>
        <v>Valid</v>
      </c>
      <c r="AN1736" t="str">
        <f t="shared" si="358"/>
        <v>Valid</v>
      </c>
      <c r="AO1736" t="str">
        <f t="shared" si="359"/>
        <v>Valid</v>
      </c>
      <c r="AP1736" t="str">
        <f t="shared" si="360"/>
        <v>Valid</v>
      </c>
      <c r="AQ1736" t="str">
        <f>IF(Audit_Data[[#This Row],[Z_CostContact]]=3,"Valid","Invalid")</f>
        <v>Valid</v>
      </c>
      <c r="AR1736" t="str">
        <f t="shared" si="361"/>
        <v>Valid</v>
      </c>
      <c r="AS1736" t="str">
        <f t="shared" si="362"/>
        <v>Valid</v>
      </c>
    </row>
    <row r="1737" spans="1:45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 t="str">
        <f t="shared" si="351"/>
        <v>Ok</v>
      </c>
      <c r="AE1737" t="str">
        <f>IF(AND(Audit_Data[[#This Row],[Year_Birth]]&gt;=1900,Audit_Data[[#This Row],[Year_Birth]]&lt;=2010),"OK","Invalid")</f>
        <v>OK</v>
      </c>
      <c r="AF1737" t="str">
        <f t="shared" si="352"/>
        <v>Valid</v>
      </c>
      <c r="AG1737" t="str">
        <f t="shared" si="353"/>
        <v>Valid</v>
      </c>
      <c r="AH1737" t="str">
        <f t="shared" si="354"/>
        <v>Valid</v>
      </c>
      <c r="AI1737" t="str">
        <f t="shared" si="355"/>
        <v>Valid</v>
      </c>
      <c r="AJ1737" t="str">
        <f t="shared" si="356"/>
        <v>Valid</v>
      </c>
      <c r="AK1737" t="str">
        <f t="shared" si="363"/>
        <v xml:space="preserve">Valid </v>
      </c>
      <c r="AL1737" t="str">
        <f>IF(AND(Audit_Data[[#This Row],[Recency]]&gt;=0,Audit_Data[[#This Row],[Recency]]&lt;=100),"Valid","Invalid")</f>
        <v>Valid</v>
      </c>
      <c r="AM1737" t="str">
        <f t="shared" si="357"/>
        <v>Valid</v>
      </c>
      <c r="AN1737" t="str">
        <f t="shared" si="358"/>
        <v>Valid</v>
      </c>
      <c r="AO1737" t="str">
        <f t="shared" si="359"/>
        <v>Valid</v>
      </c>
      <c r="AP1737" t="str">
        <f t="shared" si="360"/>
        <v>Valid</v>
      </c>
      <c r="AQ1737" t="str">
        <f>IF(Audit_Data[[#This Row],[Z_CostContact]]=3,"Valid","Invalid")</f>
        <v>Valid</v>
      </c>
      <c r="AR1737" t="str">
        <f t="shared" si="361"/>
        <v>Valid</v>
      </c>
      <c r="AS1737" t="str">
        <f t="shared" si="362"/>
        <v>Valid</v>
      </c>
    </row>
    <row r="1738" spans="1:45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 t="str">
        <f t="shared" si="351"/>
        <v>Ok</v>
      </c>
      <c r="AE1738" t="str">
        <f>IF(AND(Audit_Data[[#This Row],[Year_Birth]]&gt;=1900,Audit_Data[[#This Row],[Year_Birth]]&lt;=2010),"OK","Invalid")</f>
        <v>OK</v>
      </c>
      <c r="AF1738" t="str">
        <f t="shared" si="352"/>
        <v>Valid</v>
      </c>
      <c r="AG1738" t="str">
        <f t="shared" si="353"/>
        <v>Valid</v>
      </c>
      <c r="AH1738" t="str">
        <f t="shared" si="354"/>
        <v>Valid</v>
      </c>
      <c r="AI1738" t="str">
        <f t="shared" si="355"/>
        <v>Valid</v>
      </c>
      <c r="AJ1738" t="str">
        <f t="shared" si="356"/>
        <v>Valid</v>
      </c>
      <c r="AK1738" t="str">
        <f t="shared" si="363"/>
        <v xml:space="preserve">Valid </v>
      </c>
      <c r="AL1738" t="str">
        <f>IF(AND(Audit_Data[[#This Row],[Recency]]&gt;=0,Audit_Data[[#This Row],[Recency]]&lt;=100),"Valid","Invalid")</f>
        <v>Valid</v>
      </c>
      <c r="AM1738" t="str">
        <f t="shared" si="357"/>
        <v>Valid</v>
      </c>
      <c r="AN1738" t="str">
        <f t="shared" si="358"/>
        <v>Valid</v>
      </c>
      <c r="AO1738" t="str">
        <f t="shared" si="359"/>
        <v>Valid</v>
      </c>
      <c r="AP1738" t="str">
        <f t="shared" si="360"/>
        <v>Valid</v>
      </c>
      <c r="AQ1738" t="str">
        <f>IF(Audit_Data[[#This Row],[Z_CostContact]]=3,"Valid","Invalid")</f>
        <v>Valid</v>
      </c>
      <c r="AR1738" t="str">
        <f t="shared" si="361"/>
        <v>Valid</v>
      </c>
      <c r="AS1738" t="str">
        <f t="shared" si="362"/>
        <v>Valid</v>
      </c>
    </row>
    <row r="1739" spans="1:45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 t="str">
        <f t="shared" si="351"/>
        <v>Ok</v>
      </c>
      <c r="AE1739" t="str">
        <f>IF(AND(Audit_Data[[#This Row],[Year_Birth]]&gt;=1900,Audit_Data[[#This Row],[Year_Birth]]&lt;=2010),"OK","Invalid")</f>
        <v>OK</v>
      </c>
      <c r="AF1739" t="str">
        <f t="shared" si="352"/>
        <v>Valid</v>
      </c>
      <c r="AG1739" t="str">
        <f t="shared" si="353"/>
        <v>Valid</v>
      </c>
      <c r="AH1739" t="str">
        <f t="shared" si="354"/>
        <v>Valid</v>
      </c>
      <c r="AI1739" t="str">
        <f t="shared" si="355"/>
        <v>Valid</v>
      </c>
      <c r="AJ1739" t="str">
        <f t="shared" si="356"/>
        <v>Valid</v>
      </c>
      <c r="AK1739" t="str">
        <f t="shared" si="363"/>
        <v xml:space="preserve">Valid </v>
      </c>
      <c r="AL1739" t="str">
        <f>IF(AND(Audit_Data[[#This Row],[Recency]]&gt;=0,Audit_Data[[#This Row],[Recency]]&lt;=100),"Valid","Invalid")</f>
        <v>Valid</v>
      </c>
      <c r="AM1739" t="str">
        <f t="shared" si="357"/>
        <v>Valid</v>
      </c>
      <c r="AN1739" t="str">
        <f t="shared" si="358"/>
        <v>Valid</v>
      </c>
      <c r="AO1739" t="str">
        <f t="shared" si="359"/>
        <v>Valid</v>
      </c>
      <c r="AP1739" t="str">
        <f t="shared" si="360"/>
        <v>Valid</v>
      </c>
      <c r="AQ1739" t="str">
        <f>IF(Audit_Data[[#This Row],[Z_CostContact]]=3,"Valid","Invalid")</f>
        <v>Valid</v>
      </c>
      <c r="AR1739" t="str">
        <f t="shared" si="361"/>
        <v>Valid</v>
      </c>
      <c r="AS1739" t="str">
        <f t="shared" si="362"/>
        <v>Valid</v>
      </c>
    </row>
    <row r="1740" spans="1:45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 t="str">
        <f t="shared" si="351"/>
        <v>Ok</v>
      </c>
      <c r="AE1740" t="str">
        <f>IF(AND(Audit_Data[[#This Row],[Year_Birth]]&gt;=1900,Audit_Data[[#This Row],[Year_Birth]]&lt;=2010),"OK","Invalid")</f>
        <v>OK</v>
      </c>
      <c r="AF1740" t="str">
        <f t="shared" si="352"/>
        <v>Valid</v>
      </c>
      <c r="AG1740" t="str">
        <f t="shared" si="353"/>
        <v>Valid</v>
      </c>
      <c r="AH1740" t="str">
        <f t="shared" si="354"/>
        <v>Valid</v>
      </c>
      <c r="AI1740" t="str">
        <f t="shared" si="355"/>
        <v>Valid</v>
      </c>
      <c r="AJ1740" t="str">
        <f t="shared" si="356"/>
        <v>Valid</v>
      </c>
      <c r="AK1740" t="str">
        <f t="shared" si="363"/>
        <v xml:space="preserve">Valid </v>
      </c>
      <c r="AL1740" t="str">
        <f>IF(AND(Audit_Data[[#This Row],[Recency]]&gt;=0,Audit_Data[[#This Row],[Recency]]&lt;=100),"Valid","Invalid")</f>
        <v>Valid</v>
      </c>
      <c r="AM1740" t="str">
        <f t="shared" si="357"/>
        <v>Valid</v>
      </c>
      <c r="AN1740" t="str">
        <f t="shared" si="358"/>
        <v>Valid</v>
      </c>
      <c r="AO1740" t="str">
        <f t="shared" si="359"/>
        <v>Valid</v>
      </c>
      <c r="AP1740" t="str">
        <f t="shared" si="360"/>
        <v>Valid</v>
      </c>
      <c r="AQ1740" t="str">
        <f>IF(Audit_Data[[#This Row],[Z_CostContact]]=3,"Valid","Invalid")</f>
        <v>Valid</v>
      </c>
      <c r="AR1740" t="str">
        <f t="shared" si="361"/>
        <v>Valid</v>
      </c>
      <c r="AS1740" t="str">
        <f t="shared" si="362"/>
        <v>Valid</v>
      </c>
    </row>
    <row r="1741" spans="1:45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 t="str">
        <f t="shared" si="351"/>
        <v>Ok</v>
      </c>
      <c r="AE1741" t="str">
        <f>IF(AND(Audit_Data[[#This Row],[Year_Birth]]&gt;=1900,Audit_Data[[#This Row],[Year_Birth]]&lt;=2010),"OK","Invalid")</f>
        <v>OK</v>
      </c>
      <c r="AF1741" t="str">
        <f t="shared" si="352"/>
        <v>Valid</v>
      </c>
      <c r="AG1741" t="str">
        <f t="shared" si="353"/>
        <v>Valid</v>
      </c>
      <c r="AH1741" t="str">
        <f t="shared" si="354"/>
        <v>Valid</v>
      </c>
      <c r="AI1741" t="str">
        <f t="shared" si="355"/>
        <v>Valid</v>
      </c>
      <c r="AJ1741" t="str">
        <f t="shared" si="356"/>
        <v>Valid</v>
      </c>
      <c r="AK1741" t="str">
        <f t="shared" si="363"/>
        <v xml:space="preserve">Valid </v>
      </c>
      <c r="AL1741" t="str">
        <f>IF(AND(Audit_Data[[#This Row],[Recency]]&gt;=0,Audit_Data[[#This Row],[Recency]]&lt;=100),"Valid","Invalid")</f>
        <v>Valid</v>
      </c>
      <c r="AM1741" t="str">
        <f t="shared" si="357"/>
        <v>Valid</v>
      </c>
      <c r="AN1741" t="str">
        <f t="shared" si="358"/>
        <v>Valid</v>
      </c>
      <c r="AO1741" t="str">
        <f t="shared" si="359"/>
        <v>Valid</v>
      </c>
      <c r="AP1741" t="str">
        <f t="shared" si="360"/>
        <v>Valid</v>
      </c>
      <c r="AQ1741" t="str">
        <f>IF(Audit_Data[[#This Row],[Z_CostContact]]=3,"Valid","Invalid")</f>
        <v>Valid</v>
      </c>
      <c r="AR1741" t="str">
        <f t="shared" si="361"/>
        <v>Valid</v>
      </c>
      <c r="AS1741" t="str">
        <f t="shared" si="362"/>
        <v>Valid</v>
      </c>
    </row>
    <row r="1742" spans="1:45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 t="str">
        <f t="shared" si="351"/>
        <v>Ok</v>
      </c>
      <c r="AE1742" t="str">
        <f>IF(AND(Audit_Data[[#This Row],[Year_Birth]]&gt;=1900,Audit_Data[[#This Row],[Year_Birth]]&lt;=2010),"OK","Invalid")</f>
        <v>OK</v>
      </c>
      <c r="AF1742" t="str">
        <f t="shared" si="352"/>
        <v>Valid</v>
      </c>
      <c r="AG1742" t="str">
        <f t="shared" si="353"/>
        <v>Valid</v>
      </c>
      <c r="AH1742" t="str">
        <f t="shared" si="354"/>
        <v>Valid</v>
      </c>
      <c r="AI1742" t="str">
        <f t="shared" si="355"/>
        <v>Valid</v>
      </c>
      <c r="AJ1742" t="str">
        <f t="shared" si="356"/>
        <v>Valid</v>
      </c>
      <c r="AK1742" t="str">
        <f t="shared" si="363"/>
        <v xml:space="preserve">Valid </v>
      </c>
      <c r="AL1742" t="str">
        <f>IF(AND(Audit_Data[[#This Row],[Recency]]&gt;=0,Audit_Data[[#This Row],[Recency]]&lt;=100),"Valid","Invalid")</f>
        <v>Valid</v>
      </c>
      <c r="AM1742" t="str">
        <f t="shared" si="357"/>
        <v>Valid</v>
      </c>
      <c r="AN1742" t="str">
        <f t="shared" si="358"/>
        <v>Valid</v>
      </c>
      <c r="AO1742" t="str">
        <f t="shared" si="359"/>
        <v>Valid</v>
      </c>
      <c r="AP1742" t="str">
        <f t="shared" si="360"/>
        <v>Valid</v>
      </c>
      <c r="AQ1742" t="str">
        <f>IF(Audit_Data[[#This Row],[Z_CostContact]]=3,"Valid","Invalid")</f>
        <v>Valid</v>
      </c>
      <c r="AR1742" t="str">
        <f t="shared" si="361"/>
        <v>Valid</v>
      </c>
      <c r="AS1742" t="str">
        <f t="shared" si="362"/>
        <v>Valid</v>
      </c>
    </row>
    <row r="1743" spans="1:45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 t="str">
        <f t="shared" si="351"/>
        <v>Ok</v>
      </c>
      <c r="AE1743" t="str">
        <f>IF(AND(Audit_Data[[#This Row],[Year_Birth]]&gt;=1900,Audit_Data[[#This Row],[Year_Birth]]&lt;=2010),"OK","Invalid")</f>
        <v>OK</v>
      </c>
      <c r="AF1743" t="str">
        <f t="shared" si="352"/>
        <v>Valid</v>
      </c>
      <c r="AG1743" t="str">
        <f t="shared" si="353"/>
        <v>Valid</v>
      </c>
      <c r="AH1743" t="str">
        <f t="shared" si="354"/>
        <v>Valid</v>
      </c>
      <c r="AI1743" t="str">
        <f t="shared" si="355"/>
        <v>Valid</v>
      </c>
      <c r="AJ1743" t="str">
        <f t="shared" si="356"/>
        <v>Valid</v>
      </c>
      <c r="AK1743" t="str">
        <f t="shared" si="363"/>
        <v xml:space="preserve">Valid </v>
      </c>
      <c r="AL1743" t="str">
        <f>IF(AND(Audit_Data[[#This Row],[Recency]]&gt;=0,Audit_Data[[#This Row],[Recency]]&lt;=100),"Valid","Invalid")</f>
        <v>Valid</v>
      </c>
      <c r="AM1743" t="str">
        <f t="shared" si="357"/>
        <v>Valid</v>
      </c>
      <c r="AN1743" t="str">
        <f t="shared" si="358"/>
        <v>Valid</v>
      </c>
      <c r="AO1743" t="str">
        <f t="shared" si="359"/>
        <v>Valid</v>
      </c>
      <c r="AP1743" t="str">
        <f t="shared" si="360"/>
        <v>Valid</v>
      </c>
      <c r="AQ1743" t="str">
        <f>IF(Audit_Data[[#This Row],[Z_CostContact]]=3,"Valid","Invalid")</f>
        <v>Valid</v>
      </c>
      <c r="AR1743" t="str">
        <f t="shared" si="361"/>
        <v>Valid</v>
      </c>
      <c r="AS1743" t="str">
        <f t="shared" si="362"/>
        <v>Valid</v>
      </c>
    </row>
    <row r="1744" spans="1:45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 t="str">
        <f t="shared" si="351"/>
        <v>Ok</v>
      </c>
      <c r="AE1744" t="str">
        <f>IF(AND(Audit_Data[[#This Row],[Year_Birth]]&gt;=1900,Audit_Data[[#This Row],[Year_Birth]]&lt;=2010),"OK","Invalid")</f>
        <v>OK</v>
      </c>
      <c r="AF1744" t="str">
        <f t="shared" si="352"/>
        <v>Valid</v>
      </c>
      <c r="AG1744" t="str">
        <f t="shared" si="353"/>
        <v>Valid</v>
      </c>
      <c r="AH1744" t="str">
        <f t="shared" si="354"/>
        <v>Valid</v>
      </c>
      <c r="AI1744" t="str">
        <f t="shared" si="355"/>
        <v>Valid</v>
      </c>
      <c r="AJ1744" t="str">
        <f t="shared" si="356"/>
        <v>Valid</v>
      </c>
      <c r="AK1744" t="str">
        <f t="shared" si="363"/>
        <v xml:space="preserve">Valid </v>
      </c>
      <c r="AL1744" t="str">
        <f>IF(AND(Audit_Data[[#This Row],[Recency]]&gt;=0,Audit_Data[[#This Row],[Recency]]&lt;=100),"Valid","Invalid")</f>
        <v>Valid</v>
      </c>
      <c r="AM1744" t="str">
        <f t="shared" si="357"/>
        <v>Valid</v>
      </c>
      <c r="AN1744" t="str">
        <f t="shared" si="358"/>
        <v>Valid</v>
      </c>
      <c r="AO1744" t="str">
        <f t="shared" si="359"/>
        <v>Valid</v>
      </c>
      <c r="AP1744" t="str">
        <f t="shared" si="360"/>
        <v>Valid</v>
      </c>
      <c r="AQ1744" t="str">
        <f>IF(Audit_Data[[#This Row],[Z_CostContact]]=3,"Valid","Invalid")</f>
        <v>Valid</v>
      </c>
      <c r="AR1744" t="str">
        <f t="shared" si="361"/>
        <v>Valid</v>
      </c>
      <c r="AS1744" t="str">
        <f t="shared" si="362"/>
        <v>Valid</v>
      </c>
    </row>
    <row r="1745" spans="1:45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 t="str">
        <f t="shared" si="351"/>
        <v>Ok</v>
      </c>
      <c r="AE1745" t="str">
        <f>IF(AND(Audit_Data[[#This Row],[Year_Birth]]&gt;=1900,Audit_Data[[#This Row],[Year_Birth]]&lt;=2010),"OK","Invalid")</f>
        <v>OK</v>
      </c>
      <c r="AF1745" t="str">
        <f t="shared" si="352"/>
        <v>Valid</v>
      </c>
      <c r="AG1745" t="str">
        <f t="shared" si="353"/>
        <v>Valid</v>
      </c>
      <c r="AH1745" t="str">
        <f t="shared" si="354"/>
        <v>Valid</v>
      </c>
      <c r="AI1745" t="str">
        <f t="shared" si="355"/>
        <v>Valid</v>
      </c>
      <c r="AJ1745" t="str">
        <f t="shared" si="356"/>
        <v>Valid</v>
      </c>
      <c r="AK1745" t="str">
        <f t="shared" si="363"/>
        <v xml:space="preserve">Valid </v>
      </c>
      <c r="AL1745" t="str">
        <f>IF(AND(Audit_Data[[#This Row],[Recency]]&gt;=0,Audit_Data[[#This Row],[Recency]]&lt;=100),"Valid","Invalid")</f>
        <v>Valid</v>
      </c>
      <c r="AM1745" t="str">
        <f t="shared" si="357"/>
        <v>Valid</v>
      </c>
      <c r="AN1745" t="str">
        <f t="shared" si="358"/>
        <v>Valid</v>
      </c>
      <c r="AO1745" t="str">
        <f t="shared" si="359"/>
        <v>Valid</v>
      </c>
      <c r="AP1745" t="str">
        <f t="shared" si="360"/>
        <v>Valid</v>
      </c>
      <c r="AQ1745" t="str">
        <f>IF(Audit_Data[[#This Row],[Z_CostContact]]=3,"Valid","Invalid")</f>
        <v>Valid</v>
      </c>
      <c r="AR1745" t="str">
        <f t="shared" si="361"/>
        <v>Valid</v>
      </c>
      <c r="AS1745" t="str">
        <f t="shared" si="362"/>
        <v>Valid</v>
      </c>
    </row>
    <row r="1746" spans="1:45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 t="str">
        <f t="shared" si="351"/>
        <v>Ok</v>
      </c>
      <c r="AE1746" t="str">
        <f>IF(AND(Audit_Data[[#This Row],[Year_Birth]]&gt;=1900,Audit_Data[[#This Row],[Year_Birth]]&lt;=2010),"OK","Invalid")</f>
        <v>OK</v>
      </c>
      <c r="AF1746" t="str">
        <f t="shared" si="352"/>
        <v>Valid</v>
      </c>
      <c r="AG1746" t="str">
        <f t="shared" si="353"/>
        <v>Valid</v>
      </c>
      <c r="AH1746" t="str">
        <f t="shared" si="354"/>
        <v>Valid</v>
      </c>
      <c r="AI1746" t="str">
        <f t="shared" si="355"/>
        <v>Valid</v>
      </c>
      <c r="AJ1746" t="str">
        <f t="shared" si="356"/>
        <v>Valid</v>
      </c>
      <c r="AK1746" t="str">
        <f t="shared" si="363"/>
        <v xml:space="preserve">Valid </v>
      </c>
      <c r="AL1746" t="str">
        <f>IF(AND(Audit_Data[[#This Row],[Recency]]&gt;=0,Audit_Data[[#This Row],[Recency]]&lt;=100),"Valid","Invalid")</f>
        <v>Valid</v>
      </c>
      <c r="AM1746" t="str">
        <f t="shared" si="357"/>
        <v>Valid</v>
      </c>
      <c r="AN1746" t="str">
        <f t="shared" si="358"/>
        <v>Valid</v>
      </c>
      <c r="AO1746" t="str">
        <f t="shared" si="359"/>
        <v>Valid</v>
      </c>
      <c r="AP1746" t="str">
        <f t="shared" si="360"/>
        <v>Valid</v>
      </c>
      <c r="AQ1746" t="str">
        <f>IF(Audit_Data[[#This Row],[Z_CostContact]]=3,"Valid","Invalid")</f>
        <v>Valid</v>
      </c>
      <c r="AR1746" t="str">
        <f t="shared" si="361"/>
        <v>Valid</v>
      </c>
      <c r="AS1746" t="str">
        <f t="shared" si="362"/>
        <v>Valid</v>
      </c>
    </row>
    <row r="1747" spans="1:45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 t="str">
        <f t="shared" si="351"/>
        <v>Ok</v>
      </c>
      <c r="AE1747" t="str">
        <f>IF(AND(Audit_Data[[#This Row],[Year_Birth]]&gt;=1900,Audit_Data[[#This Row],[Year_Birth]]&lt;=2010),"OK","Invalid")</f>
        <v>OK</v>
      </c>
      <c r="AF1747" t="str">
        <f t="shared" si="352"/>
        <v>Valid</v>
      </c>
      <c r="AG1747" t="str">
        <f t="shared" si="353"/>
        <v>Valid</v>
      </c>
      <c r="AH1747" t="str">
        <f t="shared" si="354"/>
        <v>Valid</v>
      </c>
      <c r="AI1747" t="str">
        <f t="shared" si="355"/>
        <v>Valid</v>
      </c>
      <c r="AJ1747" t="str">
        <f t="shared" si="356"/>
        <v>Valid</v>
      </c>
      <c r="AK1747" t="str">
        <f t="shared" si="363"/>
        <v xml:space="preserve">Valid </v>
      </c>
      <c r="AL1747" t="str">
        <f>IF(AND(Audit_Data[[#This Row],[Recency]]&gt;=0,Audit_Data[[#This Row],[Recency]]&lt;=100),"Valid","Invalid")</f>
        <v>Valid</v>
      </c>
      <c r="AM1747" t="str">
        <f t="shared" si="357"/>
        <v>Valid</v>
      </c>
      <c r="AN1747" t="str">
        <f t="shared" si="358"/>
        <v>Valid</v>
      </c>
      <c r="AO1747" t="str">
        <f t="shared" si="359"/>
        <v>Valid</v>
      </c>
      <c r="AP1747" t="str">
        <f t="shared" si="360"/>
        <v>Valid</v>
      </c>
      <c r="AQ1747" t="str">
        <f>IF(Audit_Data[[#This Row],[Z_CostContact]]=3,"Valid","Invalid")</f>
        <v>Valid</v>
      </c>
      <c r="AR1747" t="str">
        <f t="shared" si="361"/>
        <v>Valid</v>
      </c>
      <c r="AS1747" t="str">
        <f t="shared" si="362"/>
        <v>Valid</v>
      </c>
    </row>
    <row r="1748" spans="1:45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 t="str">
        <f t="shared" si="351"/>
        <v>Ok</v>
      </c>
      <c r="AE1748" t="str">
        <f>IF(AND(Audit_Data[[#This Row],[Year_Birth]]&gt;=1900,Audit_Data[[#This Row],[Year_Birth]]&lt;=2010),"OK","Invalid")</f>
        <v>OK</v>
      </c>
      <c r="AF1748" t="str">
        <f t="shared" si="352"/>
        <v>Valid</v>
      </c>
      <c r="AG1748" t="str">
        <f t="shared" si="353"/>
        <v>Valid</v>
      </c>
      <c r="AH1748" t="str">
        <f t="shared" si="354"/>
        <v>Valid</v>
      </c>
      <c r="AI1748" t="str">
        <f t="shared" si="355"/>
        <v>Valid</v>
      </c>
      <c r="AJ1748" t="str">
        <f t="shared" si="356"/>
        <v>Valid</v>
      </c>
      <c r="AK1748" t="str">
        <f t="shared" si="363"/>
        <v xml:space="preserve">Valid </v>
      </c>
      <c r="AL1748" t="str">
        <f>IF(AND(Audit_Data[[#This Row],[Recency]]&gt;=0,Audit_Data[[#This Row],[Recency]]&lt;=100),"Valid","Invalid")</f>
        <v>Valid</v>
      </c>
      <c r="AM1748" t="str">
        <f t="shared" si="357"/>
        <v>Valid</v>
      </c>
      <c r="AN1748" t="str">
        <f t="shared" si="358"/>
        <v>Valid</v>
      </c>
      <c r="AO1748" t="str">
        <f t="shared" si="359"/>
        <v>Valid</v>
      </c>
      <c r="AP1748" t="str">
        <f t="shared" si="360"/>
        <v>Valid</v>
      </c>
      <c r="AQ1748" t="str">
        <f>IF(Audit_Data[[#This Row],[Z_CostContact]]=3,"Valid","Invalid")</f>
        <v>Valid</v>
      </c>
      <c r="AR1748" t="str">
        <f t="shared" si="361"/>
        <v>Valid</v>
      </c>
      <c r="AS1748" t="str">
        <f t="shared" si="362"/>
        <v>Valid</v>
      </c>
    </row>
    <row r="1749" spans="1:45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 t="str">
        <f t="shared" si="351"/>
        <v>Ok</v>
      </c>
      <c r="AE1749" t="str">
        <f>IF(AND(Audit_Data[[#This Row],[Year_Birth]]&gt;=1900,Audit_Data[[#This Row],[Year_Birth]]&lt;=2010),"OK","Invalid")</f>
        <v>OK</v>
      </c>
      <c r="AF1749" t="str">
        <f t="shared" si="352"/>
        <v>Valid</v>
      </c>
      <c r="AG1749" t="str">
        <f t="shared" si="353"/>
        <v>Valid</v>
      </c>
      <c r="AH1749" t="str">
        <f t="shared" si="354"/>
        <v>Valid</v>
      </c>
      <c r="AI1749" t="str">
        <f t="shared" si="355"/>
        <v>Valid</v>
      </c>
      <c r="AJ1749" t="str">
        <f t="shared" si="356"/>
        <v>Valid</v>
      </c>
      <c r="AK1749" t="str">
        <f t="shared" si="363"/>
        <v xml:space="preserve">Valid </v>
      </c>
      <c r="AL1749" t="str">
        <f>IF(AND(Audit_Data[[#This Row],[Recency]]&gt;=0,Audit_Data[[#This Row],[Recency]]&lt;=100),"Valid","Invalid")</f>
        <v>Valid</v>
      </c>
      <c r="AM1749" t="str">
        <f t="shared" si="357"/>
        <v>Valid</v>
      </c>
      <c r="AN1749" t="str">
        <f t="shared" si="358"/>
        <v>Valid</v>
      </c>
      <c r="AO1749" t="str">
        <f t="shared" si="359"/>
        <v>Valid</v>
      </c>
      <c r="AP1749" t="str">
        <f t="shared" si="360"/>
        <v>Valid</v>
      </c>
      <c r="AQ1749" t="str">
        <f>IF(Audit_Data[[#This Row],[Z_CostContact]]=3,"Valid","Invalid")</f>
        <v>Valid</v>
      </c>
      <c r="AR1749" t="str">
        <f t="shared" si="361"/>
        <v>Valid</v>
      </c>
      <c r="AS1749" t="str">
        <f t="shared" si="362"/>
        <v>Valid</v>
      </c>
    </row>
    <row r="1750" spans="1:45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 t="str">
        <f t="shared" si="351"/>
        <v>Ok</v>
      </c>
      <c r="AE1750" t="str">
        <f>IF(AND(Audit_Data[[#This Row],[Year_Birth]]&gt;=1900,Audit_Data[[#This Row],[Year_Birth]]&lt;=2010),"OK","Invalid")</f>
        <v>OK</v>
      </c>
      <c r="AF1750" t="str">
        <f t="shared" si="352"/>
        <v>Valid</v>
      </c>
      <c r="AG1750" t="str">
        <f t="shared" si="353"/>
        <v>Valid</v>
      </c>
      <c r="AH1750" t="str">
        <f t="shared" si="354"/>
        <v>Valid</v>
      </c>
      <c r="AI1750" t="str">
        <f t="shared" si="355"/>
        <v>Valid</v>
      </c>
      <c r="AJ1750" t="str">
        <f t="shared" si="356"/>
        <v>Valid</v>
      </c>
      <c r="AK1750" t="str">
        <f t="shared" si="363"/>
        <v xml:space="preserve">Valid </v>
      </c>
      <c r="AL1750" t="str">
        <f>IF(AND(Audit_Data[[#This Row],[Recency]]&gt;=0,Audit_Data[[#This Row],[Recency]]&lt;=100),"Valid","Invalid")</f>
        <v>Valid</v>
      </c>
      <c r="AM1750" t="str">
        <f t="shared" si="357"/>
        <v>Valid</v>
      </c>
      <c r="AN1750" t="str">
        <f t="shared" si="358"/>
        <v>Valid</v>
      </c>
      <c r="AO1750" t="str">
        <f t="shared" si="359"/>
        <v>Valid</v>
      </c>
      <c r="AP1750" t="str">
        <f t="shared" si="360"/>
        <v>Valid</v>
      </c>
      <c r="AQ1750" t="str">
        <f>IF(Audit_Data[[#This Row],[Z_CostContact]]=3,"Valid","Invalid")</f>
        <v>Valid</v>
      </c>
      <c r="AR1750" t="str">
        <f t="shared" si="361"/>
        <v>Valid</v>
      </c>
      <c r="AS1750" t="str">
        <f t="shared" si="362"/>
        <v>Valid</v>
      </c>
    </row>
    <row r="1751" spans="1:45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 t="str">
        <f t="shared" si="351"/>
        <v>Ok</v>
      </c>
      <c r="AE1751" t="str">
        <f>IF(AND(Audit_Data[[#This Row],[Year_Birth]]&gt;=1900,Audit_Data[[#This Row],[Year_Birth]]&lt;=2010),"OK","Invalid")</f>
        <v>OK</v>
      </c>
      <c r="AF1751" t="str">
        <f t="shared" si="352"/>
        <v>Valid</v>
      </c>
      <c r="AG1751" t="str">
        <f t="shared" si="353"/>
        <v>Valid</v>
      </c>
      <c r="AH1751" t="str">
        <f t="shared" si="354"/>
        <v>Valid</v>
      </c>
      <c r="AI1751" t="str">
        <f t="shared" si="355"/>
        <v>Valid</v>
      </c>
      <c r="AJ1751" t="str">
        <f t="shared" si="356"/>
        <v>Valid</v>
      </c>
      <c r="AK1751" t="str">
        <f t="shared" si="363"/>
        <v xml:space="preserve">Valid </v>
      </c>
      <c r="AL1751" t="str">
        <f>IF(AND(Audit_Data[[#This Row],[Recency]]&gt;=0,Audit_Data[[#This Row],[Recency]]&lt;=100),"Valid","Invalid")</f>
        <v>Valid</v>
      </c>
      <c r="AM1751" t="str">
        <f t="shared" si="357"/>
        <v>Valid</v>
      </c>
      <c r="AN1751" t="str">
        <f t="shared" si="358"/>
        <v>Valid</v>
      </c>
      <c r="AO1751" t="str">
        <f t="shared" si="359"/>
        <v>Valid</v>
      </c>
      <c r="AP1751" t="str">
        <f t="shared" si="360"/>
        <v>Valid</v>
      </c>
      <c r="AQ1751" t="str">
        <f>IF(Audit_Data[[#This Row],[Z_CostContact]]=3,"Valid","Invalid")</f>
        <v>Valid</v>
      </c>
      <c r="AR1751" t="str">
        <f t="shared" si="361"/>
        <v>Valid</v>
      </c>
      <c r="AS1751" t="str">
        <f t="shared" si="362"/>
        <v>Valid</v>
      </c>
    </row>
    <row r="1752" spans="1:45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 t="str">
        <f t="shared" si="351"/>
        <v>Ok</v>
      </c>
      <c r="AE1752" t="str">
        <f>IF(AND(Audit_Data[[#This Row],[Year_Birth]]&gt;=1900,Audit_Data[[#This Row],[Year_Birth]]&lt;=2010),"OK","Invalid")</f>
        <v>OK</v>
      </c>
      <c r="AF1752" t="str">
        <f t="shared" si="352"/>
        <v>Valid</v>
      </c>
      <c r="AG1752" t="str">
        <f t="shared" si="353"/>
        <v>Valid</v>
      </c>
      <c r="AH1752" t="str">
        <f t="shared" si="354"/>
        <v>Valid</v>
      </c>
      <c r="AI1752" t="str">
        <f t="shared" si="355"/>
        <v>Valid</v>
      </c>
      <c r="AJ1752" t="str">
        <f t="shared" si="356"/>
        <v>Valid</v>
      </c>
      <c r="AK1752" t="str">
        <f t="shared" si="363"/>
        <v xml:space="preserve">Valid </v>
      </c>
      <c r="AL1752" t="str">
        <f>IF(AND(Audit_Data[[#This Row],[Recency]]&gt;=0,Audit_Data[[#This Row],[Recency]]&lt;=100),"Valid","Invalid")</f>
        <v>Valid</v>
      </c>
      <c r="AM1752" t="str">
        <f t="shared" si="357"/>
        <v>Valid</v>
      </c>
      <c r="AN1752" t="str">
        <f t="shared" si="358"/>
        <v>Valid</v>
      </c>
      <c r="AO1752" t="str">
        <f t="shared" si="359"/>
        <v>Valid</v>
      </c>
      <c r="AP1752" t="str">
        <f t="shared" si="360"/>
        <v>Valid</v>
      </c>
      <c r="AQ1752" t="str">
        <f>IF(Audit_Data[[#This Row],[Z_CostContact]]=3,"Valid","Invalid")</f>
        <v>Valid</v>
      </c>
      <c r="AR1752" t="str">
        <f t="shared" si="361"/>
        <v>Valid</v>
      </c>
      <c r="AS1752" t="str">
        <f t="shared" si="362"/>
        <v>Valid</v>
      </c>
    </row>
    <row r="1753" spans="1:45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 t="str">
        <f t="shared" si="351"/>
        <v>Ok</v>
      </c>
      <c r="AE1753" t="str">
        <f>IF(AND(Audit_Data[[#This Row],[Year_Birth]]&gt;=1900,Audit_Data[[#This Row],[Year_Birth]]&lt;=2010),"OK","Invalid")</f>
        <v>OK</v>
      </c>
      <c r="AF1753" t="str">
        <f t="shared" si="352"/>
        <v>Valid</v>
      </c>
      <c r="AG1753" t="str">
        <f t="shared" si="353"/>
        <v>Valid</v>
      </c>
      <c r="AH1753" t="str">
        <f t="shared" si="354"/>
        <v>Valid</v>
      </c>
      <c r="AI1753" t="str">
        <f t="shared" si="355"/>
        <v>Valid</v>
      </c>
      <c r="AJ1753" t="str">
        <f t="shared" si="356"/>
        <v>Valid</v>
      </c>
      <c r="AK1753" t="str">
        <f t="shared" si="363"/>
        <v xml:space="preserve">Valid </v>
      </c>
      <c r="AL1753" t="str">
        <f>IF(AND(Audit_Data[[#This Row],[Recency]]&gt;=0,Audit_Data[[#This Row],[Recency]]&lt;=100),"Valid","Invalid")</f>
        <v>Valid</v>
      </c>
      <c r="AM1753" t="str">
        <f t="shared" si="357"/>
        <v>Valid</v>
      </c>
      <c r="AN1753" t="str">
        <f t="shared" si="358"/>
        <v>Valid</v>
      </c>
      <c r="AO1753" t="str">
        <f t="shared" si="359"/>
        <v>Valid</v>
      </c>
      <c r="AP1753" t="str">
        <f t="shared" si="360"/>
        <v>Valid</v>
      </c>
      <c r="AQ1753" t="str">
        <f>IF(Audit_Data[[#This Row],[Z_CostContact]]=3,"Valid","Invalid")</f>
        <v>Valid</v>
      </c>
      <c r="AR1753" t="str">
        <f t="shared" si="361"/>
        <v>Valid</v>
      </c>
      <c r="AS1753" t="str">
        <f t="shared" si="362"/>
        <v>Valid</v>
      </c>
    </row>
    <row r="1754" spans="1:45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 t="str">
        <f t="shared" si="351"/>
        <v>Ok</v>
      </c>
      <c r="AE1754" t="str">
        <f>IF(AND(Audit_Data[[#This Row],[Year_Birth]]&gt;=1900,Audit_Data[[#This Row],[Year_Birth]]&lt;=2010),"OK","Invalid")</f>
        <v>OK</v>
      </c>
      <c r="AF1754" t="str">
        <f t="shared" si="352"/>
        <v>Valid</v>
      </c>
      <c r="AG1754" t="str">
        <f t="shared" si="353"/>
        <v>Valid</v>
      </c>
      <c r="AH1754" t="str">
        <f t="shared" si="354"/>
        <v>Valid</v>
      </c>
      <c r="AI1754" t="str">
        <f t="shared" si="355"/>
        <v>Valid</v>
      </c>
      <c r="AJ1754" t="str">
        <f t="shared" si="356"/>
        <v>Valid</v>
      </c>
      <c r="AK1754" t="str">
        <f t="shared" si="363"/>
        <v xml:space="preserve">Valid </v>
      </c>
      <c r="AL1754" t="str">
        <f>IF(AND(Audit_Data[[#This Row],[Recency]]&gt;=0,Audit_Data[[#This Row],[Recency]]&lt;=100),"Valid","Invalid")</f>
        <v>Valid</v>
      </c>
      <c r="AM1754" t="str">
        <f t="shared" si="357"/>
        <v>Valid</v>
      </c>
      <c r="AN1754" t="str">
        <f t="shared" si="358"/>
        <v>Valid</v>
      </c>
      <c r="AO1754" t="str">
        <f t="shared" si="359"/>
        <v>Valid</v>
      </c>
      <c r="AP1754" t="str">
        <f t="shared" si="360"/>
        <v>Valid</v>
      </c>
      <c r="AQ1754" t="str">
        <f>IF(Audit_Data[[#This Row],[Z_CostContact]]=3,"Valid","Invalid")</f>
        <v>Valid</v>
      </c>
      <c r="AR1754" t="str">
        <f t="shared" si="361"/>
        <v>Valid</v>
      </c>
      <c r="AS1754" t="str">
        <f t="shared" si="362"/>
        <v>Valid</v>
      </c>
    </row>
    <row r="1755" spans="1:45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 t="str">
        <f t="shared" si="351"/>
        <v>Ok</v>
      </c>
      <c r="AE1755" t="str">
        <f>IF(AND(Audit_Data[[#This Row],[Year_Birth]]&gt;=1900,Audit_Data[[#This Row],[Year_Birth]]&lt;=2010),"OK","Invalid")</f>
        <v>OK</v>
      </c>
      <c r="AF1755" t="str">
        <f t="shared" si="352"/>
        <v>Valid</v>
      </c>
      <c r="AG1755" t="str">
        <f t="shared" si="353"/>
        <v>Valid</v>
      </c>
      <c r="AH1755" t="str">
        <f t="shared" si="354"/>
        <v>Valid</v>
      </c>
      <c r="AI1755" t="str">
        <f t="shared" si="355"/>
        <v>Valid</v>
      </c>
      <c r="AJ1755" t="str">
        <f t="shared" si="356"/>
        <v>Valid</v>
      </c>
      <c r="AK1755" t="str">
        <f t="shared" si="363"/>
        <v xml:space="preserve">Valid </v>
      </c>
      <c r="AL1755" t="str">
        <f>IF(AND(Audit_Data[[#This Row],[Recency]]&gt;=0,Audit_Data[[#This Row],[Recency]]&lt;=100),"Valid","Invalid")</f>
        <v>Valid</v>
      </c>
      <c r="AM1755" t="str">
        <f t="shared" si="357"/>
        <v>Valid</v>
      </c>
      <c r="AN1755" t="str">
        <f t="shared" si="358"/>
        <v>Valid</v>
      </c>
      <c r="AO1755" t="str">
        <f t="shared" si="359"/>
        <v>Valid</v>
      </c>
      <c r="AP1755" t="str">
        <f t="shared" si="360"/>
        <v>Valid</v>
      </c>
      <c r="AQ1755" t="str">
        <f>IF(Audit_Data[[#This Row],[Z_CostContact]]=3,"Valid","Invalid")</f>
        <v>Valid</v>
      </c>
      <c r="AR1755" t="str">
        <f t="shared" si="361"/>
        <v>Valid</v>
      </c>
      <c r="AS1755" t="str">
        <f t="shared" si="362"/>
        <v>Valid</v>
      </c>
    </row>
    <row r="1756" spans="1:45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 t="str">
        <f t="shared" si="351"/>
        <v>Ok</v>
      </c>
      <c r="AE1756" t="str">
        <f>IF(AND(Audit_Data[[#This Row],[Year_Birth]]&gt;=1900,Audit_Data[[#This Row],[Year_Birth]]&lt;=2010),"OK","Invalid")</f>
        <v>OK</v>
      </c>
      <c r="AF1756" t="str">
        <f t="shared" si="352"/>
        <v>Valid</v>
      </c>
      <c r="AG1756" t="str">
        <f t="shared" si="353"/>
        <v>Valid</v>
      </c>
      <c r="AH1756" t="str">
        <f t="shared" si="354"/>
        <v>Valid</v>
      </c>
      <c r="AI1756" t="str">
        <f t="shared" si="355"/>
        <v>Valid</v>
      </c>
      <c r="AJ1756" t="str">
        <f t="shared" si="356"/>
        <v>Valid</v>
      </c>
      <c r="AK1756" t="str">
        <f t="shared" si="363"/>
        <v xml:space="preserve">Valid </v>
      </c>
      <c r="AL1756" t="str">
        <f>IF(AND(Audit_Data[[#This Row],[Recency]]&gt;=0,Audit_Data[[#This Row],[Recency]]&lt;=100),"Valid","Invalid")</f>
        <v>Valid</v>
      </c>
      <c r="AM1756" t="str">
        <f t="shared" si="357"/>
        <v>Valid</v>
      </c>
      <c r="AN1756" t="str">
        <f t="shared" si="358"/>
        <v>Valid</v>
      </c>
      <c r="AO1756" t="str">
        <f t="shared" si="359"/>
        <v>Valid</v>
      </c>
      <c r="AP1756" t="str">
        <f t="shared" si="360"/>
        <v>Valid</v>
      </c>
      <c r="AQ1756" t="str">
        <f>IF(Audit_Data[[#This Row],[Z_CostContact]]=3,"Valid","Invalid")</f>
        <v>Valid</v>
      </c>
      <c r="AR1756" t="str">
        <f t="shared" si="361"/>
        <v>Valid</v>
      </c>
      <c r="AS1756" t="str">
        <f t="shared" si="362"/>
        <v>Valid</v>
      </c>
    </row>
    <row r="1757" spans="1:45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 t="str">
        <f t="shared" si="351"/>
        <v>Ok</v>
      </c>
      <c r="AE1757" t="str">
        <f>IF(AND(Audit_Data[[#This Row],[Year_Birth]]&gt;=1900,Audit_Data[[#This Row],[Year_Birth]]&lt;=2010),"OK","Invalid")</f>
        <v>OK</v>
      </c>
      <c r="AF1757" t="str">
        <f t="shared" si="352"/>
        <v>Valid</v>
      </c>
      <c r="AG1757" t="str">
        <f t="shared" si="353"/>
        <v>Valid</v>
      </c>
      <c r="AH1757" t="str">
        <f t="shared" si="354"/>
        <v>Valid</v>
      </c>
      <c r="AI1757" t="str">
        <f t="shared" si="355"/>
        <v>Valid</v>
      </c>
      <c r="AJ1757" t="str">
        <f t="shared" si="356"/>
        <v>Valid</v>
      </c>
      <c r="AK1757" t="str">
        <f t="shared" si="363"/>
        <v xml:space="preserve">Valid </v>
      </c>
      <c r="AL1757" t="str">
        <f>IF(AND(Audit_Data[[#This Row],[Recency]]&gt;=0,Audit_Data[[#This Row],[Recency]]&lt;=100),"Valid","Invalid")</f>
        <v>Valid</v>
      </c>
      <c r="AM1757" t="str">
        <f t="shared" si="357"/>
        <v>Valid</v>
      </c>
      <c r="AN1757" t="str">
        <f t="shared" si="358"/>
        <v>Valid</v>
      </c>
      <c r="AO1757" t="str">
        <f t="shared" si="359"/>
        <v>Valid</v>
      </c>
      <c r="AP1757" t="str">
        <f t="shared" si="360"/>
        <v>Valid</v>
      </c>
      <c r="AQ1757" t="str">
        <f>IF(Audit_Data[[#This Row],[Z_CostContact]]=3,"Valid","Invalid")</f>
        <v>Valid</v>
      </c>
      <c r="AR1757" t="str">
        <f t="shared" si="361"/>
        <v>Valid</v>
      </c>
      <c r="AS1757" t="str">
        <f t="shared" si="362"/>
        <v>Valid</v>
      </c>
    </row>
    <row r="1758" spans="1:45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 t="str">
        <f t="shared" si="351"/>
        <v>Ok</v>
      </c>
      <c r="AE1758" t="str">
        <f>IF(AND(Audit_Data[[#This Row],[Year_Birth]]&gt;=1900,Audit_Data[[#This Row],[Year_Birth]]&lt;=2010),"OK","Invalid")</f>
        <v>OK</v>
      </c>
      <c r="AF1758" t="str">
        <f t="shared" si="352"/>
        <v>Valid</v>
      </c>
      <c r="AG1758" t="str">
        <f t="shared" si="353"/>
        <v>Valid</v>
      </c>
      <c r="AH1758" t="str">
        <f t="shared" si="354"/>
        <v>Valid</v>
      </c>
      <c r="AI1758" t="str">
        <f t="shared" si="355"/>
        <v>Valid</v>
      </c>
      <c r="AJ1758" t="str">
        <f t="shared" si="356"/>
        <v>Valid</v>
      </c>
      <c r="AK1758" t="str">
        <f t="shared" si="363"/>
        <v xml:space="preserve">Valid </v>
      </c>
      <c r="AL1758" t="str">
        <f>IF(AND(Audit_Data[[#This Row],[Recency]]&gt;=0,Audit_Data[[#This Row],[Recency]]&lt;=100),"Valid","Invalid")</f>
        <v>Valid</v>
      </c>
      <c r="AM1758" t="str">
        <f t="shared" si="357"/>
        <v>Valid</v>
      </c>
      <c r="AN1758" t="str">
        <f t="shared" si="358"/>
        <v>Valid</v>
      </c>
      <c r="AO1758" t="str">
        <f t="shared" si="359"/>
        <v>Valid</v>
      </c>
      <c r="AP1758" t="str">
        <f t="shared" si="360"/>
        <v>Valid</v>
      </c>
      <c r="AQ1758" t="str">
        <f>IF(Audit_Data[[#This Row],[Z_CostContact]]=3,"Valid","Invalid")</f>
        <v>Valid</v>
      </c>
      <c r="AR1758" t="str">
        <f t="shared" si="361"/>
        <v>Valid</v>
      </c>
      <c r="AS1758" t="str">
        <f t="shared" si="362"/>
        <v>Valid</v>
      </c>
    </row>
    <row r="1759" spans="1:45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 t="str">
        <f t="shared" si="351"/>
        <v>Ok</v>
      </c>
      <c r="AE1759" t="str">
        <f>IF(AND(Audit_Data[[#This Row],[Year_Birth]]&gt;=1900,Audit_Data[[#This Row],[Year_Birth]]&lt;=2010),"OK","Invalid")</f>
        <v>OK</v>
      </c>
      <c r="AF1759" t="str">
        <f t="shared" si="352"/>
        <v>Valid</v>
      </c>
      <c r="AG1759" t="str">
        <f t="shared" si="353"/>
        <v>Valid</v>
      </c>
      <c r="AH1759" t="str">
        <f t="shared" si="354"/>
        <v>Valid</v>
      </c>
      <c r="AI1759" t="str">
        <f t="shared" si="355"/>
        <v>Valid</v>
      </c>
      <c r="AJ1759" t="str">
        <f t="shared" si="356"/>
        <v>Valid</v>
      </c>
      <c r="AK1759" t="str">
        <f t="shared" si="363"/>
        <v xml:space="preserve">Valid </v>
      </c>
      <c r="AL1759" t="str">
        <f>IF(AND(Audit_Data[[#This Row],[Recency]]&gt;=0,Audit_Data[[#This Row],[Recency]]&lt;=100),"Valid","Invalid")</f>
        <v>Valid</v>
      </c>
      <c r="AM1759" t="str">
        <f t="shared" si="357"/>
        <v>Valid</v>
      </c>
      <c r="AN1759" t="str">
        <f t="shared" si="358"/>
        <v>Valid</v>
      </c>
      <c r="AO1759" t="str">
        <f t="shared" si="359"/>
        <v>Valid</v>
      </c>
      <c r="AP1759" t="str">
        <f t="shared" si="360"/>
        <v>Valid</v>
      </c>
      <c r="AQ1759" t="str">
        <f>IF(Audit_Data[[#This Row],[Z_CostContact]]=3,"Valid","Invalid")</f>
        <v>Valid</v>
      </c>
      <c r="AR1759" t="str">
        <f t="shared" si="361"/>
        <v>Valid</v>
      </c>
      <c r="AS1759" t="str">
        <f t="shared" si="362"/>
        <v>Valid</v>
      </c>
    </row>
    <row r="1760" spans="1:45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 t="str">
        <f t="shared" si="351"/>
        <v>Ok</v>
      </c>
      <c r="AE1760" t="str">
        <f>IF(AND(Audit_Data[[#This Row],[Year_Birth]]&gt;=1900,Audit_Data[[#This Row],[Year_Birth]]&lt;=2010),"OK","Invalid")</f>
        <v>OK</v>
      </c>
      <c r="AF1760" t="str">
        <f t="shared" si="352"/>
        <v>Valid</v>
      </c>
      <c r="AG1760" t="str">
        <f t="shared" si="353"/>
        <v>Valid</v>
      </c>
      <c r="AH1760" t="str">
        <f t="shared" si="354"/>
        <v>Valid</v>
      </c>
      <c r="AI1760" t="str">
        <f t="shared" si="355"/>
        <v>Valid</v>
      </c>
      <c r="AJ1760" t="str">
        <f t="shared" si="356"/>
        <v>Valid</v>
      </c>
      <c r="AK1760" t="str">
        <f t="shared" si="363"/>
        <v xml:space="preserve">Valid </v>
      </c>
      <c r="AL1760" t="str">
        <f>IF(AND(Audit_Data[[#This Row],[Recency]]&gt;=0,Audit_Data[[#This Row],[Recency]]&lt;=100),"Valid","Invalid")</f>
        <v>Valid</v>
      </c>
      <c r="AM1760" t="str">
        <f t="shared" si="357"/>
        <v>Valid</v>
      </c>
      <c r="AN1760" t="str">
        <f t="shared" si="358"/>
        <v>Valid</v>
      </c>
      <c r="AO1760" t="str">
        <f t="shared" si="359"/>
        <v>Valid</v>
      </c>
      <c r="AP1760" t="str">
        <f t="shared" si="360"/>
        <v>Valid</v>
      </c>
      <c r="AQ1760" t="str">
        <f>IF(Audit_Data[[#This Row],[Z_CostContact]]=3,"Valid","Invalid")</f>
        <v>Valid</v>
      </c>
      <c r="AR1760" t="str">
        <f t="shared" si="361"/>
        <v>Valid</v>
      </c>
      <c r="AS1760" t="str">
        <f t="shared" si="362"/>
        <v>Valid</v>
      </c>
    </row>
    <row r="1761" spans="1:45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 t="str">
        <f t="shared" si="351"/>
        <v>Ok</v>
      </c>
      <c r="AE1761" t="str">
        <f>IF(AND(Audit_Data[[#This Row],[Year_Birth]]&gt;=1900,Audit_Data[[#This Row],[Year_Birth]]&lt;=2010),"OK","Invalid")</f>
        <v>OK</v>
      </c>
      <c r="AF1761" t="str">
        <f t="shared" si="352"/>
        <v>Valid</v>
      </c>
      <c r="AG1761" t="str">
        <f t="shared" si="353"/>
        <v>Valid</v>
      </c>
      <c r="AH1761" t="str">
        <f t="shared" si="354"/>
        <v>Valid</v>
      </c>
      <c r="AI1761" t="str">
        <f t="shared" si="355"/>
        <v>Valid</v>
      </c>
      <c r="AJ1761" t="str">
        <f t="shared" si="356"/>
        <v>Valid</v>
      </c>
      <c r="AK1761" t="str">
        <f t="shared" si="363"/>
        <v xml:space="preserve">Valid </v>
      </c>
      <c r="AL1761" t="str">
        <f>IF(AND(Audit_Data[[#This Row],[Recency]]&gt;=0,Audit_Data[[#This Row],[Recency]]&lt;=100),"Valid","Invalid")</f>
        <v>Valid</v>
      </c>
      <c r="AM1761" t="str">
        <f t="shared" si="357"/>
        <v>Valid</v>
      </c>
      <c r="AN1761" t="str">
        <f t="shared" si="358"/>
        <v>Valid</v>
      </c>
      <c r="AO1761" t="str">
        <f t="shared" si="359"/>
        <v>Valid</v>
      </c>
      <c r="AP1761" t="str">
        <f t="shared" si="360"/>
        <v>Valid</v>
      </c>
      <c r="AQ1761" t="str">
        <f>IF(Audit_Data[[#This Row],[Z_CostContact]]=3,"Valid","Invalid")</f>
        <v>Valid</v>
      </c>
      <c r="AR1761" t="str">
        <f t="shared" si="361"/>
        <v>Valid</v>
      </c>
      <c r="AS1761" t="str">
        <f t="shared" si="362"/>
        <v>Valid</v>
      </c>
    </row>
    <row r="1762" spans="1:45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 t="str">
        <f t="shared" si="351"/>
        <v>Ok</v>
      </c>
      <c r="AE1762" t="str">
        <f>IF(AND(Audit_Data[[#This Row],[Year_Birth]]&gt;=1900,Audit_Data[[#This Row],[Year_Birth]]&lt;=2010),"OK","Invalid")</f>
        <v>OK</v>
      </c>
      <c r="AF1762" t="str">
        <f t="shared" si="352"/>
        <v>Valid</v>
      </c>
      <c r="AG1762" t="str">
        <f t="shared" si="353"/>
        <v>Valid</v>
      </c>
      <c r="AH1762" t="str">
        <f t="shared" si="354"/>
        <v>Valid</v>
      </c>
      <c r="AI1762" t="str">
        <f t="shared" si="355"/>
        <v>Valid</v>
      </c>
      <c r="AJ1762" t="str">
        <f t="shared" si="356"/>
        <v>Valid</v>
      </c>
      <c r="AK1762" t="str">
        <f t="shared" si="363"/>
        <v xml:space="preserve">Valid </v>
      </c>
      <c r="AL1762" t="str">
        <f>IF(AND(Audit_Data[[#This Row],[Recency]]&gt;=0,Audit_Data[[#This Row],[Recency]]&lt;=100),"Valid","Invalid")</f>
        <v>Valid</v>
      </c>
      <c r="AM1762" t="str">
        <f t="shared" si="357"/>
        <v>Valid</v>
      </c>
      <c r="AN1762" t="str">
        <f t="shared" si="358"/>
        <v>Valid</v>
      </c>
      <c r="AO1762" t="str">
        <f t="shared" si="359"/>
        <v>Valid</v>
      </c>
      <c r="AP1762" t="str">
        <f t="shared" si="360"/>
        <v>Valid</v>
      </c>
      <c r="AQ1762" t="str">
        <f>IF(Audit_Data[[#This Row],[Z_CostContact]]=3,"Valid","Invalid")</f>
        <v>Valid</v>
      </c>
      <c r="AR1762" t="str">
        <f t="shared" si="361"/>
        <v>Valid</v>
      </c>
      <c r="AS1762" t="str">
        <f t="shared" si="362"/>
        <v>Valid</v>
      </c>
    </row>
    <row r="1763" spans="1:45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 t="str">
        <f t="shared" si="351"/>
        <v>Ok</v>
      </c>
      <c r="AE1763" t="str">
        <f>IF(AND(Audit_Data[[#This Row],[Year_Birth]]&gt;=1900,Audit_Data[[#This Row],[Year_Birth]]&lt;=2010),"OK","Invalid")</f>
        <v>OK</v>
      </c>
      <c r="AF1763" t="str">
        <f t="shared" si="352"/>
        <v>Valid</v>
      </c>
      <c r="AG1763" t="str">
        <f t="shared" si="353"/>
        <v>Valid</v>
      </c>
      <c r="AH1763" t="str">
        <f t="shared" si="354"/>
        <v>Valid</v>
      </c>
      <c r="AI1763" t="str">
        <f t="shared" si="355"/>
        <v>Valid</v>
      </c>
      <c r="AJ1763" t="str">
        <f t="shared" si="356"/>
        <v>Valid</v>
      </c>
      <c r="AK1763" t="str">
        <f t="shared" si="363"/>
        <v xml:space="preserve">Valid </v>
      </c>
      <c r="AL1763" t="str">
        <f>IF(AND(Audit_Data[[#This Row],[Recency]]&gt;=0,Audit_Data[[#This Row],[Recency]]&lt;=100),"Valid","Invalid")</f>
        <v>Valid</v>
      </c>
      <c r="AM1763" t="str">
        <f t="shared" si="357"/>
        <v>Valid</v>
      </c>
      <c r="AN1763" t="str">
        <f t="shared" si="358"/>
        <v>Valid</v>
      </c>
      <c r="AO1763" t="str">
        <f t="shared" si="359"/>
        <v>Valid</v>
      </c>
      <c r="AP1763" t="str">
        <f t="shared" si="360"/>
        <v>Valid</v>
      </c>
      <c r="AQ1763" t="str">
        <f>IF(Audit_Data[[#This Row],[Z_CostContact]]=3,"Valid","Invalid")</f>
        <v>Valid</v>
      </c>
      <c r="AR1763" t="str">
        <f t="shared" si="361"/>
        <v>Valid</v>
      </c>
      <c r="AS1763" t="str">
        <f t="shared" si="362"/>
        <v>Valid</v>
      </c>
    </row>
    <row r="1764" spans="1:45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 t="str">
        <f t="shared" si="351"/>
        <v>Ok</v>
      </c>
      <c r="AE1764" t="str">
        <f>IF(AND(Audit_Data[[#This Row],[Year_Birth]]&gt;=1900,Audit_Data[[#This Row],[Year_Birth]]&lt;=2010),"OK","Invalid")</f>
        <v>OK</v>
      </c>
      <c r="AF1764" t="str">
        <f t="shared" si="352"/>
        <v>Valid</v>
      </c>
      <c r="AG1764" t="str">
        <f t="shared" si="353"/>
        <v>Valid</v>
      </c>
      <c r="AH1764" t="str">
        <f t="shared" si="354"/>
        <v>Valid</v>
      </c>
      <c r="AI1764" t="str">
        <f t="shared" si="355"/>
        <v>Valid</v>
      </c>
      <c r="AJ1764" t="str">
        <f t="shared" si="356"/>
        <v>Valid</v>
      </c>
      <c r="AK1764" t="str">
        <f t="shared" si="363"/>
        <v xml:space="preserve">Valid </v>
      </c>
      <c r="AL1764" t="str">
        <f>IF(AND(Audit_Data[[#This Row],[Recency]]&gt;=0,Audit_Data[[#This Row],[Recency]]&lt;=100),"Valid","Invalid")</f>
        <v>Valid</v>
      </c>
      <c r="AM1764" t="str">
        <f t="shared" si="357"/>
        <v>Valid</v>
      </c>
      <c r="AN1764" t="str">
        <f t="shared" si="358"/>
        <v>Valid</v>
      </c>
      <c r="AO1764" t="str">
        <f t="shared" si="359"/>
        <v>Valid</v>
      </c>
      <c r="AP1764" t="str">
        <f t="shared" si="360"/>
        <v>Valid</v>
      </c>
      <c r="AQ1764" t="str">
        <f>IF(Audit_Data[[#This Row],[Z_CostContact]]=3,"Valid","Invalid")</f>
        <v>Valid</v>
      </c>
      <c r="AR1764" t="str">
        <f t="shared" si="361"/>
        <v>Valid</v>
      </c>
      <c r="AS1764" t="str">
        <f t="shared" si="362"/>
        <v>Valid</v>
      </c>
    </row>
    <row r="1765" spans="1:45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 t="str">
        <f t="shared" si="351"/>
        <v>Ok</v>
      </c>
      <c r="AE1765" t="str">
        <f>IF(AND(Audit_Data[[#This Row],[Year_Birth]]&gt;=1900,Audit_Data[[#This Row],[Year_Birth]]&lt;=2010),"OK","Invalid")</f>
        <v>OK</v>
      </c>
      <c r="AF1765" t="str">
        <f t="shared" si="352"/>
        <v>Valid</v>
      </c>
      <c r="AG1765" t="str">
        <f t="shared" si="353"/>
        <v>Valid</v>
      </c>
      <c r="AH1765" t="str">
        <f t="shared" si="354"/>
        <v>Valid</v>
      </c>
      <c r="AI1765" t="str">
        <f t="shared" si="355"/>
        <v>Valid</v>
      </c>
      <c r="AJ1765" t="str">
        <f t="shared" si="356"/>
        <v>Valid</v>
      </c>
      <c r="AK1765" t="str">
        <f t="shared" si="363"/>
        <v xml:space="preserve">Valid </v>
      </c>
      <c r="AL1765" t="str">
        <f>IF(AND(Audit_Data[[#This Row],[Recency]]&gt;=0,Audit_Data[[#This Row],[Recency]]&lt;=100),"Valid","Invalid")</f>
        <v>Valid</v>
      </c>
      <c r="AM1765" t="str">
        <f t="shared" si="357"/>
        <v>Valid</v>
      </c>
      <c r="AN1765" t="str">
        <f t="shared" si="358"/>
        <v>Valid</v>
      </c>
      <c r="AO1765" t="str">
        <f t="shared" si="359"/>
        <v>Valid</v>
      </c>
      <c r="AP1765" t="str">
        <f t="shared" si="360"/>
        <v>Valid</v>
      </c>
      <c r="AQ1765" t="str">
        <f>IF(Audit_Data[[#This Row],[Z_CostContact]]=3,"Valid","Invalid")</f>
        <v>Valid</v>
      </c>
      <c r="AR1765" t="str">
        <f t="shared" si="361"/>
        <v>Valid</v>
      </c>
      <c r="AS1765" t="str">
        <f t="shared" si="362"/>
        <v>Valid</v>
      </c>
    </row>
    <row r="1766" spans="1:45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 t="str">
        <f t="shared" si="351"/>
        <v>Ok</v>
      </c>
      <c r="AE1766" t="str">
        <f>IF(AND(Audit_Data[[#This Row],[Year_Birth]]&gt;=1900,Audit_Data[[#This Row],[Year_Birth]]&lt;=2010),"OK","Invalid")</f>
        <v>OK</v>
      </c>
      <c r="AF1766" t="str">
        <f t="shared" si="352"/>
        <v>Valid</v>
      </c>
      <c r="AG1766" t="str">
        <f t="shared" si="353"/>
        <v>Valid</v>
      </c>
      <c r="AH1766" t="str">
        <f t="shared" si="354"/>
        <v>Valid</v>
      </c>
      <c r="AI1766" t="str">
        <f t="shared" si="355"/>
        <v>Valid</v>
      </c>
      <c r="AJ1766" t="str">
        <f t="shared" si="356"/>
        <v>Valid</v>
      </c>
      <c r="AK1766" t="str">
        <f t="shared" si="363"/>
        <v xml:space="preserve">Valid </v>
      </c>
      <c r="AL1766" t="str">
        <f>IF(AND(Audit_Data[[#This Row],[Recency]]&gt;=0,Audit_Data[[#This Row],[Recency]]&lt;=100),"Valid","Invalid")</f>
        <v>Valid</v>
      </c>
      <c r="AM1766" t="str">
        <f t="shared" si="357"/>
        <v>Valid</v>
      </c>
      <c r="AN1766" t="str">
        <f t="shared" si="358"/>
        <v>Valid</v>
      </c>
      <c r="AO1766" t="str">
        <f t="shared" si="359"/>
        <v>Valid</v>
      </c>
      <c r="AP1766" t="str">
        <f t="shared" si="360"/>
        <v>Valid</v>
      </c>
      <c r="AQ1766" t="str">
        <f>IF(Audit_Data[[#This Row],[Z_CostContact]]=3,"Valid","Invalid")</f>
        <v>Valid</v>
      </c>
      <c r="AR1766" t="str">
        <f t="shared" si="361"/>
        <v>Valid</v>
      </c>
      <c r="AS1766" t="str">
        <f t="shared" si="362"/>
        <v>Valid</v>
      </c>
    </row>
    <row r="1767" spans="1:45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 t="str">
        <f t="shared" si="351"/>
        <v>Ok</v>
      </c>
      <c r="AE1767" t="str">
        <f>IF(AND(Audit_Data[[#This Row],[Year_Birth]]&gt;=1900,Audit_Data[[#This Row],[Year_Birth]]&lt;=2010),"OK","Invalid")</f>
        <v>OK</v>
      </c>
      <c r="AF1767" t="str">
        <f t="shared" si="352"/>
        <v>Valid</v>
      </c>
      <c r="AG1767" t="str">
        <f t="shared" si="353"/>
        <v>Valid</v>
      </c>
      <c r="AH1767" t="str">
        <f t="shared" si="354"/>
        <v>Valid</v>
      </c>
      <c r="AI1767" t="str">
        <f t="shared" si="355"/>
        <v>Valid</v>
      </c>
      <c r="AJ1767" t="str">
        <f t="shared" si="356"/>
        <v>Valid</v>
      </c>
      <c r="AK1767" t="str">
        <f t="shared" si="363"/>
        <v xml:space="preserve">Valid </v>
      </c>
      <c r="AL1767" t="str">
        <f>IF(AND(Audit_Data[[#This Row],[Recency]]&gt;=0,Audit_Data[[#This Row],[Recency]]&lt;=100),"Valid","Invalid")</f>
        <v>Valid</v>
      </c>
      <c r="AM1767" t="str">
        <f t="shared" si="357"/>
        <v>Valid</v>
      </c>
      <c r="AN1767" t="str">
        <f t="shared" si="358"/>
        <v>Valid</v>
      </c>
      <c r="AO1767" t="str">
        <f t="shared" si="359"/>
        <v>Valid</v>
      </c>
      <c r="AP1767" t="str">
        <f t="shared" si="360"/>
        <v>Valid</v>
      </c>
      <c r="AQ1767" t="str">
        <f>IF(Audit_Data[[#This Row],[Z_CostContact]]=3,"Valid","Invalid")</f>
        <v>Valid</v>
      </c>
      <c r="AR1767" t="str">
        <f t="shared" si="361"/>
        <v>Valid</v>
      </c>
      <c r="AS1767" t="str">
        <f t="shared" si="362"/>
        <v>Valid</v>
      </c>
    </row>
    <row r="1768" spans="1:45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 t="str">
        <f t="shared" si="351"/>
        <v>Ok</v>
      </c>
      <c r="AE1768" t="str">
        <f>IF(AND(Audit_Data[[#This Row],[Year_Birth]]&gt;=1900,Audit_Data[[#This Row],[Year_Birth]]&lt;=2010),"OK","Invalid")</f>
        <v>OK</v>
      </c>
      <c r="AF1768" t="str">
        <f t="shared" si="352"/>
        <v>Valid</v>
      </c>
      <c r="AG1768" t="str">
        <f t="shared" si="353"/>
        <v>Valid</v>
      </c>
      <c r="AH1768" t="str">
        <f t="shared" si="354"/>
        <v>Valid</v>
      </c>
      <c r="AI1768" t="str">
        <f t="shared" si="355"/>
        <v>Valid</v>
      </c>
      <c r="AJ1768" t="str">
        <f t="shared" si="356"/>
        <v>Valid</v>
      </c>
      <c r="AK1768" t="str">
        <f t="shared" si="363"/>
        <v xml:space="preserve">Valid </v>
      </c>
      <c r="AL1768" t="str">
        <f>IF(AND(Audit_Data[[#This Row],[Recency]]&gt;=0,Audit_Data[[#This Row],[Recency]]&lt;=100),"Valid","Invalid")</f>
        <v>Valid</v>
      </c>
      <c r="AM1768" t="str">
        <f t="shared" si="357"/>
        <v>Valid</v>
      </c>
      <c r="AN1768" t="str">
        <f t="shared" si="358"/>
        <v>Valid</v>
      </c>
      <c r="AO1768" t="str">
        <f t="shared" si="359"/>
        <v>Valid</v>
      </c>
      <c r="AP1768" t="str">
        <f t="shared" si="360"/>
        <v>Valid</v>
      </c>
      <c r="AQ1768" t="str">
        <f>IF(Audit_Data[[#This Row],[Z_CostContact]]=3,"Valid","Invalid")</f>
        <v>Valid</v>
      </c>
      <c r="AR1768" t="str">
        <f t="shared" si="361"/>
        <v>Valid</v>
      </c>
      <c r="AS1768" t="str">
        <f t="shared" si="362"/>
        <v>Valid</v>
      </c>
    </row>
    <row r="1769" spans="1:45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 t="str">
        <f t="shared" si="351"/>
        <v>Ok</v>
      </c>
      <c r="AE1769" t="str">
        <f>IF(AND(Audit_Data[[#This Row],[Year_Birth]]&gt;=1900,Audit_Data[[#This Row],[Year_Birth]]&lt;=2010),"OK","Invalid")</f>
        <v>OK</v>
      </c>
      <c r="AF1769" t="str">
        <f t="shared" si="352"/>
        <v>Valid</v>
      </c>
      <c r="AG1769" t="str">
        <f t="shared" si="353"/>
        <v>Valid</v>
      </c>
      <c r="AH1769" t="str">
        <f t="shared" si="354"/>
        <v>Valid</v>
      </c>
      <c r="AI1769" t="str">
        <f t="shared" si="355"/>
        <v>Valid</v>
      </c>
      <c r="AJ1769" t="str">
        <f t="shared" si="356"/>
        <v>Valid</v>
      </c>
      <c r="AK1769" t="str">
        <f t="shared" si="363"/>
        <v xml:space="preserve">Valid </v>
      </c>
      <c r="AL1769" t="str">
        <f>IF(AND(Audit_Data[[#This Row],[Recency]]&gt;=0,Audit_Data[[#This Row],[Recency]]&lt;=100),"Valid","Invalid")</f>
        <v>Valid</v>
      </c>
      <c r="AM1769" t="str">
        <f t="shared" si="357"/>
        <v>Valid</v>
      </c>
      <c r="AN1769" t="str">
        <f t="shared" si="358"/>
        <v>Valid</v>
      </c>
      <c r="AO1769" t="str">
        <f t="shared" si="359"/>
        <v>Valid</v>
      </c>
      <c r="AP1769" t="str">
        <f t="shared" si="360"/>
        <v>Valid</v>
      </c>
      <c r="AQ1769" t="str">
        <f>IF(Audit_Data[[#This Row],[Z_CostContact]]=3,"Valid","Invalid")</f>
        <v>Valid</v>
      </c>
      <c r="AR1769" t="str">
        <f t="shared" si="361"/>
        <v>Valid</v>
      </c>
      <c r="AS1769" t="str">
        <f t="shared" si="362"/>
        <v>Valid</v>
      </c>
    </row>
    <row r="1770" spans="1:45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 t="str">
        <f t="shared" si="351"/>
        <v>Ok</v>
      </c>
      <c r="AE1770" t="str">
        <f>IF(AND(Audit_Data[[#This Row],[Year_Birth]]&gt;=1900,Audit_Data[[#This Row],[Year_Birth]]&lt;=2010),"OK","Invalid")</f>
        <v>OK</v>
      </c>
      <c r="AF1770" t="str">
        <f t="shared" si="352"/>
        <v>Valid</v>
      </c>
      <c r="AG1770" t="str">
        <f t="shared" si="353"/>
        <v>Valid</v>
      </c>
      <c r="AH1770" t="str">
        <f t="shared" si="354"/>
        <v>Valid</v>
      </c>
      <c r="AI1770" t="str">
        <f t="shared" si="355"/>
        <v>Valid</v>
      </c>
      <c r="AJ1770" t="str">
        <f t="shared" si="356"/>
        <v>Valid</v>
      </c>
      <c r="AK1770" t="str">
        <f t="shared" si="363"/>
        <v xml:space="preserve">Valid </v>
      </c>
      <c r="AL1770" t="str">
        <f>IF(AND(Audit_Data[[#This Row],[Recency]]&gt;=0,Audit_Data[[#This Row],[Recency]]&lt;=100),"Valid","Invalid")</f>
        <v>Valid</v>
      </c>
      <c r="AM1770" t="str">
        <f t="shared" si="357"/>
        <v>Valid</v>
      </c>
      <c r="AN1770" t="str">
        <f t="shared" si="358"/>
        <v>Valid</v>
      </c>
      <c r="AO1770" t="str">
        <f t="shared" si="359"/>
        <v>Valid</v>
      </c>
      <c r="AP1770" t="str">
        <f t="shared" si="360"/>
        <v>Valid</v>
      </c>
      <c r="AQ1770" t="str">
        <f>IF(Audit_Data[[#This Row],[Z_CostContact]]=3,"Valid","Invalid")</f>
        <v>Valid</v>
      </c>
      <c r="AR1770" t="str">
        <f t="shared" si="361"/>
        <v>Valid</v>
      </c>
      <c r="AS1770" t="str">
        <f t="shared" si="362"/>
        <v>Valid</v>
      </c>
    </row>
    <row r="1771" spans="1:45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 t="str">
        <f t="shared" si="351"/>
        <v>Ok</v>
      </c>
      <c r="AE1771" t="str">
        <f>IF(AND(Audit_Data[[#This Row],[Year_Birth]]&gt;=1900,Audit_Data[[#This Row],[Year_Birth]]&lt;=2010),"OK","Invalid")</f>
        <v>OK</v>
      </c>
      <c r="AF1771" t="str">
        <f t="shared" si="352"/>
        <v>Valid</v>
      </c>
      <c r="AG1771" t="str">
        <f t="shared" si="353"/>
        <v>Valid</v>
      </c>
      <c r="AH1771" t="str">
        <f t="shared" si="354"/>
        <v>Valid</v>
      </c>
      <c r="AI1771" t="str">
        <f t="shared" si="355"/>
        <v>Valid</v>
      </c>
      <c r="AJ1771" t="str">
        <f t="shared" si="356"/>
        <v>Valid</v>
      </c>
      <c r="AK1771" t="str">
        <f t="shared" si="363"/>
        <v xml:space="preserve">Valid </v>
      </c>
      <c r="AL1771" t="str">
        <f>IF(AND(Audit_Data[[#This Row],[Recency]]&gt;=0,Audit_Data[[#This Row],[Recency]]&lt;=100),"Valid","Invalid")</f>
        <v>Valid</v>
      </c>
      <c r="AM1771" t="str">
        <f t="shared" si="357"/>
        <v>Valid</v>
      </c>
      <c r="AN1771" t="str">
        <f t="shared" si="358"/>
        <v>Valid</v>
      </c>
      <c r="AO1771" t="str">
        <f t="shared" si="359"/>
        <v>Valid</v>
      </c>
      <c r="AP1771" t="str">
        <f t="shared" si="360"/>
        <v>Valid</v>
      </c>
      <c r="AQ1771" t="str">
        <f>IF(Audit_Data[[#This Row],[Z_CostContact]]=3,"Valid","Invalid")</f>
        <v>Valid</v>
      </c>
      <c r="AR1771" t="str">
        <f t="shared" si="361"/>
        <v>Valid</v>
      </c>
      <c r="AS1771" t="str">
        <f t="shared" si="362"/>
        <v>Valid</v>
      </c>
    </row>
    <row r="1772" spans="1:45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 t="str">
        <f t="shared" si="351"/>
        <v>Ok</v>
      </c>
      <c r="AE1772" t="str">
        <f>IF(AND(Audit_Data[[#This Row],[Year_Birth]]&gt;=1900,Audit_Data[[#This Row],[Year_Birth]]&lt;=2010),"OK","Invalid")</f>
        <v>OK</v>
      </c>
      <c r="AF1772" t="str">
        <f t="shared" si="352"/>
        <v>Valid</v>
      </c>
      <c r="AG1772" t="str">
        <f t="shared" si="353"/>
        <v>Valid</v>
      </c>
      <c r="AH1772" t="str">
        <f t="shared" si="354"/>
        <v>Valid</v>
      </c>
      <c r="AI1772" t="str">
        <f t="shared" si="355"/>
        <v>Valid</v>
      </c>
      <c r="AJ1772" t="str">
        <f t="shared" si="356"/>
        <v>Valid</v>
      </c>
      <c r="AK1772" t="str">
        <f t="shared" si="363"/>
        <v xml:space="preserve">Valid </v>
      </c>
      <c r="AL1772" t="str">
        <f>IF(AND(Audit_Data[[#This Row],[Recency]]&gt;=0,Audit_Data[[#This Row],[Recency]]&lt;=100),"Valid","Invalid")</f>
        <v>Valid</v>
      </c>
      <c r="AM1772" t="str">
        <f t="shared" si="357"/>
        <v>Valid</v>
      </c>
      <c r="AN1772" t="str">
        <f t="shared" si="358"/>
        <v>Valid</v>
      </c>
      <c r="AO1772" t="str">
        <f t="shared" si="359"/>
        <v>Valid</v>
      </c>
      <c r="AP1772" t="str">
        <f t="shared" si="360"/>
        <v>Valid</v>
      </c>
      <c r="AQ1772" t="str">
        <f>IF(Audit_Data[[#This Row],[Z_CostContact]]=3,"Valid","Invalid")</f>
        <v>Valid</v>
      </c>
      <c r="AR1772" t="str">
        <f t="shared" si="361"/>
        <v>Valid</v>
      </c>
      <c r="AS1772" t="str">
        <f t="shared" si="362"/>
        <v>Valid</v>
      </c>
    </row>
    <row r="1773" spans="1:45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 t="str">
        <f t="shared" si="351"/>
        <v>Ok</v>
      </c>
      <c r="AE1773" t="str">
        <f>IF(AND(Audit_Data[[#This Row],[Year_Birth]]&gt;=1900,Audit_Data[[#This Row],[Year_Birth]]&lt;=2010),"OK","Invalid")</f>
        <v>OK</v>
      </c>
      <c r="AF1773" t="str">
        <f t="shared" si="352"/>
        <v>Valid</v>
      </c>
      <c r="AG1773" t="str">
        <f t="shared" si="353"/>
        <v>Valid</v>
      </c>
      <c r="AH1773" t="str">
        <f t="shared" si="354"/>
        <v>Valid</v>
      </c>
      <c r="AI1773" t="str">
        <f t="shared" si="355"/>
        <v>Valid</v>
      </c>
      <c r="AJ1773" t="str">
        <f t="shared" si="356"/>
        <v>Valid</v>
      </c>
      <c r="AK1773" t="str">
        <f t="shared" si="363"/>
        <v xml:space="preserve">Valid </v>
      </c>
      <c r="AL1773" t="str">
        <f>IF(AND(Audit_Data[[#This Row],[Recency]]&gt;=0,Audit_Data[[#This Row],[Recency]]&lt;=100),"Valid","Invalid")</f>
        <v>Valid</v>
      </c>
      <c r="AM1773" t="str">
        <f t="shared" si="357"/>
        <v>Valid</v>
      </c>
      <c r="AN1773" t="str">
        <f t="shared" si="358"/>
        <v>Valid</v>
      </c>
      <c r="AO1773" t="str">
        <f t="shared" si="359"/>
        <v>Valid</v>
      </c>
      <c r="AP1773" t="str">
        <f t="shared" si="360"/>
        <v>Valid</v>
      </c>
      <c r="AQ1773" t="str">
        <f>IF(Audit_Data[[#This Row],[Z_CostContact]]=3,"Valid","Invalid")</f>
        <v>Valid</v>
      </c>
      <c r="AR1773" t="str">
        <f t="shared" si="361"/>
        <v>Valid</v>
      </c>
      <c r="AS1773" t="str">
        <f t="shared" si="362"/>
        <v>Valid</v>
      </c>
    </row>
    <row r="1774" spans="1:45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 t="str">
        <f t="shared" si="351"/>
        <v>Ok</v>
      </c>
      <c r="AE1774" t="str">
        <f>IF(AND(Audit_Data[[#This Row],[Year_Birth]]&gt;=1900,Audit_Data[[#This Row],[Year_Birth]]&lt;=2010),"OK","Invalid")</f>
        <v>OK</v>
      </c>
      <c r="AF1774" t="str">
        <f t="shared" si="352"/>
        <v>Valid</v>
      </c>
      <c r="AG1774" t="str">
        <f t="shared" si="353"/>
        <v>Valid</v>
      </c>
      <c r="AH1774" t="str">
        <f t="shared" si="354"/>
        <v>Valid</v>
      </c>
      <c r="AI1774" t="str">
        <f t="shared" si="355"/>
        <v>Valid</v>
      </c>
      <c r="AJ1774" t="str">
        <f t="shared" si="356"/>
        <v>Valid</v>
      </c>
      <c r="AK1774" t="str">
        <f t="shared" si="363"/>
        <v xml:space="preserve">Valid </v>
      </c>
      <c r="AL1774" t="str">
        <f>IF(AND(Audit_Data[[#This Row],[Recency]]&gt;=0,Audit_Data[[#This Row],[Recency]]&lt;=100),"Valid","Invalid")</f>
        <v>Valid</v>
      </c>
      <c r="AM1774" t="str">
        <f t="shared" si="357"/>
        <v>Valid</v>
      </c>
      <c r="AN1774" t="str">
        <f t="shared" si="358"/>
        <v>Valid</v>
      </c>
      <c r="AO1774" t="str">
        <f t="shared" si="359"/>
        <v>Valid</v>
      </c>
      <c r="AP1774" t="str">
        <f t="shared" si="360"/>
        <v>Valid</v>
      </c>
      <c r="AQ1774" t="str">
        <f>IF(Audit_Data[[#This Row],[Z_CostContact]]=3,"Valid","Invalid")</f>
        <v>Valid</v>
      </c>
      <c r="AR1774" t="str">
        <f t="shared" si="361"/>
        <v>Valid</v>
      </c>
      <c r="AS1774" t="str">
        <f t="shared" si="362"/>
        <v>Valid</v>
      </c>
    </row>
    <row r="1775" spans="1:45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 t="str">
        <f t="shared" si="351"/>
        <v>Ok</v>
      </c>
      <c r="AE1775" t="str">
        <f>IF(AND(Audit_Data[[#This Row],[Year_Birth]]&gt;=1900,Audit_Data[[#This Row],[Year_Birth]]&lt;=2010),"OK","Invalid")</f>
        <v>OK</v>
      </c>
      <c r="AF1775" t="str">
        <f t="shared" si="352"/>
        <v>Valid</v>
      </c>
      <c r="AG1775" t="str">
        <f t="shared" si="353"/>
        <v>Valid</v>
      </c>
      <c r="AH1775" t="str">
        <f t="shared" si="354"/>
        <v>Valid</v>
      </c>
      <c r="AI1775" t="str">
        <f t="shared" si="355"/>
        <v>Valid</v>
      </c>
      <c r="AJ1775" t="str">
        <f t="shared" si="356"/>
        <v>Valid</v>
      </c>
      <c r="AK1775" t="str">
        <f t="shared" si="363"/>
        <v xml:space="preserve">Valid </v>
      </c>
      <c r="AL1775" t="str">
        <f>IF(AND(Audit_Data[[#This Row],[Recency]]&gt;=0,Audit_Data[[#This Row],[Recency]]&lt;=100),"Valid","Invalid")</f>
        <v>Valid</v>
      </c>
      <c r="AM1775" t="str">
        <f t="shared" si="357"/>
        <v>Valid</v>
      </c>
      <c r="AN1775" t="str">
        <f t="shared" si="358"/>
        <v>Valid</v>
      </c>
      <c r="AO1775" t="str">
        <f t="shared" si="359"/>
        <v>Valid</v>
      </c>
      <c r="AP1775" t="str">
        <f t="shared" si="360"/>
        <v>Valid</v>
      </c>
      <c r="AQ1775" t="str">
        <f>IF(Audit_Data[[#This Row],[Z_CostContact]]=3,"Valid","Invalid")</f>
        <v>Valid</v>
      </c>
      <c r="AR1775" t="str">
        <f t="shared" si="361"/>
        <v>Valid</v>
      </c>
      <c r="AS1775" t="str">
        <f t="shared" si="362"/>
        <v>Valid</v>
      </c>
    </row>
    <row r="1776" spans="1:45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 t="str">
        <f t="shared" si="351"/>
        <v>Ok</v>
      </c>
      <c r="AE1776" t="str">
        <f>IF(AND(Audit_Data[[#This Row],[Year_Birth]]&gt;=1900,Audit_Data[[#This Row],[Year_Birth]]&lt;=2010),"OK","Invalid")</f>
        <v>OK</v>
      </c>
      <c r="AF1776" t="str">
        <f t="shared" si="352"/>
        <v>Valid</v>
      </c>
      <c r="AG1776" t="str">
        <f t="shared" si="353"/>
        <v>Valid</v>
      </c>
      <c r="AH1776" t="str">
        <f t="shared" si="354"/>
        <v>Valid</v>
      </c>
      <c r="AI1776" t="str">
        <f t="shared" si="355"/>
        <v>Valid</v>
      </c>
      <c r="AJ1776" t="str">
        <f t="shared" si="356"/>
        <v>Valid</v>
      </c>
      <c r="AK1776" t="str">
        <f t="shared" si="363"/>
        <v xml:space="preserve">Valid </v>
      </c>
      <c r="AL1776" t="str">
        <f>IF(AND(Audit_Data[[#This Row],[Recency]]&gt;=0,Audit_Data[[#This Row],[Recency]]&lt;=100),"Valid","Invalid")</f>
        <v>Valid</v>
      </c>
      <c r="AM1776" t="str">
        <f t="shared" si="357"/>
        <v>Valid</v>
      </c>
      <c r="AN1776" t="str">
        <f t="shared" si="358"/>
        <v>Valid</v>
      </c>
      <c r="AO1776" t="str">
        <f t="shared" si="359"/>
        <v>Valid</v>
      </c>
      <c r="AP1776" t="str">
        <f t="shared" si="360"/>
        <v>Valid</v>
      </c>
      <c r="AQ1776" t="str">
        <f>IF(Audit_Data[[#This Row],[Z_CostContact]]=3,"Valid","Invalid")</f>
        <v>Valid</v>
      </c>
      <c r="AR1776" t="str">
        <f t="shared" si="361"/>
        <v>Valid</v>
      </c>
      <c r="AS1776" t="str">
        <f t="shared" si="362"/>
        <v>Valid</v>
      </c>
    </row>
    <row r="1777" spans="1:45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 t="str">
        <f t="shared" si="351"/>
        <v>Ok</v>
      </c>
      <c r="AE1777" t="str">
        <f>IF(AND(Audit_Data[[#This Row],[Year_Birth]]&gt;=1900,Audit_Data[[#This Row],[Year_Birth]]&lt;=2010),"OK","Invalid")</f>
        <v>OK</v>
      </c>
      <c r="AF1777" t="str">
        <f t="shared" si="352"/>
        <v>Valid</v>
      </c>
      <c r="AG1777" t="str">
        <f t="shared" si="353"/>
        <v>Valid</v>
      </c>
      <c r="AH1777" t="str">
        <f t="shared" si="354"/>
        <v>Valid</v>
      </c>
      <c r="AI1777" t="str">
        <f t="shared" si="355"/>
        <v>Valid</v>
      </c>
      <c r="AJ1777" t="str">
        <f t="shared" si="356"/>
        <v>Valid</v>
      </c>
      <c r="AK1777" t="str">
        <f t="shared" si="363"/>
        <v xml:space="preserve">Valid </v>
      </c>
      <c r="AL1777" t="str">
        <f>IF(AND(Audit_Data[[#This Row],[Recency]]&gt;=0,Audit_Data[[#This Row],[Recency]]&lt;=100),"Valid","Invalid")</f>
        <v>Valid</v>
      </c>
      <c r="AM1777" t="str">
        <f t="shared" si="357"/>
        <v>Valid</v>
      </c>
      <c r="AN1777" t="str">
        <f t="shared" si="358"/>
        <v>Valid</v>
      </c>
      <c r="AO1777" t="str">
        <f t="shared" si="359"/>
        <v>Valid</v>
      </c>
      <c r="AP1777" t="str">
        <f t="shared" si="360"/>
        <v>Valid</v>
      </c>
      <c r="AQ1777" t="str">
        <f>IF(Audit_Data[[#This Row],[Z_CostContact]]=3,"Valid","Invalid")</f>
        <v>Valid</v>
      </c>
      <c r="AR1777" t="str">
        <f t="shared" si="361"/>
        <v>Valid</v>
      </c>
      <c r="AS1777" t="str">
        <f t="shared" si="362"/>
        <v>Valid</v>
      </c>
    </row>
    <row r="1778" spans="1:45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 t="str">
        <f t="shared" si="351"/>
        <v>Ok</v>
      </c>
      <c r="AE1778" t="str">
        <f>IF(AND(Audit_Data[[#This Row],[Year_Birth]]&gt;=1900,Audit_Data[[#This Row],[Year_Birth]]&lt;=2010),"OK","Invalid")</f>
        <v>OK</v>
      </c>
      <c r="AF1778" t="str">
        <f t="shared" si="352"/>
        <v>Valid</v>
      </c>
      <c r="AG1778" t="str">
        <f t="shared" si="353"/>
        <v>Valid</v>
      </c>
      <c r="AH1778" t="str">
        <f t="shared" si="354"/>
        <v>Valid</v>
      </c>
      <c r="AI1778" t="str">
        <f t="shared" si="355"/>
        <v>Valid</v>
      </c>
      <c r="AJ1778" t="str">
        <f t="shared" si="356"/>
        <v>Valid</v>
      </c>
      <c r="AK1778" t="str">
        <f t="shared" si="363"/>
        <v xml:space="preserve">Valid </v>
      </c>
      <c r="AL1778" t="str">
        <f>IF(AND(Audit_Data[[#This Row],[Recency]]&gt;=0,Audit_Data[[#This Row],[Recency]]&lt;=100),"Valid","Invalid")</f>
        <v>Valid</v>
      </c>
      <c r="AM1778" t="str">
        <f t="shared" si="357"/>
        <v>Valid</v>
      </c>
      <c r="AN1778" t="str">
        <f t="shared" si="358"/>
        <v>Valid</v>
      </c>
      <c r="AO1778" t="str">
        <f t="shared" si="359"/>
        <v>Valid</v>
      </c>
      <c r="AP1778" t="str">
        <f t="shared" si="360"/>
        <v>Valid</v>
      </c>
      <c r="AQ1778" t="str">
        <f>IF(Audit_Data[[#This Row],[Z_CostContact]]=3,"Valid","Invalid")</f>
        <v>Valid</v>
      </c>
      <c r="AR1778" t="str">
        <f t="shared" si="361"/>
        <v>Valid</v>
      </c>
      <c r="AS1778" t="str">
        <f t="shared" si="362"/>
        <v>Valid</v>
      </c>
    </row>
    <row r="1779" spans="1:45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 t="str">
        <f t="shared" si="351"/>
        <v>Ok</v>
      </c>
      <c r="AE1779" t="str">
        <f>IF(AND(Audit_Data[[#This Row],[Year_Birth]]&gt;=1900,Audit_Data[[#This Row],[Year_Birth]]&lt;=2010),"OK","Invalid")</f>
        <v>OK</v>
      </c>
      <c r="AF1779" t="str">
        <f t="shared" si="352"/>
        <v>Valid</v>
      </c>
      <c r="AG1779" t="str">
        <f t="shared" si="353"/>
        <v>Valid</v>
      </c>
      <c r="AH1779" t="str">
        <f t="shared" si="354"/>
        <v>Valid</v>
      </c>
      <c r="AI1779" t="str">
        <f t="shared" si="355"/>
        <v>Valid</v>
      </c>
      <c r="AJ1779" t="str">
        <f t="shared" si="356"/>
        <v>Valid</v>
      </c>
      <c r="AK1779" t="str">
        <f t="shared" si="363"/>
        <v xml:space="preserve">Valid </v>
      </c>
      <c r="AL1779" t="str">
        <f>IF(AND(Audit_Data[[#This Row],[Recency]]&gt;=0,Audit_Data[[#This Row],[Recency]]&lt;=100),"Valid","Invalid")</f>
        <v>Valid</v>
      </c>
      <c r="AM1779" t="str">
        <f t="shared" si="357"/>
        <v>Valid</v>
      </c>
      <c r="AN1779" t="str">
        <f t="shared" si="358"/>
        <v>Valid</v>
      </c>
      <c r="AO1779" t="str">
        <f t="shared" si="359"/>
        <v>Valid</v>
      </c>
      <c r="AP1779" t="str">
        <f t="shared" si="360"/>
        <v>Valid</v>
      </c>
      <c r="AQ1779" t="str">
        <f>IF(Audit_Data[[#This Row],[Z_CostContact]]=3,"Valid","Invalid")</f>
        <v>Valid</v>
      </c>
      <c r="AR1779" t="str">
        <f t="shared" si="361"/>
        <v>Valid</v>
      </c>
      <c r="AS1779" t="str">
        <f t="shared" si="362"/>
        <v>Valid</v>
      </c>
    </row>
    <row r="1780" spans="1:45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 t="str">
        <f t="shared" si="351"/>
        <v>Ok</v>
      </c>
      <c r="AE1780" t="str">
        <f>IF(AND(Audit_Data[[#This Row],[Year_Birth]]&gt;=1900,Audit_Data[[#This Row],[Year_Birth]]&lt;=2010),"OK","Invalid")</f>
        <v>OK</v>
      </c>
      <c r="AF1780" t="str">
        <f t="shared" si="352"/>
        <v>Valid</v>
      </c>
      <c r="AG1780" t="str">
        <f t="shared" si="353"/>
        <v>Valid</v>
      </c>
      <c r="AH1780" t="str">
        <f t="shared" si="354"/>
        <v>Valid</v>
      </c>
      <c r="AI1780" t="str">
        <f t="shared" si="355"/>
        <v>Valid</v>
      </c>
      <c r="AJ1780" t="str">
        <f t="shared" si="356"/>
        <v>Valid</v>
      </c>
      <c r="AK1780" t="str">
        <f t="shared" si="363"/>
        <v xml:space="preserve">Valid </v>
      </c>
      <c r="AL1780" t="str">
        <f>IF(AND(Audit_Data[[#This Row],[Recency]]&gt;=0,Audit_Data[[#This Row],[Recency]]&lt;=100),"Valid","Invalid")</f>
        <v>Valid</v>
      </c>
      <c r="AM1780" t="str">
        <f t="shared" si="357"/>
        <v>Valid</v>
      </c>
      <c r="AN1780" t="str">
        <f t="shared" si="358"/>
        <v>Valid</v>
      </c>
      <c r="AO1780" t="str">
        <f t="shared" si="359"/>
        <v>Valid</v>
      </c>
      <c r="AP1780" t="str">
        <f t="shared" si="360"/>
        <v>Valid</v>
      </c>
      <c r="AQ1780" t="str">
        <f>IF(Audit_Data[[#This Row],[Z_CostContact]]=3,"Valid","Invalid")</f>
        <v>Valid</v>
      </c>
      <c r="AR1780" t="str">
        <f t="shared" si="361"/>
        <v>Valid</v>
      </c>
      <c r="AS1780" t="str">
        <f t="shared" si="362"/>
        <v>Valid</v>
      </c>
    </row>
    <row r="1781" spans="1:45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 t="str">
        <f t="shared" si="351"/>
        <v>Ok</v>
      </c>
      <c r="AE1781" t="str">
        <f>IF(AND(Audit_Data[[#This Row],[Year_Birth]]&gt;=1900,Audit_Data[[#This Row],[Year_Birth]]&lt;=2010),"OK","Invalid")</f>
        <v>OK</v>
      </c>
      <c r="AF1781" t="str">
        <f t="shared" si="352"/>
        <v>Valid</v>
      </c>
      <c r="AG1781" t="str">
        <f t="shared" si="353"/>
        <v>Valid</v>
      </c>
      <c r="AH1781" t="str">
        <f t="shared" si="354"/>
        <v>Valid</v>
      </c>
      <c r="AI1781" t="str">
        <f t="shared" si="355"/>
        <v>Valid</v>
      </c>
      <c r="AJ1781" t="str">
        <f t="shared" si="356"/>
        <v>Valid</v>
      </c>
      <c r="AK1781" t="str">
        <f t="shared" si="363"/>
        <v xml:space="preserve">Valid </v>
      </c>
      <c r="AL1781" t="str">
        <f>IF(AND(Audit_Data[[#This Row],[Recency]]&gt;=0,Audit_Data[[#This Row],[Recency]]&lt;=100),"Valid","Invalid")</f>
        <v>Valid</v>
      </c>
      <c r="AM1781" t="str">
        <f t="shared" si="357"/>
        <v>Valid</v>
      </c>
      <c r="AN1781" t="str">
        <f t="shared" si="358"/>
        <v>Valid</v>
      </c>
      <c r="AO1781" t="str">
        <f t="shared" si="359"/>
        <v>Valid</v>
      </c>
      <c r="AP1781" t="str">
        <f t="shared" si="360"/>
        <v>Valid</v>
      </c>
      <c r="AQ1781" t="str">
        <f>IF(Audit_Data[[#This Row],[Z_CostContact]]=3,"Valid","Invalid")</f>
        <v>Valid</v>
      </c>
      <c r="AR1781" t="str">
        <f t="shared" si="361"/>
        <v>Valid</v>
      </c>
      <c r="AS1781" t="str">
        <f t="shared" si="362"/>
        <v>Valid</v>
      </c>
    </row>
    <row r="1782" spans="1:45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 t="str">
        <f t="shared" si="351"/>
        <v>Ok</v>
      </c>
      <c r="AE1782" t="str">
        <f>IF(AND(Audit_Data[[#This Row],[Year_Birth]]&gt;=1900,Audit_Data[[#This Row],[Year_Birth]]&lt;=2010),"OK","Invalid")</f>
        <v>OK</v>
      </c>
      <c r="AF1782" t="str">
        <f t="shared" si="352"/>
        <v>Valid</v>
      </c>
      <c r="AG1782" t="str">
        <f t="shared" si="353"/>
        <v>Valid</v>
      </c>
      <c r="AH1782" t="str">
        <f t="shared" si="354"/>
        <v>Valid</v>
      </c>
      <c r="AI1782" t="str">
        <f t="shared" si="355"/>
        <v>Valid</v>
      </c>
      <c r="AJ1782" t="str">
        <f t="shared" si="356"/>
        <v>Valid</v>
      </c>
      <c r="AK1782" t="str">
        <f t="shared" si="363"/>
        <v xml:space="preserve">Valid </v>
      </c>
      <c r="AL1782" t="str">
        <f>IF(AND(Audit_Data[[#This Row],[Recency]]&gt;=0,Audit_Data[[#This Row],[Recency]]&lt;=100),"Valid","Invalid")</f>
        <v>Valid</v>
      </c>
      <c r="AM1782" t="str">
        <f t="shared" si="357"/>
        <v>Valid</v>
      </c>
      <c r="AN1782" t="str">
        <f t="shared" si="358"/>
        <v>Valid</v>
      </c>
      <c r="AO1782" t="str">
        <f t="shared" si="359"/>
        <v>Valid</v>
      </c>
      <c r="AP1782" t="str">
        <f t="shared" si="360"/>
        <v>Valid</v>
      </c>
      <c r="AQ1782" t="str">
        <f>IF(Audit_Data[[#This Row],[Z_CostContact]]=3,"Valid","Invalid")</f>
        <v>Valid</v>
      </c>
      <c r="AR1782" t="str">
        <f t="shared" si="361"/>
        <v>Valid</v>
      </c>
      <c r="AS1782" t="str">
        <f t="shared" si="362"/>
        <v>Valid</v>
      </c>
    </row>
    <row r="1783" spans="1:45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 t="str">
        <f t="shared" si="351"/>
        <v>Ok</v>
      </c>
      <c r="AE1783" t="str">
        <f>IF(AND(Audit_Data[[#This Row],[Year_Birth]]&gt;=1900,Audit_Data[[#This Row],[Year_Birth]]&lt;=2010),"OK","Invalid")</f>
        <v>OK</v>
      </c>
      <c r="AF1783" t="str">
        <f t="shared" si="352"/>
        <v>Valid</v>
      </c>
      <c r="AG1783" t="str">
        <f t="shared" si="353"/>
        <v>Valid</v>
      </c>
      <c r="AH1783" t="str">
        <f t="shared" si="354"/>
        <v>Valid</v>
      </c>
      <c r="AI1783" t="str">
        <f t="shared" si="355"/>
        <v>Valid</v>
      </c>
      <c r="AJ1783" t="str">
        <f t="shared" si="356"/>
        <v>Valid</v>
      </c>
      <c r="AK1783" t="str">
        <f t="shared" si="363"/>
        <v xml:space="preserve">Valid </v>
      </c>
      <c r="AL1783" t="str">
        <f>IF(AND(Audit_Data[[#This Row],[Recency]]&gt;=0,Audit_Data[[#This Row],[Recency]]&lt;=100),"Valid","Invalid")</f>
        <v>Valid</v>
      </c>
      <c r="AM1783" t="str">
        <f t="shared" si="357"/>
        <v>Valid</v>
      </c>
      <c r="AN1783" t="str">
        <f t="shared" si="358"/>
        <v>Valid</v>
      </c>
      <c r="AO1783" t="str">
        <f t="shared" si="359"/>
        <v>Valid</v>
      </c>
      <c r="AP1783" t="str">
        <f t="shared" si="360"/>
        <v>Valid</v>
      </c>
      <c r="AQ1783" t="str">
        <f>IF(Audit_Data[[#This Row],[Z_CostContact]]=3,"Valid","Invalid")</f>
        <v>Valid</v>
      </c>
      <c r="AR1783" t="str">
        <f t="shared" si="361"/>
        <v>Valid</v>
      </c>
      <c r="AS1783" t="str">
        <f t="shared" si="362"/>
        <v>Valid</v>
      </c>
    </row>
    <row r="1784" spans="1:45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 t="str">
        <f t="shared" si="351"/>
        <v>Ok</v>
      </c>
      <c r="AE1784" t="str">
        <f>IF(AND(Audit_Data[[#This Row],[Year_Birth]]&gt;=1900,Audit_Data[[#This Row],[Year_Birth]]&lt;=2010),"OK","Invalid")</f>
        <v>OK</v>
      </c>
      <c r="AF1784" t="str">
        <f t="shared" si="352"/>
        <v>Valid</v>
      </c>
      <c r="AG1784" t="str">
        <f t="shared" si="353"/>
        <v>Valid</v>
      </c>
      <c r="AH1784" t="str">
        <f t="shared" si="354"/>
        <v>Valid</v>
      </c>
      <c r="AI1784" t="str">
        <f t="shared" si="355"/>
        <v>Valid</v>
      </c>
      <c r="AJ1784" t="str">
        <f t="shared" si="356"/>
        <v>Valid</v>
      </c>
      <c r="AK1784" t="str">
        <f t="shared" si="363"/>
        <v xml:space="preserve">Valid </v>
      </c>
      <c r="AL1784" t="str">
        <f>IF(AND(Audit_Data[[#This Row],[Recency]]&gt;=0,Audit_Data[[#This Row],[Recency]]&lt;=100),"Valid","Invalid")</f>
        <v>Valid</v>
      </c>
      <c r="AM1784" t="str">
        <f t="shared" si="357"/>
        <v>Valid</v>
      </c>
      <c r="AN1784" t="str">
        <f t="shared" si="358"/>
        <v>Valid</v>
      </c>
      <c r="AO1784" t="str">
        <f t="shared" si="359"/>
        <v>Valid</v>
      </c>
      <c r="AP1784" t="str">
        <f t="shared" si="360"/>
        <v>Valid</v>
      </c>
      <c r="AQ1784" t="str">
        <f>IF(Audit_Data[[#This Row],[Z_CostContact]]=3,"Valid","Invalid")</f>
        <v>Valid</v>
      </c>
      <c r="AR1784" t="str">
        <f t="shared" si="361"/>
        <v>Valid</v>
      </c>
      <c r="AS1784" t="str">
        <f t="shared" si="362"/>
        <v>Valid</v>
      </c>
    </row>
    <row r="1785" spans="1:45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 t="str">
        <f t="shared" si="351"/>
        <v>Ok</v>
      </c>
      <c r="AE1785" t="str">
        <f>IF(AND(Audit_Data[[#This Row],[Year_Birth]]&gt;=1900,Audit_Data[[#This Row],[Year_Birth]]&lt;=2010),"OK","Invalid")</f>
        <v>OK</v>
      </c>
      <c r="AF1785" t="str">
        <f t="shared" si="352"/>
        <v>Valid</v>
      </c>
      <c r="AG1785" t="str">
        <f t="shared" si="353"/>
        <v>Valid</v>
      </c>
      <c r="AH1785" t="str">
        <f t="shared" si="354"/>
        <v>Valid</v>
      </c>
      <c r="AI1785" t="str">
        <f t="shared" si="355"/>
        <v>Valid</v>
      </c>
      <c r="AJ1785" t="str">
        <f t="shared" si="356"/>
        <v>Valid</v>
      </c>
      <c r="AK1785" t="str">
        <f t="shared" si="363"/>
        <v xml:space="preserve">Valid </v>
      </c>
      <c r="AL1785" t="str">
        <f>IF(AND(Audit_Data[[#This Row],[Recency]]&gt;=0,Audit_Data[[#This Row],[Recency]]&lt;=100),"Valid","Invalid")</f>
        <v>Valid</v>
      </c>
      <c r="AM1785" t="str">
        <f t="shared" si="357"/>
        <v>Valid</v>
      </c>
      <c r="AN1785" t="str">
        <f t="shared" si="358"/>
        <v>Valid</v>
      </c>
      <c r="AO1785" t="str">
        <f t="shared" si="359"/>
        <v>Valid</v>
      </c>
      <c r="AP1785" t="str">
        <f t="shared" si="360"/>
        <v>Valid</v>
      </c>
      <c r="AQ1785" t="str">
        <f>IF(Audit_Data[[#This Row],[Z_CostContact]]=3,"Valid","Invalid")</f>
        <v>Valid</v>
      </c>
      <c r="AR1785" t="str">
        <f t="shared" si="361"/>
        <v>Valid</v>
      </c>
      <c r="AS1785" t="str">
        <f t="shared" si="362"/>
        <v>Valid</v>
      </c>
    </row>
    <row r="1786" spans="1:45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 t="str">
        <f t="shared" si="351"/>
        <v>Ok</v>
      </c>
      <c r="AE1786" t="str">
        <f>IF(AND(Audit_Data[[#This Row],[Year_Birth]]&gt;=1900,Audit_Data[[#This Row],[Year_Birth]]&lt;=2010),"OK","Invalid")</f>
        <v>OK</v>
      </c>
      <c r="AF1786" t="str">
        <f t="shared" si="352"/>
        <v>Valid</v>
      </c>
      <c r="AG1786" t="str">
        <f t="shared" si="353"/>
        <v>Valid</v>
      </c>
      <c r="AH1786" t="str">
        <f t="shared" si="354"/>
        <v>Valid</v>
      </c>
      <c r="AI1786" t="str">
        <f t="shared" si="355"/>
        <v>Valid</v>
      </c>
      <c r="AJ1786" t="str">
        <f t="shared" si="356"/>
        <v>Valid</v>
      </c>
      <c r="AK1786" t="str">
        <f t="shared" si="363"/>
        <v xml:space="preserve">Valid </v>
      </c>
      <c r="AL1786" t="str">
        <f>IF(AND(Audit_Data[[#This Row],[Recency]]&gt;=0,Audit_Data[[#This Row],[Recency]]&lt;=100),"Valid","Invalid")</f>
        <v>Valid</v>
      </c>
      <c r="AM1786" t="str">
        <f t="shared" si="357"/>
        <v>Valid</v>
      </c>
      <c r="AN1786" t="str">
        <f t="shared" si="358"/>
        <v>Valid</v>
      </c>
      <c r="AO1786" t="str">
        <f t="shared" si="359"/>
        <v>Valid</v>
      </c>
      <c r="AP1786" t="str">
        <f t="shared" si="360"/>
        <v>Valid</v>
      </c>
      <c r="AQ1786" t="str">
        <f>IF(Audit_Data[[#This Row],[Z_CostContact]]=3,"Valid","Invalid")</f>
        <v>Valid</v>
      </c>
      <c r="AR1786" t="str">
        <f t="shared" si="361"/>
        <v>Valid</v>
      </c>
      <c r="AS1786" t="str">
        <f t="shared" si="362"/>
        <v>Valid</v>
      </c>
    </row>
    <row r="1787" spans="1:45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 t="str">
        <f t="shared" si="351"/>
        <v>Ok</v>
      </c>
      <c r="AE1787" t="str">
        <f>IF(AND(Audit_Data[[#This Row],[Year_Birth]]&gt;=1900,Audit_Data[[#This Row],[Year_Birth]]&lt;=2010),"OK","Invalid")</f>
        <v>OK</v>
      </c>
      <c r="AF1787" t="str">
        <f t="shared" si="352"/>
        <v>Valid</v>
      </c>
      <c r="AG1787" t="str">
        <f t="shared" si="353"/>
        <v>Valid</v>
      </c>
      <c r="AH1787" t="str">
        <f t="shared" si="354"/>
        <v>Valid</v>
      </c>
      <c r="AI1787" t="str">
        <f t="shared" si="355"/>
        <v>Valid</v>
      </c>
      <c r="AJ1787" t="str">
        <f t="shared" si="356"/>
        <v>Valid</v>
      </c>
      <c r="AK1787" t="str">
        <f t="shared" si="363"/>
        <v xml:space="preserve">Valid </v>
      </c>
      <c r="AL1787" t="str">
        <f>IF(AND(Audit_Data[[#This Row],[Recency]]&gt;=0,Audit_Data[[#This Row],[Recency]]&lt;=100),"Valid","Invalid")</f>
        <v>Valid</v>
      </c>
      <c r="AM1787" t="str">
        <f t="shared" si="357"/>
        <v>Valid</v>
      </c>
      <c r="AN1787" t="str">
        <f t="shared" si="358"/>
        <v>Valid</v>
      </c>
      <c r="AO1787" t="str">
        <f t="shared" si="359"/>
        <v>Valid</v>
      </c>
      <c r="AP1787" t="str">
        <f t="shared" si="360"/>
        <v>Valid</v>
      </c>
      <c r="AQ1787" t="str">
        <f>IF(Audit_Data[[#This Row],[Z_CostContact]]=3,"Valid","Invalid")</f>
        <v>Valid</v>
      </c>
      <c r="AR1787" t="str">
        <f t="shared" si="361"/>
        <v>Valid</v>
      </c>
      <c r="AS1787" t="str">
        <f t="shared" si="362"/>
        <v>Valid</v>
      </c>
    </row>
    <row r="1788" spans="1:45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 t="str">
        <f t="shared" si="351"/>
        <v>Ok</v>
      </c>
      <c r="AE1788" t="str">
        <f>IF(AND(Audit_Data[[#This Row],[Year_Birth]]&gt;=1900,Audit_Data[[#This Row],[Year_Birth]]&lt;=2010),"OK","Invalid")</f>
        <v>OK</v>
      </c>
      <c r="AF1788" t="str">
        <f t="shared" si="352"/>
        <v>Valid</v>
      </c>
      <c r="AG1788" t="str">
        <f t="shared" si="353"/>
        <v>Valid</v>
      </c>
      <c r="AH1788" t="str">
        <f t="shared" si="354"/>
        <v>Valid</v>
      </c>
      <c r="AI1788" t="str">
        <f t="shared" si="355"/>
        <v>Valid</v>
      </c>
      <c r="AJ1788" t="str">
        <f t="shared" si="356"/>
        <v>Valid</v>
      </c>
      <c r="AK1788" t="str">
        <f t="shared" si="363"/>
        <v xml:space="preserve">Valid </v>
      </c>
      <c r="AL1788" t="str">
        <f>IF(AND(Audit_Data[[#This Row],[Recency]]&gt;=0,Audit_Data[[#This Row],[Recency]]&lt;=100),"Valid","Invalid")</f>
        <v>Valid</v>
      </c>
      <c r="AM1788" t="str">
        <f t="shared" si="357"/>
        <v>Valid</v>
      </c>
      <c r="AN1788" t="str">
        <f t="shared" si="358"/>
        <v>Valid</v>
      </c>
      <c r="AO1788" t="str">
        <f t="shared" si="359"/>
        <v>Valid</v>
      </c>
      <c r="AP1788" t="str">
        <f t="shared" si="360"/>
        <v>Valid</v>
      </c>
      <c r="AQ1788" t="str">
        <f>IF(Audit_Data[[#This Row],[Z_CostContact]]=3,"Valid","Invalid")</f>
        <v>Valid</v>
      </c>
      <c r="AR1788" t="str">
        <f t="shared" si="361"/>
        <v>Valid</v>
      </c>
      <c r="AS1788" t="str">
        <f t="shared" si="362"/>
        <v>Valid</v>
      </c>
    </row>
    <row r="1789" spans="1:45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 t="str">
        <f t="shared" si="351"/>
        <v>Ok</v>
      </c>
      <c r="AE1789" t="str">
        <f>IF(AND(Audit_Data[[#This Row],[Year_Birth]]&gt;=1900,Audit_Data[[#This Row],[Year_Birth]]&lt;=2010),"OK","Invalid")</f>
        <v>OK</v>
      </c>
      <c r="AF1789" t="str">
        <f t="shared" si="352"/>
        <v>Valid</v>
      </c>
      <c r="AG1789" t="str">
        <f t="shared" si="353"/>
        <v>Valid</v>
      </c>
      <c r="AH1789" t="str">
        <f t="shared" si="354"/>
        <v>Valid</v>
      </c>
      <c r="AI1789" t="str">
        <f t="shared" si="355"/>
        <v>Valid</v>
      </c>
      <c r="AJ1789" t="str">
        <f t="shared" si="356"/>
        <v>Valid</v>
      </c>
      <c r="AK1789" t="str">
        <f t="shared" si="363"/>
        <v xml:space="preserve">Valid </v>
      </c>
      <c r="AL1789" t="str">
        <f>IF(AND(Audit_Data[[#This Row],[Recency]]&gt;=0,Audit_Data[[#This Row],[Recency]]&lt;=100),"Valid","Invalid")</f>
        <v>Valid</v>
      </c>
      <c r="AM1789" t="str">
        <f t="shared" si="357"/>
        <v>Valid</v>
      </c>
      <c r="AN1789" t="str">
        <f t="shared" si="358"/>
        <v>Valid</v>
      </c>
      <c r="AO1789" t="str">
        <f t="shared" si="359"/>
        <v>Valid</v>
      </c>
      <c r="AP1789" t="str">
        <f t="shared" si="360"/>
        <v>Valid</v>
      </c>
      <c r="AQ1789" t="str">
        <f>IF(Audit_Data[[#This Row],[Z_CostContact]]=3,"Valid","Invalid")</f>
        <v>Valid</v>
      </c>
      <c r="AR1789" t="str">
        <f t="shared" si="361"/>
        <v>Valid</v>
      </c>
      <c r="AS1789" t="str">
        <f t="shared" si="362"/>
        <v>Valid</v>
      </c>
    </row>
    <row r="1790" spans="1:45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 t="str">
        <f t="shared" si="351"/>
        <v>Ok</v>
      </c>
      <c r="AE1790" t="str">
        <f>IF(AND(Audit_Data[[#This Row],[Year_Birth]]&gt;=1900,Audit_Data[[#This Row],[Year_Birth]]&lt;=2010),"OK","Invalid")</f>
        <v>OK</v>
      </c>
      <c r="AF1790" t="str">
        <f t="shared" si="352"/>
        <v>Valid</v>
      </c>
      <c r="AG1790" t="str">
        <f t="shared" si="353"/>
        <v>Valid</v>
      </c>
      <c r="AH1790" t="str">
        <f t="shared" si="354"/>
        <v>Valid</v>
      </c>
      <c r="AI1790" t="str">
        <f t="shared" si="355"/>
        <v>Valid</v>
      </c>
      <c r="AJ1790" t="str">
        <f t="shared" si="356"/>
        <v>Valid</v>
      </c>
      <c r="AK1790" t="str">
        <f t="shared" si="363"/>
        <v xml:space="preserve">Valid </v>
      </c>
      <c r="AL1790" t="str">
        <f>IF(AND(Audit_Data[[#This Row],[Recency]]&gt;=0,Audit_Data[[#This Row],[Recency]]&lt;=100),"Valid","Invalid")</f>
        <v>Valid</v>
      </c>
      <c r="AM1790" t="str">
        <f t="shared" si="357"/>
        <v>Valid</v>
      </c>
      <c r="AN1790" t="str">
        <f t="shared" si="358"/>
        <v>Valid</v>
      </c>
      <c r="AO1790" t="str">
        <f t="shared" si="359"/>
        <v>Valid</v>
      </c>
      <c r="AP1790" t="str">
        <f t="shared" si="360"/>
        <v>Valid</v>
      </c>
      <c r="AQ1790" t="str">
        <f>IF(Audit_Data[[#This Row],[Z_CostContact]]=3,"Valid","Invalid")</f>
        <v>Valid</v>
      </c>
      <c r="AR1790" t="str">
        <f t="shared" si="361"/>
        <v>Valid</v>
      </c>
      <c r="AS1790" t="str">
        <f t="shared" si="362"/>
        <v>Valid</v>
      </c>
    </row>
    <row r="1791" spans="1:45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 t="str">
        <f t="shared" si="351"/>
        <v>Ok</v>
      </c>
      <c r="AE1791" t="str">
        <f>IF(AND(Audit_Data[[#This Row],[Year_Birth]]&gt;=1900,Audit_Data[[#This Row],[Year_Birth]]&lt;=2010),"OK","Invalid")</f>
        <v>OK</v>
      </c>
      <c r="AF1791" t="str">
        <f t="shared" si="352"/>
        <v>Valid</v>
      </c>
      <c r="AG1791" t="str">
        <f t="shared" si="353"/>
        <v>Valid</v>
      </c>
      <c r="AH1791" t="str">
        <f t="shared" si="354"/>
        <v>Valid</v>
      </c>
      <c r="AI1791" t="str">
        <f t="shared" si="355"/>
        <v>Valid</v>
      </c>
      <c r="AJ1791" t="str">
        <f t="shared" si="356"/>
        <v>Valid</v>
      </c>
      <c r="AK1791" t="str">
        <f t="shared" si="363"/>
        <v xml:space="preserve">Valid </v>
      </c>
      <c r="AL1791" t="str">
        <f>IF(AND(Audit_Data[[#This Row],[Recency]]&gt;=0,Audit_Data[[#This Row],[Recency]]&lt;=100),"Valid","Invalid")</f>
        <v>Valid</v>
      </c>
      <c r="AM1791" t="str">
        <f t="shared" si="357"/>
        <v>Valid</v>
      </c>
      <c r="AN1791" t="str">
        <f t="shared" si="358"/>
        <v>Valid</v>
      </c>
      <c r="AO1791" t="str">
        <f t="shared" si="359"/>
        <v>Valid</v>
      </c>
      <c r="AP1791" t="str">
        <f t="shared" si="360"/>
        <v>Valid</v>
      </c>
      <c r="AQ1791" t="str">
        <f>IF(Audit_Data[[#This Row],[Z_CostContact]]=3,"Valid","Invalid")</f>
        <v>Valid</v>
      </c>
      <c r="AR1791" t="str">
        <f t="shared" si="361"/>
        <v>Valid</v>
      </c>
      <c r="AS1791" t="str">
        <f t="shared" si="362"/>
        <v>Valid</v>
      </c>
    </row>
    <row r="1792" spans="1:45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 t="str">
        <f t="shared" si="351"/>
        <v>Ok</v>
      </c>
      <c r="AE1792" t="str">
        <f>IF(AND(Audit_Data[[#This Row],[Year_Birth]]&gt;=1900,Audit_Data[[#This Row],[Year_Birth]]&lt;=2010),"OK","Invalid")</f>
        <v>OK</v>
      </c>
      <c r="AF1792" t="str">
        <f t="shared" si="352"/>
        <v>Valid</v>
      </c>
      <c r="AG1792" t="str">
        <f t="shared" si="353"/>
        <v>Valid</v>
      </c>
      <c r="AH1792" t="str">
        <f t="shared" si="354"/>
        <v>Valid</v>
      </c>
      <c r="AI1792" t="str">
        <f t="shared" si="355"/>
        <v>Valid</v>
      </c>
      <c r="AJ1792" t="str">
        <f t="shared" si="356"/>
        <v>Valid</v>
      </c>
      <c r="AK1792" t="str">
        <f t="shared" si="363"/>
        <v xml:space="preserve">Valid </v>
      </c>
      <c r="AL1792" t="str">
        <f>IF(AND(Audit_Data[[#This Row],[Recency]]&gt;=0,Audit_Data[[#This Row],[Recency]]&lt;=100),"Valid","Invalid")</f>
        <v>Valid</v>
      </c>
      <c r="AM1792" t="str">
        <f t="shared" si="357"/>
        <v>Valid</v>
      </c>
      <c r="AN1792" t="str">
        <f t="shared" si="358"/>
        <v>Valid</v>
      </c>
      <c r="AO1792" t="str">
        <f t="shared" si="359"/>
        <v>Valid</v>
      </c>
      <c r="AP1792" t="str">
        <f t="shared" si="360"/>
        <v>Valid</v>
      </c>
      <c r="AQ1792" t="str">
        <f>IF(Audit_Data[[#This Row],[Z_CostContact]]=3,"Valid","Invalid")</f>
        <v>Valid</v>
      </c>
      <c r="AR1792" t="str">
        <f t="shared" si="361"/>
        <v>Valid</v>
      </c>
      <c r="AS1792" t="str">
        <f t="shared" si="362"/>
        <v>Valid</v>
      </c>
    </row>
    <row r="1793" spans="1:45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 t="str">
        <f t="shared" si="351"/>
        <v>Ok</v>
      </c>
      <c r="AE1793" t="str">
        <f>IF(AND(Audit_Data[[#This Row],[Year_Birth]]&gt;=1900,Audit_Data[[#This Row],[Year_Birth]]&lt;=2010),"OK","Invalid")</f>
        <v>OK</v>
      </c>
      <c r="AF1793" t="str">
        <f t="shared" si="352"/>
        <v>Valid</v>
      </c>
      <c r="AG1793" t="str">
        <f t="shared" si="353"/>
        <v>Valid</v>
      </c>
      <c r="AH1793" t="str">
        <f t="shared" si="354"/>
        <v>Valid</v>
      </c>
      <c r="AI1793" t="str">
        <f t="shared" si="355"/>
        <v>Valid</v>
      </c>
      <c r="AJ1793" t="str">
        <f t="shared" si="356"/>
        <v>Valid</v>
      </c>
      <c r="AK1793" t="str">
        <f t="shared" si="363"/>
        <v xml:space="preserve">Valid </v>
      </c>
      <c r="AL1793" t="str">
        <f>IF(AND(Audit_Data[[#This Row],[Recency]]&gt;=0,Audit_Data[[#This Row],[Recency]]&lt;=100),"Valid","Invalid")</f>
        <v>Valid</v>
      </c>
      <c r="AM1793" t="str">
        <f t="shared" si="357"/>
        <v>Valid</v>
      </c>
      <c r="AN1793" t="str">
        <f t="shared" si="358"/>
        <v>Valid</v>
      </c>
      <c r="AO1793" t="str">
        <f t="shared" si="359"/>
        <v>Valid</v>
      </c>
      <c r="AP1793" t="str">
        <f t="shared" si="360"/>
        <v>Valid</v>
      </c>
      <c r="AQ1793" t="str">
        <f>IF(Audit_Data[[#This Row],[Z_CostContact]]=3,"Valid","Invalid")</f>
        <v>Valid</v>
      </c>
      <c r="AR1793" t="str">
        <f t="shared" si="361"/>
        <v>Valid</v>
      </c>
      <c r="AS1793" t="str">
        <f t="shared" si="362"/>
        <v>Valid</v>
      </c>
    </row>
    <row r="1794" spans="1:45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 t="str">
        <f t="shared" ref="AD1794:AD1857" si="364">IF(COUNTIF(A:A,A1794)&gt;1,"Duplicate","Ok")</f>
        <v>Ok</v>
      </c>
      <c r="AE1794" t="str">
        <f>IF(AND(Audit_Data[[#This Row],[Year_Birth]]&gt;=1900,Audit_Data[[#This Row],[Year_Birth]]&lt;=2010),"OK","Invalid")</f>
        <v>OK</v>
      </c>
      <c r="AF1794" t="str">
        <f t="shared" ref="AF1794:AF1857" si="365">IF(OR(C1794="Graduation",C1794="phD",C1794="Master",C1794="Basic",C1794="2n Cycle"),"Valid","Invalid")</f>
        <v>Valid</v>
      </c>
      <c r="AG1794" t="str">
        <f t="shared" ref="AG1794:AG1857" si="366">IF(OR(D1794="Single",D1794="Married",D1794="Divorced",D1794="Together",D1794="Widow",D1794="Alone"),"Valid","Invalid")</f>
        <v>Valid</v>
      </c>
      <c r="AH1794" t="str">
        <f t="shared" ref="AH1794:AH1857" si="367">IF(AND(ISNUMBER(E1794),E1794&lt;&gt;""),"Valid","Invalid")</f>
        <v>Valid</v>
      </c>
      <c r="AI1794" t="str">
        <f t="shared" ref="AI1794:AI1857" si="368">IF(AND(F1794&gt;=0,F1794&lt;=2),"Valid","Invalid")</f>
        <v>Valid</v>
      </c>
      <c r="AJ1794" t="str">
        <f t="shared" ref="AJ1794:AJ1857" si="369">IF(AND(G1794&gt;=0,G1794&lt;=2),"Valid","Invalid")</f>
        <v>Valid</v>
      </c>
      <c r="AK1794" t="str">
        <f t="shared" si="363"/>
        <v xml:space="preserve">Valid </v>
      </c>
      <c r="AL1794" t="str">
        <f>IF(AND(Audit_Data[[#This Row],[Recency]]&gt;=0,Audit_Data[[#This Row],[Recency]]&lt;=100),"Valid","Invalid")</f>
        <v>Valid</v>
      </c>
      <c r="AM1794" t="str">
        <f t="shared" ref="AM1794:AM1857" si="370">IF(AND(ISNUMBER(J1794),J1794&gt;=0,ISNUMBER(K1794),K1794&gt;=0,ISNUMBER(L1794),L1794&gt;=0,ISNUMBER(M1794),M1794&gt;=0,ISNUMBER(N1794),N1794&gt;=0,ISNUMBER(O1794),O1794&gt;=0),"Valid","Invalid")</f>
        <v>Valid</v>
      </c>
      <c r="AN1794" t="str">
        <f t="shared" ref="AN1794:AN1857" si="371">IF(AND(ISNUMBER(P1794),P1794&gt;=0,ISNUMBER(Q1794),Q1794&gt;=0,ISNUMBER(R1794),R1794&gt;=0,ISNUMBER(S1794),S1794&gt;=0,ISNUMBER(T1794),T1794&gt;=0),"Valid","Invalid")</f>
        <v>Valid</v>
      </c>
      <c r="AO1794" t="str">
        <f t="shared" ref="AO1794:AO1857" si="372">IF(AND(U1794&lt;=1,V1794&lt;=1,W1794&lt;=1,X1794&lt;=1,Y1794&lt;=1),"Valid","Invalid")</f>
        <v>Valid</v>
      </c>
      <c r="AP1794" t="str">
        <f t="shared" ref="AP1794:AP1857" si="373">IF(OR(Z1794=0,Z1794=1),"Valid","Invalid")</f>
        <v>Valid</v>
      </c>
      <c r="AQ1794" t="str">
        <f>IF(Audit_Data[[#This Row],[Z_CostContact]]=3,"Valid","Invalid")</f>
        <v>Valid</v>
      </c>
      <c r="AR1794" t="str">
        <f t="shared" ref="AR1794:AR1857" si="374">IF(AB1794=11,"Valid","Invalid")</f>
        <v>Valid</v>
      </c>
      <c r="AS1794" t="str">
        <f t="shared" ref="AS1794:AS1857" si="375">IF(OR(AC1794=0,AC1794=1),"Valid","Invalid")</f>
        <v>Valid</v>
      </c>
    </row>
    <row r="1795" spans="1:45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 t="str">
        <f t="shared" si="364"/>
        <v>Ok</v>
      </c>
      <c r="AE1795" t="str">
        <f>IF(AND(Audit_Data[[#This Row],[Year_Birth]]&gt;=1900,Audit_Data[[#This Row],[Year_Birth]]&lt;=2010),"OK","Invalid")</f>
        <v>OK</v>
      </c>
      <c r="AF1795" t="str">
        <f t="shared" si="365"/>
        <v>Valid</v>
      </c>
      <c r="AG1795" t="str">
        <f t="shared" si="366"/>
        <v>Valid</v>
      </c>
      <c r="AH1795" t="str">
        <f t="shared" si="367"/>
        <v>Valid</v>
      </c>
      <c r="AI1795" t="str">
        <f t="shared" si="368"/>
        <v>Valid</v>
      </c>
      <c r="AJ1795" t="str">
        <f t="shared" si="369"/>
        <v>Valid</v>
      </c>
      <c r="AK1795" t="str">
        <f t="shared" ref="AK1795:AK1858" si="376">IF(AND(ISNUMBER(H1795),H1795&gt;=DATE(2012,1,1),H1795&lt;=DATE(2014,12,31)),"Valid ","Invalid")</f>
        <v xml:space="preserve">Valid </v>
      </c>
      <c r="AL1795" t="str">
        <f>IF(AND(Audit_Data[[#This Row],[Recency]]&gt;=0,Audit_Data[[#This Row],[Recency]]&lt;=100),"Valid","Invalid")</f>
        <v>Valid</v>
      </c>
      <c r="AM1795" t="str">
        <f t="shared" si="370"/>
        <v>Valid</v>
      </c>
      <c r="AN1795" t="str">
        <f t="shared" si="371"/>
        <v>Valid</v>
      </c>
      <c r="AO1795" t="str">
        <f t="shared" si="372"/>
        <v>Valid</v>
      </c>
      <c r="AP1795" t="str">
        <f t="shared" si="373"/>
        <v>Valid</v>
      </c>
      <c r="AQ1795" t="str">
        <f>IF(Audit_Data[[#This Row],[Z_CostContact]]=3,"Valid","Invalid")</f>
        <v>Valid</v>
      </c>
      <c r="AR1795" t="str">
        <f t="shared" si="374"/>
        <v>Valid</v>
      </c>
      <c r="AS1795" t="str">
        <f t="shared" si="375"/>
        <v>Valid</v>
      </c>
    </row>
    <row r="1796" spans="1:45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 t="str">
        <f t="shared" si="364"/>
        <v>Ok</v>
      </c>
      <c r="AE1796" t="str">
        <f>IF(AND(Audit_Data[[#This Row],[Year_Birth]]&gt;=1900,Audit_Data[[#This Row],[Year_Birth]]&lt;=2010),"OK","Invalid")</f>
        <v>OK</v>
      </c>
      <c r="AF1796" t="str">
        <f t="shared" si="365"/>
        <v>Valid</v>
      </c>
      <c r="AG1796" t="str">
        <f t="shared" si="366"/>
        <v>Valid</v>
      </c>
      <c r="AH1796" t="str">
        <f t="shared" si="367"/>
        <v>Valid</v>
      </c>
      <c r="AI1796" t="str">
        <f t="shared" si="368"/>
        <v>Valid</v>
      </c>
      <c r="AJ1796" t="str">
        <f t="shared" si="369"/>
        <v>Valid</v>
      </c>
      <c r="AK1796" t="str">
        <f t="shared" si="376"/>
        <v xml:space="preserve">Valid </v>
      </c>
      <c r="AL1796" t="str">
        <f>IF(AND(Audit_Data[[#This Row],[Recency]]&gt;=0,Audit_Data[[#This Row],[Recency]]&lt;=100),"Valid","Invalid")</f>
        <v>Valid</v>
      </c>
      <c r="AM1796" t="str">
        <f t="shared" si="370"/>
        <v>Valid</v>
      </c>
      <c r="AN1796" t="str">
        <f t="shared" si="371"/>
        <v>Valid</v>
      </c>
      <c r="AO1796" t="str">
        <f t="shared" si="372"/>
        <v>Valid</v>
      </c>
      <c r="AP1796" t="str">
        <f t="shared" si="373"/>
        <v>Valid</v>
      </c>
      <c r="AQ1796" t="str">
        <f>IF(Audit_Data[[#This Row],[Z_CostContact]]=3,"Valid","Invalid")</f>
        <v>Valid</v>
      </c>
      <c r="AR1796" t="str">
        <f t="shared" si="374"/>
        <v>Valid</v>
      </c>
      <c r="AS1796" t="str">
        <f t="shared" si="375"/>
        <v>Valid</v>
      </c>
    </row>
    <row r="1797" spans="1:45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 t="str">
        <f t="shared" si="364"/>
        <v>Ok</v>
      </c>
      <c r="AE1797" t="str">
        <f>IF(AND(Audit_Data[[#This Row],[Year_Birth]]&gt;=1900,Audit_Data[[#This Row],[Year_Birth]]&lt;=2010),"OK","Invalid")</f>
        <v>OK</v>
      </c>
      <c r="AF1797" t="str">
        <f t="shared" si="365"/>
        <v>Valid</v>
      </c>
      <c r="AG1797" t="str">
        <f t="shared" si="366"/>
        <v>Valid</v>
      </c>
      <c r="AH1797" t="str">
        <f t="shared" si="367"/>
        <v>Valid</v>
      </c>
      <c r="AI1797" t="str">
        <f t="shared" si="368"/>
        <v>Valid</v>
      </c>
      <c r="AJ1797" t="str">
        <f t="shared" si="369"/>
        <v>Valid</v>
      </c>
      <c r="AK1797" t="str">
        <f t="shared" si="376"/>
        <v xml:space="preserve">Valid </v>
      </c>
      <c r="AL1797" t="str">
        <f>IF(AND(Audit_Data[[#This Row],[Recency]]&gt;=0,Audit_Data[[#This Row],[Recency]]&lt;=100),"Valid","Invalid")</f>
        <v>Valid</v>
      </c>
      <c r="AM1797" t="str">
        <f t="shared" si="370"/>
        <v>Valid</v>
      </c>
      <c r="AN1797" t="str">
        <f t="shared" si="371"/>
        <v>Valid</v>
      </c>
      <c r="AO1797" t="str">
        <f t="shared" si="372"/>
        <v>Valid</v>
      </c>
      <c r="AP1797" t="str">
        <f t="shared" si="373"/>
        <v>Valid</v>
      </c>
      <c r="AQ1797" t="str">
        <f>IF(Audit_Data[[#This Row],[Z_CostContact]]=3,"Valid","Invalid")</f>
        <v>Valid</v>
      </c>
      <c r="AR1797" t="str">
        <f t="shared" si="374"/>
        <v>Valid</v>
      </c>
      <c r="AS1797" t="str">
        <f t="shared" si="375"/>
        <v>Valid</v>
      </c>
    </row>
    <row r="1798" spans="1:45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 t="str">
        <f t="shared" si="364"/>
        <v>Ok</v>
      </c>
      <c r="AE1798" t="str">
        <f>IF(AND(Audit_Data[[#This Row],[Year_Birth]]&gt;=1900,Audit_Data[[#This Row],[Year_Birth]]&lt;=2010),"OK","Invalid")</f>
        <v>OK</v>
      </c>
      <c r="AF1798" t="str">
        <f t="shared" si="365"/>
        <v>Valid</v>
      </c>
      <c r="AG1798" t="str">
        <f t="shared" si="366"/>
        <v>Valid</v>
      </c>
      <c r="AH1798" t="str">
        <f t="shared" si="367"/>
        <v>Valid</v>
      </c>
      <c r="AI1798" t="str">
        <f t="shared" si="368"/>
        <v>Valid</v>
      </c>
      <c r="AJ1798" t="str">
        <f t="shared" si="369"/>
        <v>Valid</v>
      </c>
      <c r="AK1798" t="str">
        <f t="shared" si="376"/>
        <v xml:space="preserve">Valid </v>
      </c>
      <c r="AL1798" t="str">
        <f>IF(AND(Audit_Data[[#This Row],[Recency]]&gt;=0,Audit_Data[[#This Row],[Recency]]&lt;=100),"Valid","Invalid")</f>
        <v>Valid</v>
      </c>
      <c r="AM1798" t="str">
        <f t="shared" si="370"/>
        <v>Valid</v>
      </c>
      <c r="AN1798" t="str">
        <f t="shared" si="371"/>
        <v>Valid</v>
      </c>
      <c r="AO1798" t="str">
        <f t="shared" si="372"/>
        <v>Valid</v>
      </c>
      <c r="AP1798" t="str">
        <f t="shared" si="373"/>
        <v>Valid</v>
      </c>
      <c r="AQ1798" t="str">
        <f>IF(Audit_Data[[#This Row],[Z_CostContact]]=3,"Valid","Invalid")</f>
        <v>Valid</v>
      </c>
      <c r="AR1798" t="str">
        <f t="shared" si="374"/>
        <v>Valid</v>
      </c>
      <c r="AS1798" t="str">
        <f t="shared" si="375"/>
        <v>Valid</v>
      </c>
    </row>
    <row r="1799" spans="1:45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 t="str">
        <f t="shared" si="364"/>
        <v>Ok</v>
      </c>
      <c r="AE1799" t="str">
        <f>IF(AND(Audit_Data[[#This Row],[Year_Birth]]&gt;=1900,Audit_Data[[#This Row],[Year_Birth]]&lt;=2010),"OK","Invalid")</f>
        <v>OK</v>
      </c>
      <c r="AF1799" t="str">
        <f t="shared" si="365"/>
        <v>Valid</v>
      </c>
      <c r="AG1799" t="str">
        <f t="shared" si="366"/>
        <v>Valid</v>
      </c>
      <c r="AH1799" t="str">
        <f t="shared" si="367"/>
        <v>Valid</v>
      </c>
      <c r="AI1799" t="str">
        <f t="shared" si="368"/>
        <v>Valid</v>
      </c>
      <c r="AJ1799" t="str">
        <f t="shared" si="369"/>
        <v>Valid</v>
      </c>
      <c r="AK1799" t="str">
        <f t="shared" si="376"/>
        <v xml:space="preserve">Valid </v>
      </c>
      <c r="AL1799" t="str">
        <f>IF(AND(Audit_Data[[#This Row],[Recency]]&gt;=0,Audit_Data[[#This Row],[Recency]]&lt;=100),"Valid","Invalid")</f>
        <v>Valid</v>
      </c>
      <c r="AM1799" t="str">
        <f t="shared" si="370"/>
        <v>Valid</v>
      </c>
      <c r="AN1799" t="str">
        <f t="shared" si="371"/>
        <v>Valid</v>
      </c>
      <c r="AO1799" t="str">
        <f t="shared" si="372"/>
        <v>Valid</v>
      </c>
      <c r="AP1799" t="str">
        <f t="shared" si="373"/>
        <v>Valid</v>
      </c>
      <c r="AQ1799" t="str">
        <f>IF(Audit_Data[[#This Row],[Z_CostContact]]=3,"Valid","Invalid")</f>
        <v>Valid</v>
      </c>
      <c r="AR1799" t="str">
        <f t="shared" si="374"/>
        <v>Valid</v>
      </c>
      <c r="AS1799" t="str">
        <f t="shared" si="375"/>
        <v>Valid</v>
      </c>
    </row>
    <row r="1800" spans="1:45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 t="str">
        <f t="shared" si="364"/>
        <v>Ok</v>
      </c>
      <c r="AE1800" t="str">
        <f>IF(AND(Audit_Data[[#This Row],[Year_Birth]]&gt;=1900,Audit_Data[[#This Row],[Year_Birth]]&lt;=2010),"OK","Invalid")</f>
        <v>OK</v>
      </c>
      <c r="AF1800" t="str">
        <f t="shared" si="365"/>
        <v>Valid</v>
      </c>
      <c r="AG1800" t="str">
        <f t="shared" si="366"/>
        <v>Valid</v>
      </c>
      <c r="AH1800" t="str">
        <f t="shared" si="367"/>
        <v>Valid</v>
      </c>
      <c r="AI1800" t="str">
        <f t="shared" si="368"/>
        <v>Valid</v>
      </c>
      <c r="AJ1800" t="str">
        <f t="shared" si="369"/>
        <v>Valid</v>
      </c>
      <c r="AK1800" t="str">
        <f t="shared" si="376"/>
        <v xml:space="preserve">Valid </v>
      </c>
      <c r="AL1800" t="str">
        <f>IF(AND(Audit_Data[[#This Row],[Recency]]&gt;=0,Audit_Data[[#This Row],[Recency]]&lt;=100),"Valid","Invalid")</f>
        <v>Valid</v>
      </c>
      <c r="AM1800" t="str">
        <f t="shared" si="370"/>
        <v>Valid</v>
      </c>
      <c r="AN1800" t="str">
        <f t="shared" si="371"/>
        <v>Valid</v>
      </c>
      <c r="AO1800" t="str">
        <f t="shared" si="372"/>
        <v>Valid</v>
      </c>
      <c r="AP1800" t="str">
        <f t="shared" si="373"/>
        <v>Valid</v>
      </c>
      <c r="AQ1800" t="str">
        <f>IF(Audit_Data[[#This Row],[Z_CostContact]]=3,"Valid","Invalid")</f>
        <v>Valid</v>
      </c>
      <c r="AR1800" t="str">
        <f t="shared" si="374"/>
        <v>Valid</v>
      </c>
      <c r="AS1800" t="str">
        <f t="shared" si="375"/>
        <v>Valid</v>
      </c>
    </row>
    <row r="1801" spans="1:45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 t="str">
        <f t="shared" si="364"/>
        <v>Ok</v>
      </c>
      <c r="AE1801" t="str">
        <f>IF(AND(Audit_Data[[#This Row],[Year_Birth]]&gt;=1900,Audit_Data[[#This Row],[Year_Birth]]&lt;=2010),"OK","Invalid")</f>
        <v>OK</v>
      </c>
      <c r="AF1801" t="str">
        <f t="shared" si="365"/>
        <v>Valid</v>
      </c>
      <c r="AG1801" t="str">
        <f t="shared" si="366"/>
        <v>Valid</v>
      </c>
      <c r="AH1801" t="str">
        <f t="shared" si="367"/>
        <v>Valid</v>
      </c>
      <c r="AI1801" t="str">
        <f t="shared" si="368"/>
        <v>Valid</v>
      </c>
      <c r="AJ1801" t="str">
        <f t="shared" si="369"/>
        <v>Valid</v>
      </c>
      <c r="AK1801" t="str">
        <f t="shared" si="376"/>
        <v xml:space="preserve">Valid </v>
      </c>
      <c r="AL1801" t="str">
        <f>IF(AND(Audit_Data[[#This Row],[Recency]]&gt;=0,Audit_Data[[#This Row],[Recency]]&lt;=100),"Valid","Invalid")</f>
        <v>Valid</v>
      </c>
      <c r="AM1801" t="str">
        <f t="shared" si="370"/>
        <v>Valid</v>
      </c>
      <c r="AN1801" t="str">
        <f t="shared" si="371"/>
        <v>Valid</v>
      </c>
      <c r="AO1801" t="str">
        <f t="shared" si="372"/>
        <v>Valid</v>
      </c>
      <c r="AP1801" t="str">
        <f t="shared" si="373"/>
        <v>Valid</v>
      </c>
      <c r="AQ1801" t="str">
        <f>IF(Audit_Data[[#This Row],[Z_CostContact]]=3,"Valid","Invalid")</f>
        <v>Valid</v>
      </c>
      <c r="AR1801" t="str">
        <f t="shared" si="374"/>
        <v>Valid</v>
      </c>
      <c r="AS1801" t="str">
        <f t="shared" si="375"/>
        <v>Valid</v>
      </c>
    </row>
    <row r="1802" spans="1:45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 t="str">
        <f t="shared" si="364"/>
        <v>Ok</v>
      </c>
      <c r="AE1802" t="str">
        <f>IF(AND(Audit_Data[[#This Row],[Year_Birth]]&gt;=1900,Audit_Data[[#This Row],[Year_Birth]]&lt;=2010),"OK","Invalid")</f>
        <v>OK</v>
      </c>
      <c r="AF1802" t="str">
        <f t="shared" si="365"/>
        <v>Valid</v>
      </c>
      <c r="AG1802" t="str">
        <f t="shared" si="366"/>
        <v>Valid</v>
      </c>
      <c r="AH1802" t="str">
        <f t="shared" si="367"/>
        <v>Valid</v>
      </c>
      <c r="AI1802" t="str">
        <f t="shared" si="368"/>
        <v>Valid</v>
      </c>
      <c r="AJ1802" t="str">
        <f t="shared" si="369"/>
        <v>Valid</v>
      </c>
      <c r="AK1802" t="str">
        <f t="shared" si="376"/>
        <v xml:space="preserve">Valid </v>
      </c>
      <c r="AL1802" t="str">
        <f>IF(AND(Audit_Data[[#This Row],[Recency]]&gt;=0,Audit_Data[[#This Row],[Recency]]&lt;=100),"Valid","Invalid")</f>
        <v>Valid</v>
      </c>
      <c r="AM1802" t="str">
        <f t="shared" si="370"/>
        <v>Valid</v>
      </c>
      <c r="AN1802" t="str">
        <f t="shared" si="371"/>
        <v>Valid</v>
      </c>
      <c r="AO1802" t="str">
        <f t="shared" si="372"/>
        <v>Valid</v>
      </c>
      <c r="AP1802" t="str">
        <f t="shared" si="373"/>
        <v>Valid</v>
      </c>
      <c r="AQ1802" t="str">
        <f>IF(Audit_Data[[#This Row],[Z_CostContact]]=3,"Valid","Invalid")</f>
        <v>Valid</v>
      </c>
      <c r="AR1802" t="str">
        <f t="shared" si="374"/>
        <v>Valid</v>
      </c>
      <c r="AS1802" t="str">
        <f t="shared" si="375"/>
        <v>Valid</v>
      </c>
    </row>
    <row r="1803" spans="1:45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 t="str">
        <f t="shared" si="364"/>
        <v>Ok</v>
      </c>
      <c r="AE1803" t="str">
        <f>IF(AND(Audit_Data[[#This Row],[Year_Birth]]&gt;=1900,Audit_Data[[#This Row],[Year_Birth]]&lt;=2010),"OK","Invalid")</f>
        <v>OK</v>
      </c>
      <c r="AF1803" t="str">
        <f t="shared" si="365"/>
        <v>Valid</v>
      </c>
      <c r="AG1803" t="str">
        <f t="shared" si="366"/>
        <v>Valid</v>
      </c>
      <c r="AH1803" t="str">
        <f t="shared" si="367"/>
        <v>Valid</v>
      </c>
      <c r="AI1803" t="str">
        <f t="shared" si="368"/>
        <v>Valid</v>
      </c>
      <c r="AJ1803" t="str">
        <f t="shared" si="369"/>
        <v>Valid</v>
      </c>
      <c r="AK1803" t="str">
        <f t="shared" si="376"/>
        <v xml:space="preserve">Valid </v>
      </c>
      <c r="AL1803" t="str">
        <f>IF(AND(Audit_Data[[#This Row],[Recency]]&gt;=0,Audit_Data[[#This Row],[Recency]]&lt;=100),"Valid","Invalid")</f>
        <v>Valid</v>
      </c>
      <c r="AM1803" t="str">
        <f t="shared" si="370"/>
        <v>Valid</v>
      </c>
      <c r="AN1803" t="str">
        <f t="shared" si="371"/>
        <v>Valid</v>
      </c>
      <c r="AO1803" t="str">
        <f t="shared" si="372"/>
        <v>Valid</v>
      </c>
      <c r="AP1803" t="str">
        <f t="shared" si="373"/>
        <v>Valid</v>
      </c>
      <c r="AQ1803" t="str">
        <f>IF(Audit_Data[[#This Row],[Z_CostContact]]=3,"Valid","Invalid")</f>
        <v>Valid</v>
      </c>
      <c r="AR1803" t="str">
        <f t="shared" si="374"/>
        <v>Valid</v>
      </c>
      <c r="AS1803" t="str">
        <f t="shared" si="375"/>
        <v>Valid</v>
      </c>
    </row>
    <row r="1804" spans="1:45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 t="str">
        <f t="shared" si="364"/>
        <v>Ok</v>
      </c>
      <c r="AE1804" t="str">
        <f>IF(AND(Audit_Data[[#This Row],[Year_Birth]]&gt;=1900,Audit_Data[[#This Row],[Year_Birth]]&lt;=2010),"OK","Invalid")</f>
        <v>OK</v>
      </c>
      <c r="AF1804" t="str">
        <f t="shared" si="365"/>
        <v>Valid</v>
      </c>
      <c r="AG1804" t="str">
        <f t="shared" si="366"/>
        <v>Valid</v>
      </c>
      <c r="AH1804" t="str">
        <f t="shared" si="367"/>
        <v>Valid</v>
      </c>
      <c r="AI1804" t="str">
        <f t="shared" si="368"/>
        <v>Valid</v>
      </c>
      <c r="AJ1804" t="str">
        <f t="shared" si="369"/>
        <v>Valid</v>
      </c>
      <c r="AK1804" t="str">
        <f t="shared" si="376"/>
        <v xml:space="preserve">Valid </v>
      </c>
      <c r="AL1804" t="str">
        <f>IF(AND(Audit_Data[[#This Row],[Recency]]&gt;=0,Audit_Data[[#This Row],[Recency]]&lt;=100),"Valid","Invalid")</f>
        <v>Valid</v>
      </c>
      <c r="AM1804" t="str">
        <f t="shared" si="370"/>
        <v>Valid</v>
      </c>
      <c r="AN1804" t="str">
        <f t="shared" si="371"/>
        <v>Valid</v>
      </c>
      <c r="AO1804" t="str">
        <f t="shared" si="372"/>
        <v>Valid</v>
      </c>
      <c r="AP1804" t="str">
        <f t="shared" si="373"/>
        <v>Valid</v>
      </c>
      <c r="AQ1804" t="str">
        <f>IF(Audit_Data[[#This Row],[Z_CostContact]]=3,"Valid","Invalid")</f>
        <v>Valid</v>
      </c>
      <c r="AR1804" t="str">
        <f t="shared" si="374"/>
        <v>Valid</v>
      </c>
      <c r="AS1804" t="str">
        <f t="shared" si="375"/>
        <v>Valid</v>
      </c>
    </row>
    <row r="1805" spans="1:45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 t="str">
        <f t="shared" si="364"/>
        <v>Ok</v>
      </c>
      <c r="AE1805" t="str">
        <f>IF(AND(Audit_Data[[#This Row],[Year_Birth]]&gt;=1900,Audit_Data[[#This Row],[Year_Birth]]&lt;=2010),"OK","Invalid")</f>
        <v>OK</v>
      </c>
      <c r="AF1805" t="str">
        <f t="shared" si="365"/>
        <v>Valid</v>
      </c>
      <c r="AG1805" t="str">
        <f t="shared" si="366"/>
        <v>Valid</v>
      </c>
      <c r="AH1805" t="str">
        <f t="shared" si="367"/>
        <v>Valid</v>
      </c>
      <c r="AI1805" t="str">
        <f t="shared" si="368"/>
        <v>Valid</v>
      </c>
      <c r="AJ1805" t="str">
        <f t="shared" si="369"/>
        <v>Valid</v>
      </c>
      <c r="AK1805" t="str">
        <f t="shared" si="376"/>
        <v xml:space="preserve">Valid </v>
      </c>
      <c r="AL1805" t="str">
        <f>IF(AND(Audit_Data[[#This Row],[Recency]]&gt;=0,Audit_Data[[#This Row],[Recency]]&lt;=100),"Valid","Invalid")</f>
        <v>Valid</v>
      </c>
      <c r="AM1805" t="str">
        <f t="shared" si="370"/>
        <v>Valid</v>
      </c>
      <c r="AN1805" t="str">
        <f t="shared" si="371"/>
        <v>Valid</v>
      </c>
      <c r="AO1805" t="str">
        <f t="shared" si="372"/>
        <v>Valid</v>
      </c>
      <c r="AP1805" t="str">
        <f t="shared" si="373"/>
        <v>Valid</v>
      </c>
      <c r="AQ1805" t="str">
        <f>IF(Audit_Data[[#This Row],[Z_CostContact]]=3,"Valid","Invalid")</f>
        <v>Valid</v>
      </c>
      <c r="AR1805" t="str">
        <f t="shared" si="374"/>
        <v>Valid</v>
      </c>
      <c r="AS1805" t="str">
        <f t="shared" si="375"/>
        <v>Valid</v>
      </c>
    </row>
    <row r="1806" spans="1:45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 t="str">
        <f t="shared" si="364"/>
        <v>Ok</v>
      </c>
      <c r="AE1806" t="str">
        <f>IF(AND(Audit_Data[[#This Row],[Year_Birth]]&gt;=1900,Audit_Data[[#This Row],[Year_Birth]]&lt;=2010),"OK","Invalid")</f>
        <v>OK</v>
      </c>
      <c r="AF1806" t="str">
        <f t="shared" si="365"/>
        <v>Valid</v>
      </c>
      <c r="AG1806" t="str">
        <f t="shared" si="366"/>
        <v>Valid</v>
      </c>
      <c r="AH1806" t="str">
        <f t="shared" si="367"/>
        <v>Valid</v>
      </c>
      <c r="AI1806" t="str">
        <f t="shared" si="368"/>
        <v>Valid</v>
      </c>
      <c r="AJ1806" t="str">
        <f t="shared" si="369"/>
        <v>Valid</v>
      </c>
      <c r="AK1806" t="str">
        <f t="shared" si="376"/>
        <v xml:space="preserve">Valid </v>
      </c>
      <c r="AL1806" t="str">
        <f>IF(AND(Audit_Data[[#This Row],[Recency]]&gt;=0,Audit_Data[[#This Row],[Recency]]&lt;=100),"Valid","Invalid")</f>
        <v>Valid</v>
      </c>
      <c r="AM1806" t="str">
        <f t="shared" si="370"/>
        <v>Valid</v>
      </c>
      <c r="AN1806" t="str">
        <f t="shared" si="371"/>
        <v>Valid</v>
      </c>
      <c r="AO1806" t="str">
        <f t="shared" si="372"/>
        <v>Valid</v>
      </c>
      <c r="AP1806" t="str">
        <f t="shared" si="373"/>
        <v>Valid</v>
      </c>
      <c r="AQ1806" t="str">
        <f>IF(Audit_Data[[#This Row],[Z_CostContact]]=3,"Valid","Invalid")</f>
        <v>Valid</v>
      </c>
      <c r="AR1806" t="str">
        <f t="shared" si="374"/>
        <v>Valid</v>
      </c>
      <c r="AS1806" t="str">
        <f t="shared" si="375"/>
        <v>Valid</v>
      </c>
    </row>
    <row r="1807" spans="1:45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 t="str">
        <f t="shared" si="364"/>
        <v>Ok</v>
      </c>
      <c r="AE1807" t="str">
        <f>IF(AND(Audit_Data[[#This Row],[Year_Birth]]&gt;=1900,Audit_Data[[#This Row],[Year_Birth]]&lt;=2010),"OK","Invalid")</f>
        <v>OK</v>
      </c>
      <c r="AF1807" t="str">
        <f t="shared" si="365"/>
        <v>Valid</v>
      </c>
      <c r="AG1807" t="str">
        <f t="shared" si="366"/>
        <v>Valid</v>
      </c>
      <c r="AH1807" t="str">
        <f t="shared" si="367"/>
        <v>Valid</v>
      </c>
      <c r="AI1807" t="str">
        <f t="shared" si="368"/>
        <v>Valid</v>
      </c>
      <c r="AJ1807" t="str">
        <f t="shared" si="369"/>
        <v>Valid</v>
      </c>
      <c r="AK1807" t="str">
        <f t="shared" si="376"/>
        <v xml:space="preserve">Valid </v>
      </c>
      <c r="AL1807" t="str">
        <f>IF(AND(Audit_Data[[#This Row],[Recency]]&gt;=0,Audit_Data[[#This Row],[Recency]]&lt;=100),"Valid","Invalid")</f>
        <v>Valid</v>
      </c>
      <c r="AM1807" t="str">
        <f t="shared" si="370"/>
        <v>Valid</v>
      </c>
      <c r="AN1807" t="str">
        <f t="shared" si="371"/>
        <v>Valid</v>
      </c>
      <c r="AO1807" t="str">
        <f t="shared" si="372"/>
        <v>Valid</v>
      </c>
      <c r="AP1807" t="str">
        <f t="shared" si="373"/>
        <v>Valid</v>
      </c>
      <c r="AQ1807" t="str">
        <f>IF(Audit_Data[[#This Row],[Z_CostContact]]=3,"Valid","Invalid")</f>
        <v>Valid</v>
      </c>
      <c r="AR1807" t="str">
        <f t="shared" si="374"/>
        <v>Valid</v>
      </c>
      <c r="AS1807" t="str">
        <f t="shared" si="375"/>
        <v>Valid</v>
      </c>
    </row>
    <row r="1808" spans="1:45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 t="str">
        <f t="shared" si="364"/>
        <v>Ok</v>
      </c>
      <c r="AE1808" t="str">
        <f>IF(AND(Audit_Data[[#This Row],[Year_Birth]]&gt;=1900,Audit_Data[[#This Row],[Year_Birth]]&lt;=2010),"OK","Invalid")</f>
        <v>OK</v>
      </c>
      <c r="AF1808" t="str">
        <f t="shared" si="365"/>
        <v>Valid</v>
      </c>
      <c r="AG1808" t="str">
        <f t="shared" si="366"/>
        <v>Valid</v>
      </c>
      <c r="AH1808" t="str">
        <f t="shared" si="367"/>
        <v>Valid</v>
      </c>
      <c r="AI1808" t="str">
        <f t="shared" si="368"/>
        <v>Valid</v>
      </c>
      <c r="AJ1808" t="str">
        <f t="shared" si="369"/>
        <v>Valid</v>
      </c>
      <c r="AK1808" t="str">
        <f t="shared" si="376"/>
        <v xml:space="preserve">Valid </v>
      </c>
      <c r="AL1808" t="str">
        <f>IF(AND(Audit_Data[[#This Row],[Recency]]&gt;=0,Audit_Data[[#This Row],[Recency]]&lt;=100),"Valid","Invalid")</f>
        <v>Valid</v>
      </c>
      <c r="AM1808" t="str">
        <f t="shared" si="370"/>
        <v>Valid</v>
      </c>
      <c r="AN1808" t="str">
        <f t="shared" si="371"/>
        <v>Valid</v>
      </c>
      <c r="AO1808" t="str">
        <f t="shared" si="372"/>
        <v>Valid</v>
      </c>
      <c r="AP1808" t="str">
        <f t="shared" si="373"/>
        <v>Valid</v>
      </c>
      <c r="AQ1808" t="str">
        <f>IF(Audit_Data[[#This Row],[Z_CostContact]]=3,"Valid","Invalid")</f>
        <v>Valid</v>
      </c>
      <c r="AR1808" t="str">
        <f t="shared" si="374"/>
        <v>Valid</v>
      </c>
      <c r="AS1808" t="str">
        <f t="shared" si="375"/>
        <v>Valid</v>
      </c>
    </row>
    <row r="1809" spans="1:45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 t="str">
        <f t="shared" si="364"/>
        <v>Ok</v>
      </c>
      <c r="AE1809" t="str">
        <f>IF(AND(Audit_Data[[#This Row],[Year_Birth]]&gt;=1900,Audit_Data[[#This Row],[Year_Birth]]&lt;=2010),"OK","Invalid")</f>
        <v>OK</v>
      </c>
      <c r="AF1809" t="str">
        <f t="shared" si="365"/>
        <v>Valid</v>
      </c>
      <c r="AG1809" t="str">
        <f t="shared" si="366"/>
        <v>Valid</v>
      </c>
      <c r="AH1809" t="str">
        <f t="shared" si="367"/>
        <v>Valid</v>
      </c>
      <c r="AI1809" t="str">
        <f t="shared" si="368"/>
        <v>Valid</v>
      </c>
      <c r="AJ1809" t="str">
        <f t="shared" si="369"/>
        <v>Valid</v>
      </c>
      <c r="AK1809" t="str">
        <f t="shared" si="376"/>
        <v xml:space="preserve">Valid </v>
      </c>
      <c r="AL1809" t="str">
        <f>IF(AND(Audit_Data[[#This Row],[Recency]]&gt;=0,Audit_Data[[#This Row],[Recency]]&lt;=100),"Valid","Invalid")</f>
        <v>Valid</v>
      </c>
      <c r="AM1809" t="str">
        <f t="shared" si="370"/>
        <v>Valid</v>
      </c>
      <c r="AN1809" t="str">
        <f t="shared" si="371"/>
        <v>Valid</v>
      </c>
      <c r="AO1809" t="str">
        <f t="shared" si="372"/>
        <v>Valid</v>
      </c>
      <c r="AP1809" t="str">
        <f t="shared" si="373"/>
        <v>Valid</v>
      </c>
      <c r="AQ1809" t="str">
        <f>IF(Audit_Data[[#This Row],[Z_CostContact]]=3,"Valid","Invalid")</f>
        <v>Valid</v>
      </c>
      <c r="AR1809" t="str">
        <f t="shared" si="374"/>
        <v>Valid</v>
      </c>
      <c r="AS1809" t="str">
        <f t="shared" si="375"/>
        <v>Valid</v>
      </c>
    </row>
    <row r="1810" spans="1:45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 t="str">
        <f t="shared" si="364"/>
        <v>Ok</v>
      </c>
      <c r="AE1810" t="str">
        <f>IF(AND(Audit_Data[[#This Row],[Year_Birth]]&gt;=1900,Audit_Data[[#This Row],[Year_Birth]]&lt;=2010),"OK","Invalid")</f>
        <v>OK</v>
      </c>
      <c r="AF1810" t="str">
        <f t="shared" si="365"/>
        <v>Valid</v>
      </c>
      <c r="AG1810" t="str">
        <f t="shared" si="366"/>
        <v>Valid</v>
      </c>
      <c r="AH1810" t="str">
        <f t="shared" si="367"/>
        <v>Valid</v>
      </c>
      <c r="AI1810" t="str">
        <f t="shared" si="368"/>
        <v>Valid</v>
      </c>
      <c r="AJ1810" t="str">
        <f t="shared" si="369"/>
        <v>Valid</v>
      </c>
      <c r="AK1810" t="str">
        <f t="shared" si="376"/>
        <v xml:space="preserve">Valid </v>
      </c>
      <c r="AL1810" t="str">
        <f>IF(AND(Audit_Data[[#This Row],[Recency]]&gt;=0,Audit_Data[[#This Row],[Recency]]&lt;=100),"Valid","Invalid")</f>
        <v>Valid</v>
      </c>
      <c r="AM1810" t="str">
        <f t="shared" si="370"/>
        <v>Valid</v>
      </c>
      <c r="AN1810" t="str">
        <f t="shared" si="371"/>
        <v>Valid</v>
      </c>
      <c r="AO1810" t="str">
        <f t="shared" si="372"/>
        <v>Valid</v>
      </c>
      <c r="AP1810" t="str">
        <f t="shared" si="373"/>
        <v>Valid</v>
      </c>
      <c r="AQ1810" t="str">
        <f>IF(Audit_Data[[#This Row],[Z_CostContact]]=3,"Valid","Invalid")</f>
        <v>Valid</v>
      </c>
      <c r="AR1810" t="str">
        <f t="shared" si="374"/>
        <v>Valid</v>
      </c>
      <c r="AS1810" t="str">
        <f t="shared" si="375"/>
        <v>Valid</v>
      </c>
    </row>
    <row r="1811" spans="1:45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 t="str">
        <f t="shared" si="364"/>
        <v>Ok</v>
      </c>
      <c r="AE1811" t="str">
        <f>IF(AND(Audit_Data[[#This Row],[Year_Birth]]&gt;=1900,Audit_Data[[#This Row],[Year_Birth]]&lt;=2010),"OK","Invalid")</f>
        <v>OK</v>
      </c>
      <c r="AF1811" t="str">
        <f t="shared" si="365"/>
        <v>Valid</v>
      </c>
      <c r="AG1811" t="str">
        <f t="shared" si="366"/>
        <v>Valid</v>
      </c>
      <c r="AH1811" t="str">
        <f t="shared" si="367"/>
        <v>Valid</v>
      </c>
      <c r="AI1811" t="str">
        <f t="shared" si="368"/>
        <v>Valid</v>
      </c>
      <c r="AJ1811" t="str">
        <f t="shared" si="369"/>
        <v>Valid</v>
      </c>
      <c r="AK1811" t="str">
        <f t="shared" si="376"/>
        <v xml:space="preserve">Valid </v>
      </c>
      <c r="AL1811" t="str">
        <f>IF(AND(Audit_Data[[#This Row],[Recency]]&gt;=0,Audit_Data[[#This Row],[Recency]]&lt;=100),"Valid","Invalid")</f>
        <v>Valid</v>
      </c>
      <c r="AM1811" t="str">
        <f t="shared" si="370"/>
        <v>Valid</v>
      </c>
      <c r="AN1811" t="str">
        <f t="shared" si="371"/>
        <v>Valid</v>
      </c>
      <c r="AO1811" t="str">
        <f t="shared" si="372"/>
        <v>Valid</v>
      </c>
      <c r="AP1811" t="str">
        <f t="shared" si="373"/>
        <v>Valid</v>
      </c>
      <c r="AQ1811" t="str">
        <f>IF(Audit_Data[[#This Row],[Z_CostContact]]=3,"Valid","Invalid")</f>
        <v>Valid</v>
      </c>
      <c r="AR1811" t="str">
        <f t="shared" si="374"/>
        <v>Valid</v>
      </c>
      <c r="AS1811" t="str">
        <f t="shared" si="375"/>
        <v>Valid</v>
      </c>
    </row>
    <row r="1812" spans="1:45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 t="str">
        <f t="shared" si="364"/>
        <v>Ok</v>
      </c>
      <c r="AE1812" t="str">
        <f>IF(AND(Audit_Data[[#This Row],[Year_Birth]]&gt;=1900,Audit_Data[[#This Row],[Year_Birth]]&lt;=2010),"OK","Invalid")</f>
        <v>OK</v>
      </c>
      <c r="AF1812" t="str">
        <f t="shared" si="365"/>
        <v>Valid</v>
      </c>
      <c r="AG1812" t="str">
        <f t="shared" si="366"/>
        <v>Valid</v>
      </c>
      <c r="AH1812" t="str">
        <f t="shared" si="367"/>
        <v>Valid</v>
      </c>
      <c r="AI1812" t="str">
        <f t="shared" si="368"/>
        <v>Valid</v>
      </c>
      <c r="AJ1812" t="str">
        <f t="shared" si="369"/>
        <v>Valid</v>
      </c>
      <c r="AK1812" t="str">
        <f t="shared" si="376"/>
        <v xml:space="preserve">Valid </v>
      </c>
      <c r="AL1812" t="str">
        <f>IF(AND(Audit_Data[[#This Row],[Recency]]&gt;=0,Audit_Data[[#This Row],[Recency]]&lt;=100),"Valid","Invalid")</f>
        <v>Valid</v>
      </c>
      <c r="AM1812" t="str">
        <f t="shared" si="370"/>
        <v>Valid</v>
      </c>
      <c r="AN1812" t="str">
        <f t="shared" si="371"/>
        <v>Valid</v>
      </c>
      <c r="AO1812" t="str">
        <f t="shared" si="372"/>
        <v>Valid</v>
      </c>
      <c r="AP1812" t="str">
        <f t="shared" si="373"/>
        <v>Valid</v>
      </c>
      <c r="AQ1812" t="str">
        <f>IF(Audit_Data[[#This Row],[Z_CostContact]]=3,"Valid","Invalid")</f>
        <v>Valid</v>
      </c>
      <c r="AR1812" t="str">
        <f t="shared" si="374"/>
        <v>Valid</v>
      </c>
      <c r="AS1812" t="str">
        <f t="shared" si="375"/>
        <v>Valid</v>
      </c>
    </row>
    <row r="1813" spans="1:45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 t="str">
        <f t="shared" si="364"/>
        <v>Ok</v>
      </c>
      <c r="AE1813" t="str">
        <f>IF(AND(Audit_Data[[#This Row],[Year_Birth]]&gt;=1900,Audit_Data[[#This Row],[Year_Birth]]&lt;=2010),"OK","Invalid")</f>
        <v>OK</v>
      </c>
      <c r="AF1813" t="str">
        <f t="shared" si="365"/>
        <v>Valid</v>
      </c>
      <c r="AG1813" t="str">
        <f t="shared" si="366"/>
        <v>Valid</v>
      </c>
      <c r="AH1813" t="str">
        <f t="shared" si="367"/>
        <v>Valid</v>
      </c>
      <c r="AI1813" t="str">
        <f t="shared" si="368"/>
        <v>Valid</v>
      </c>
      <c r="AJ1813" t="str">
        <f t="shared" si="369"/>
        <v>Valid</v>
      </c>
      <c r="AK1813" t="str">
        <f t="shared" si="376"/>
        <v xml:space="preserve">Valid </v>
      </c>
      <c r="AL1813" t="str">
        <f>IF(AND(Audit_Data[[#This Row],[Recency]]&gt;=0,Audit_Data[[#This Row],[Recency]]&lt;=100),"Valid","Invalid")</f>
        <v>Valid</v>
      </c>
      <c r="AM1813" t="str">
        <f t="shared" si="370"/>
        <v>Valid</v>
      </c>
      <c r="AN1813" t="str">
        <f t="shared" si="371"/>
        <v>Valid</v>
      </c>
      <c r="AO1813" t="str">
        <f t="shared" si="372"/>
        <v>Valid</v>
      </c>
      <c r="AP1813" t="str">
        <f t="shared" si="373"/>
        <v>Valid</v>
      </c>
      <c r="AQ1813" t="str">
        <f>IF(Audit_Data[[#This Row],[Z_CostContact]]=3,"Valid","Invalid")</f>
        <v>Valid</v>
      </c>
      <c r="AR1813" t="str">
        <f t="shared" si="374"/>
        <v>Valid</v>
      </c>
      <c r="AS1813" t="str">
        <f t="shared" si="375"/>
        <v>Valid</v>
      </c>
    </row>
    <row r="1814" spans="1:45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 t="str">
        <f t="shared" si="364"/>
        <v>Ok</v>
      </c>
      <c r="AE1814" t="str">
        <f>IF(AND(Audit_Data[[#This Row],[Year_Birth]]&gt;=1900,Audit_Data[[#This Row],[Year_Birth]]&lt;=2010),"OK","Invalid")</f>
        <v>OK</v>
      </c>
      <c r="AF1814" t="str">
        <f t="shared" si="365"/>
        <v>Valid</v>
      </c>
      <c r="AG1814" t="str">
        <f t="shared" si="366"/>
        <v>Valid</v>
      </c>
      <c r="AH1814" t="str">
        <f t="shared" si="367"/>
        <v>Valid</v>
      </c>
      <c r="AI1814" t="str">
        <f t="shared" si="368"/>
        <v>Valid</v>
      </c>
      <c r="AJ1814" t="str">
        <f t="shared" si="369"/>
        <v>Valid</v>
      </c>
      <c r="AK1814" t="str">
        <f t="shared" si="376"/>
        <v xml:space="preserve">Valid </v>
      </c>
      <c r="AL1814" t="str">
        <f>IF(AND(Audit_Data[[#This Row],[Recency]]&gt;=0,Audit_Data[[#This Row],[Recency]]&lt;=100),"Valid","Invalid")</f>
        <v>Valid</v>
      </c>
      <c r="AM1814" t="str">
        <f t="shared" si="370"/>
        <v>Valid</v>
      </c>
      <c r="AN1814" t="str">
        <f t="shared" si="371"/>
        <v>Valid</v>
      </c>
      <c r="AO1814" t="str">
        <f t="shared" si="372"/>
        <v>Valid</v>
      </c>
      <c r="AP1814" t="str">
        <f t="shared" si="373"/>
        <v>Valid</v>
      </c>
      <c r="AQ1814" t="str">
        <f>IF(Audit_Data[[#This Row],[Z_CostContact]]=3,"Valid","Invalid")</f>
        <v>Valid</v>
      </c>
      <c r="AR1814" t="str">
        <f t="shared" si="374"/>
        <v>Valid</v>
      </c>
      <c r="AS1814" t="str">
        <f t="shared" si="375"/>
        <v>Valid</v>
      </c>
    </row>
    <row r="1815" spans="1:45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 t="str">
        <f t="shared" si="364"/>
        <v>Ok</v>
      </c>
      <c r="AE1815" t="str">
        <f>IF(AND(Audit_Data[[#This Row],[Year_Birth]]&gt;=1900,Audit_Data[[#This Row],[Year_Birth]]&lt;=2010),"OK","Invalid")</f>
        <v>OK</v>
      </c>
      <c r="AF1815" t="str">
        <f t="shared" si="365"/>
        <v>Valid</v>
      </c>
      <c r="AG1815" t="str">
        <f t="shared" si="366"/>
        <v>Valid</v>
      </c>
      <c r="AH1815" t="str">
        <f t="shared" si="367"/>
        <v>Valid</v>
      </c>
      <c r="AI1815" t="str">
        <f t="shared" si="368"/>
        <v>Valid</v>
      </c>
      <c r="AJ1815" t="str">
        <f t="shared" si="369"/>
        <v>Valid</v>
      </c>
      <c r="AK1815" t="str">
        <f t="shared" si="376"/>
        <v xml:space="preserve">Valid </v>
      </c>
      <c r="AL1815" t="str">
        <f>IF(AND(Audit_Data[[#This Row],[Recency]]&gt;=0,Audit_Data[[#This Row],[Recency]]&lt;=100),"Valid","Invalid")</f>
        <v>Valid</v>
      </c>
      <c r="AM1815" t="str">
        <f t="shared" si="370"/>
        <v>Valid</v>
      </c>
      <c r="AN1815" t="str">
        <f t="shared" si="371"/>
        <v>Valid</v>
      </c>
      <c r="AO1815" t="str">
        <f t="shared" si="372"/>
        <v>Valid</v>
      </c>
      <c r="AP1815" t="str">
        <f t="shared" si="373"/>
        <v>Valid</v>
      </c>
      <c r="AQ1815" t="str">
        <f>IF(Audit_Data[[#This Row],[Z_CostContact]]=3,"Valid","Invalid")</f>
        <v>Valid</v>
      </c>
      <c r="AR1815" t="str">
        <f t="shared" si="374"/>
        <v>Valid</v>
      </c>
      <c r="AS1815" t="str">
        <f t="shared" si="375"/>
        <v>Valid</v>
      </c>
    </row>
    <row r="1816" spans="1:45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 t="str">
        <f t="shared" si="364"/>
        <v>Ok</v>
      </c>
      <c r="AE1816" t="str">
        <f>IF(AND(Audit_Data[[#This Row],[Year_Birth]]&gt;=1900,Audit_Data[[#This Row],[Year_Birth]]&lt;=2010),"OK","Invalid")</f>
        <v>OK</v>
      </c>
      <c r="AF1816" t="str">
        <f t="shared" si="365"/>
        <v>Valid</v>
      </c>
      <c r="AG1816" t="str">
        <f t="shared" si="366"/>
        <v>Valid</v>
      </c>
      <c r="AH1816" t="str">
        <f t="shared" si="367"/>
        <v>Valid</v>
      </c>
      <c r="AI1816" t="str">
        <f t="shared" si="368"/>
        <v>Valid</v>
      </c>
      <c r="AJ1816" t="str">
        <f t="shared" si="369"/>
        <v>Valid</v>
      </c>
      <c r="AK1816" t="str">
        <f t="shared" si="376"/>
        <v xml:space="preserve">Valid </v>
      </c>
      <c r="AL1816" t="str">
        <f>IF(AND(Audit_Data[[#This Row],[Recency]]&gt;=0,Audit_Data[[#This Row],[Recency]]&lt;=100),"Valid","Invalid")</f>
        <v>Valid</v>
      </c>
      <c r="AM1816" t="str">
        <f t="shared" si="370"/>
        <v>Valid</v>
      </c>
      <c r="AN1816" t="str">
        <f t="shared" si="371"/>
        <v>Valid</v>
      </c>
      <c r="AO1816" t="str">
        <f t="shared" si="372"/>
        <v>Valid</v>
      </c>
      <c r="AP1816" t="str">
        <f t="shared" si="373"/>
        <v>Valid</v>
      </c>
      <c r="AQ1816" t="str">
        <f>IF(Audit_Data[[#This Row],[Z_CostContact]]=3,"Valid","Invalid")</f>
        <v>Valid</v>
      </c>
      <c r="AR1816" t="str">
        <f t="shared" si="374"/>
        <v>Valid</v>
      </c>
      <c r="AS1816" t="str">
        <f t="shared" si="375"/>
        <v>Valid</v>
      </c>
    </row>
    <row r="1817" spans="1:45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 t="str">
        <f t="shared" si="364"/>
        <v>Ok</v>
      </c>
      <c r="AE1817" t="str">
        <f>IF(AND(Audit_Data[[#This Row],[Year_Birth]]&gt;=1900,Audit_Data[[#This Row],[Year_Birth]]&lt;=2010),"OK","Invalid")</f>
        <v>OK</v>
      </c>
      <c r="AF1817" t="str">
        <f t="shared" si="365"/>
        <v>Valid</v>
      </c>
      <c r="AG1817" t="str">
        <f t="shared" si="366"/>
        <v>Valid</v>
      </c>
      <c r="AH1817" t="str">
        <f t="shared" si="367"/>
        <v>Valid</v>
      </c>
      <c r="AI1817" t="str">
        <f t="shared" si="368"/>
        <v>Valid</v>
      </c>
      <c r="AJ1817" t="str">
        <f t="shared" si="369"/>
        <v>Valid</v>
      </c>
      <c r="AK1817" t="str">
        <f t="shared" si="376"/>
        <v xml:space="preserve">Valid </v>
      </c>
      <c r="AL1817" t="str">
        <f>IF(AND(Audit_Data[[#This Row],[Recency]]&gt;=0,Audit_Data[[#This Row],[Recency]]&lt;=100),"Valid","Invalid")</f>
        <v>Valid</v>
      </c>
      <c r="AM1817" t="str">
        <f t="shared" si="370"/>
        <v>Valid</v>
      </c>
      <c r="AN1817" t="str">
        <f t="shared" si="371"/>
        <v>Valid</v>
      </c>
      <c r="AO1817" t="str">
        <f t="shared" si="372"/>
        <v>Valid</v>
      </c>
      <c r="AP1817" t="str">
        <f t="shared" si="373"/>
        <v>Valid</v>
      </c>
      <c r="AQ1817" t="str">
        <f>IF(Audit_Data[[#This Row],[Z_CostContact]]=3,"Valid","Invalid")</f>
        <v>Valid</v>
      </c>
      <c r="AR1817" t="str">
        <f t="shared" si="374"/>
        <v>Valid</v>
      </c>
      <c r="AS1817" t="str">
        <f t="shared" si="375"/>
        <v>Valid</v>
      </c>
    </row>
    <row r="1818" spans="1:45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 t="str">
        <f t="shared" si="364"/>
        <v>Ok</v>
      </c>
      <c r="AE1818" t="str">
        <f>IF(AND(Audit_Data[[#This Row],[Year_Birth]]&gt;=1900,Audit_Data[[#This Row],[Year_Birth]]&lt;=2010),"OK","Invalid")</f>
        <v>OK</v>
      </c>
      <c r="AF1818" t="str">
        <f t="shared" si="365"/>
        <v>Valid</v>
      </c>
      <c r="AG1818" t="str">
        <f t="shared" si="366"/>
        <v>Valid</v>
      </c>
      <c r="AH1818" t="str">
        <f t="shared" si="367"/>
        <v>Valid</v>
      </c>
      <c r="AI1818" t="str">
        <f t="shared" si="368"/>
        <v>Valid</v>
      </c>
      <c r="AJ1818" t="str">
        <f t="shared" si="369"/>
        <v>Valid</v>
      </c>
      <c r="AK1818" t="str">
        <f t="shared" si="376"/>
        <v xml:space="preserve">Valid </v>
      </c>
      <c r="AL1818" t="str">
        <f>IF(AND(Audit_Data[[#This Row],[Recency]]&gt;=0,Audit_Data[[#This Row],[Recency]]&lt;=100),"Valid","Invalid")</f>
        <v>Valid</v>
      </c>
      <c r="AM1818" t="str">
        <f t="shared" si="370"/>
        <v>Valid</v>
      </c>
      <c r="AN1818" t="str">
        <f t="shared" si="371"/>
        <v>Valid</v>
      </c>
      <c r="AO1818" t="str">
        <f t="shared" si="372"/>
        <v>Valid</v>
      </c>
      <c r="AP1818" t="str">
        <f t="shared" si="373"/>
        <v>Valid</v>
      </c>
      <c r="AQ1818" t="str">
        <f>IF(Audit_Data[[#This Row],[Z_CostContact]]=3,"Valid","Invalid")</f>
        <v>Valid</v>
      </c>
      <c r="AR1818" t="str">
        <f t="shared" si="374"/>
        <v>Valid</v>
      </c>
      <c r="AS1818" t="str">
        <f t="shared" si="375"/>
        <v>Valid</v>
      </c>
    </row>
    <row r="1819" spans="1:45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 t="str">
        <f t="shared" si="364"/>
        <v>Ok</v>
      </c>
      <c r="AE1819" t="str">
        <f>IF(AND(Audit_Data[[#This Row],[Year_Birth]]&gt;=1900,Audit_Data[[#This Row],[Year_Birth]]&lt;=2010),"OK","Invalid")</f>
        <v>OK</v>
      </c>
      <c r="AF1819" t="str">
        <f t="shared" si="365"/>
        <v>Valid</v>
      </c>
      <c r="AG1819" t="str">
        <f t="shared" si="366"/>
        <v>Valid</v>
      </c>
      <c r="AH1819" t="str">
        <f t="shared" si="367"/>
        <v>Valid</v>
      </c>
      <c r="AI1819" t="str">
        <f t="shared" si="368"/>
        <v>Valid</v>
      </c>
      <c r="AJ1819" t="str">
        <f t="shared" si="369"/>
        <v>Valid</v>
      </c>
      <c r="AK1819" t="str">
        <f t="shared" si="376"/>
        <v xml:space="preserve">Valid </v>
      </c>
      <c r="AL1819" t="str">
        <f>IF(AND(Audit_Data[[#This Row],[Recency]]&gt;=0,Audit_Data[[#This Row],[Recency]]&lt;=100),"Valid","Invalid")</f>
        <v>Valid</v>
      </c>
      <c r="AM1819" t="str">
        <f t="shared" si="370"/>
        <v>Valid</v>
      </c>
      <c r="AN1819" t="str">
        <f t="shared" si="371"/>
        <v>Valid</v>
      </c>
      <c r="AO1819" t="str">
        <f t="shared" si="372"/>
        <v>Valid</v>
      </c>
      <c r="AP1819" t="str">
        <f t="shared" si="373"/>
        <v>Valid</v>
      </c>
      <c r="AQ1819" t="str">
        <f>IF(Audit_Data[[#This Row],[Z_CostContact]]=3,"Valid","Invalid")</f>
        <v>Valid</v>
      </c>
      <c r="AR1819" t="str">
        <f t="shared" si="374"/>
        <v>Valid</v>
      </c>
      <c r="AS1819" t="str">
        <f t="shared" si="375"/>
        <v>Valid</v>
      </c>
    </row>
    <row r="1820" spans="1:45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 t="str">
        <f t="shared" si="364"/>
        <v>Ok</v>
      </c>
      <c r="AE1820" t="str">
        <f>IF(AND(Audit_Data[[#This Row],[Year_Birth]]&gt;=1900,Audit_Data[[#This Row],[Year_Birth]]&lt;=2010),"OK","Invalid")</f>
        <v>OK</v>
      </c>
      <c r="AF1820" t="str">
        <f t="shared" si="365"/>
        <v>Valid</v>
      </c>
      <c r="AG1820" t="str">
        <f t="shared" si="366"/>
        <v>Valid</v>
      </c>
      <c r="AH1820" t="str">
        <f t="shared" si="367"/>
        <v>Valid</v>
      </c>
      <c r="AI1820" t="str">
        <f t="shared" si="368"/>
        <v>Valid</v>
      </c>
      <c r="AJ1820" t="str">
        <f t="shared" si="369"/>
        <v>Valid</v>
      </c>
      <c r="AK1820" t="str">
        <f t="shared" si="376"/>
        <v xml:space="preserve">Valid </v>
      </c>
      <c r="AL1820" t="str">
        <f>IF(AND(Audit_Data[[#This Row],[Recency]]&gt;=0,Audit_Data[[#This Row],[Recency]]&lt;=100),"Valid","Invalid")</f>
        <v>Valid</v>
      </c>
      <c r="AM1820" t="str">
        <f t="shared" si="370"/>
        <v>Valid</v>
      </c>
      <c r="AN1820" t="str">
        <f t="shared" si="371"/>
        <v>Valid</v>
      </c>
      <c r="AO1820" t="str">
        <f t="shared" si="372"/>
        <v>Valid</v>
      </c>
      <c r="AP1820" t="str">
        <f t="shared" si="373"/>
        <v>Valid</v>
      </c>
      <c r="AQ1820" t="str">
        <f>IF(Audit_Data[[#This Row],[Z_CostContact]]=3,"Valid","Invalid")</f>
        <v>Valid</v>
      </c>
      <c r="AR1820" t="str">
        <f t="shared" si="374"/>
        <v>Valid</v>
      </c>
      <c r="AS1820" t="str">
        <f t="shared" si="375"/>
        <v>Valid</v>
      </c>
    </row>
    <row r="1821" spans="1:45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 t="str">
        <f t="shared" si="364"/>
        <v>Ok</v>
      </c>
      <c r="AE1821" t="str">
        <f>IF(AND(Audit_Data[[#This Row],[Year_Birth]]&gt;=1900,Audit_Data[[#This Row],[Year_Birth]]&lt;=2010),"OK","Invalid")</f>
        <v>OK</v>
      </c>
      <c r="AF1821" t="str">
        <f t="shared" si="365"/>
        <v>Valid</v>
      </c>
      <c r="AG1821" t="str">
        <f t="shared" si="366"/>
        <v>Valid</v>
      </c>
      <c r="AH1821" t="str">
        <f t="shared" si="367"/>
        <v>Valid</v>
      </c>
      <c r="AI1821" t="str">
        <f t="shared" si="368"/>
        <v>Valid</v>
      </c>
      <c r="AJ1821" t="str">
        <f t="shared" si="369"/>
        <v>Valid</v>
      </c>
      <c r="AK1821" t="str">
        <f t="shared" si="376"/>
        <v xml:space="preserve">Valid </v>
      </c>
      <c r="AL1821" t="str">
        <f>IF(AND(Audit_Data[[#This Row],[Recency]]&gt;=0,Audit_Data[[#This Row],[Recency]]&lt;=100),"Valid","Invalid")</f>
        <v>Valid</v>
      </c>
      <c r="AM1821" t="str">
        <f t="shared" si="370"/>
        <v>Valid</v>
      </c>
      <c r="AN1821" t="str">
        <f t="shared" si="371"/>
        <v>Valid</v>
      </c>
      <c r="AO1821" t="str">
        <f t="shared" si="372"/>
        <v>Valid</v>
      </c>
      <c r="AP1821" t="str">
        <f t="shared" si="373"/>
        <v>Valid</v>
      </c>
      <c r="AQ1821" t="str">
        <f>IF(Audit_Data[[#This Row],[Z_CostContact]]=3,"Valid","Invalid")</f>
        <v>Valid</v>
      </c>
      <c r="AR1821" t="str">
        <f t="shared" si="374"/>
        <v>Valid</v>
      </c>
      <c r="AS1821" t="str">
        <f t="shared" si="375"/>
        <v>Valid</v>
      </c>
    </row>
    <row r="1822" spans="1:45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 t="str">
        <f t="shared" si="364"/>
        <v>Ok</v>
      </c>
      <c r="AE1822" t="str">
        <f>IF(AND(Audit_Data[[#This Row],[Year_Birth]]&gt;=1900,Audit_Data[[#This Row],[Year_Birth]]&lt;=2010),"OK","Invalid")</f>
        <v>OK</v>
      </c>
      <c r="AF1822" t="str">
        <f t="shared" si="365"/>
        <v>Valid</v>
      </c>
      <c r="AG1822" t="str">
        <f t="shared" si="366"/>
        <v>Valid</v>
      </c>
      <c r="AH1822" t="str">
        <f t="shared" si="367"/>
        <v>Valid</v>
      </c>
      <c r="AI1822" t="str">
        <f t="shared" si="368"/>
        <v>Valid</v>
      </c>
      <c r="AJ1822" t="str">
        <f t="shared" si="369"/>
        <v>Valid</v>
      </c>
      <c r="AK1822" t="str">
        <f t="shared" si="376"/>
        <v xml:space="preserve">Valid </v>
      </c>
      <c r="AL1822" t="str">
        <f>IF(AND(Audit_Data[[#This Row],[Recency]]&gt;=0,Audit_Data[[#This Row],[Recency]]&lt;=100),"Valid","Invalid")</f>
        <v>Valid</v>
      </c>
      <c r="AM1822" t="str">
        <f t="shared" si="370"/>
        <v>Valid</v>
      </c>
      <c r="AN1822" t="str">
        <f t="shared" si="371"/>
        <v>Valid</v>
      </c>
      <c r="AO1822" t="str">
        <f t="shared" si="372"/>
        <v>Valid</v>
      </c>
      <c r="AP1822" t="str">
        <f t="shared" si="373"/>
        <v>Valid</v>
      </c>
      <c r="AQ1822" t="str">
        <f>IF(Audit_Data[[#This Row],[Z_CostContact]]=3,"Valid","Invalid")</f>
        <v>Valid</v>
      </c>
      <c r="AR1822" t="str">
        <f t="shared" si="374"/>
        <v>Valid</v>
      </c>
      <c r="AS1822" t="str">
        <f t="shared" si="375"/>
        <v>Valid</v>
      </c>
    </row>
    <row r="1823" spans="1:45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 t="str">
        <f t="shared" si="364"/>
        <v>Ok</v>
      </c>
      <c r="AE1823" t="str">
        <f>IF(AND(Audit_Data[[#This Row],[Year_Birth]]&gt;=1900,Audit_Data[[#This Row],[Year_Birth]]&lt;=2010),"OK","Invalid")</f>
        <v>OK</v>
      </c>
      <c r="AF1823" t="str">
        <f t="shared" si="365"/>
        <v>Valid</v>
      </c>
      <c r="AG1823" t="str">
        <f t="shared" si="366"/>
        <v>Valid</v>
      </c>
      <c r="AH1823" t="str">
        <f t="shared" si="367"/>
        <v>Valid</v>
      </c>
      <c r="AI1823" t="str">
        <f t="shared" si="368"/>
        <v>Valid</v>
      </c>
      <c r="AJ1823" t="str">
        <f t="shared" si="369"/>
        <v>Valid</v>
      </c>
      <c r="AK1823" t="str">
        <f t="shared" si="376"/>
        <v xml:space="preserve">Valid </v>
      </c>
      <c r="AL1823" t="str">
        <f>IF(AND(Audit_Data[[#This Row],[Recency]]&gt;=0,Audit_Data[[#This Row],[Recency]]&lt;=100),"Valid","Invalid")</f>
        <v>Valid</v>
      </c>
      <c r="AM1823" t="str">
        <f t="shared" si="370"/>
        <v>Valid</v>
      </c>
      <c r="AN1823" t="str">
        <f t="shared" si="371"/>
        <v>Valid</v>
      </c>
      <c r="AO1823" t="str">
        <f t="shared" si="372"/>
        <v>Valid</v>
      </c>
      <c r="AP1823" t="str">
        <f t="shared" si="373"/>
        <v>Valid</v>
      </c>
      <c r="AQ1823" t="str">
        <f>IF(Audit_Data[[#This Row],[Z_CostContact]]=3,"Valid","Invalid")</f>
        <v>Valid</v>
      </c>
      <c r="AR1823" t="str">
        <f t="shared" si="374"/>
        <v>Valid</v>
      </c>
      <c r="AS1823" t="str">
        <f t="shared" si="375"/>
        <v>Valid</v>
      </c>
    </row>
    <row r="1824" spans="1:45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 t="str">
        <f t="shared" si="364"/>
        <v>Ok</v>
      </c>
      <c r="AE1824" t="str">
        <f>IF(AND(Audit_Data[[#This Row],[Year_Birth]]&gt;=1900,Audit_Data[[#This Row],[Year_Birth]]&lt;=2010),"OK","Invalid")</f>
        <v>OK</v>
      </c>
      <c r="AF1824" t="str">
        <f t="shared" si="365"/>
        <v>Valid</v>
      </c>
      <c r="AG1824" t="str">
        <f t="shared" si="366"/>
        <v>Valid</v>
      </c>
      <c r="AH1824" t="str">
        <f t="shared" si="367"/>
        <v>Valid</v>
      </c>
      <c r="AI1824" t="str">
        <f t="shared" si="368"/>
        <v>Valid</v>
      </c>
      <c r="AJ1824" t="str">
        <f t="shared" si="369"/>
        <v>Valid</v>
      </c>
      <c r="AK1824" t="str">
        <f t="shared" si="376"/>
        <v xml:space="preserve">Valid </v>
      </c>
      <c r="AL1824" t="str">
        <f>IF(AND(Audit_Data[[#This Row],[Recency]]&gt;=0,Audit_Data[[#This Row],[Recency]]&lt;=100),"Valid","Invalid")</f>
        <v>Valid</v>
      </c>
      <c r="AM1824" t="str">
        <f t="shared" si="370"/>
        <v>Valid</v>
      </c>
      <c r="AN1824" t="str">
        <f t="shared" si="371"/>
        <v>Valid</v>
      </c>
      <c r="AO1824" t="str">
        <f t="shared" si="372"/>
        <v>Valid</v>
      </c>
      <c r="AP1824" t="str">
        <f t="shared" si="373"/>
        <v>Valid</v>
      </c>
      <c r="AQ1824" t="str">
        <f>IF(Audit_Data[[#This Row],[Z_CostContact]]=3,"Valid","Invalid")</f>
        <v>Valid</v>
      </c>
      <c r="AR1824" t="str">
        <f t="shared" si="374"/>
        <v>Valid</v>
      </c>
      <c r="AS1824" t="str">
        <f t="shared" si="375"/>
        <v>Valid</v>
      </c>
    </row>
    <row r="1825" spans="1:45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 t="str">
        <f t="shared" si="364"/>
        <v>Ok</v>
      </c>
      <c r="AE1825" t="str">
        <f>IF(AND(Audit_Data[[#This Row],[Year_Birth]]&gt;=1900,Audit_Data[[#This Row],[Year_Birth]]&lt;=2010),"OK","Invalid")</f>
        <v>OK</v>
      </c>
      <c r="AF1825" t="str">
        <f t="shared" si="365"/>
        <v>Valid</v>
      </c>
      <c r="AG1825" t="str">
        <f t="shared" si="366"/>
        <v>Valid</v>
      </c>
      <c r="AH1825" t="str">
        <f t="shared" si="367"/>
        <v>Valid</v>
      </c>
      <c r="AI1825" t="str">
        <f t="shared" si="368"/>
        <v>Valid</v>
      </c>
      <c r="AJ1825" t="str">
        <f t="shared" si="369"/>
        <v>Valid</v>
      </c>
      <c r="AK1825" t="str">
        <f t="shared" si="376"/>
        <v xml:space="preserve">Valid </v>
      </c>
      <c r="AL1825" t="str">
        <f>IF(AND(Audit_Data[[#This Row],[Recency]]&gt;=0,Audit_Data[[#This Row],[Recency]]&lt;=100),"Valid","Invalid")</f>
        <v>Valid</v>
      </c>
      <c r="AM1825" t="str">
        <f t="shared" si="370"/>
        <v>Valid</v>
      </c>
      <c r="AN1825" t="str">
        <f t="shared" si="371"/>
        <v>Valid</v>
      </c>
      <c r="AO1825" t="str">
        <f t="shared" si="372"/>
        <v>Valid</v>
      </c>
      <c r="AP1825" t="str">
        <f t="shared" si="373"/>
        <v>Valid</v>
      </c>
      <c r="AQ1825" t="str">
        <f>IF(Audit_Data[[#This Row],[Z_CostContact]]=3,"Valid","Invalid")</f>
        <v>Valid</v>
      </c>
      <c r="AR1825" t="str">
        <f t="shared" si="374"/>
        <v>Valid</v>
      </c>
      <c r="AS1825" t="str">
        <f t="shared" si="375"/>
        <v>Valid</v>
      </c>
    </row>
    <row r="1826" spans="1:45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 t="str">
        <f t="shared" si="364"/>
        <v>Ok</v>
      </c>
      <c r="AE1826" t="str">
        <f>IF(AND(Audit_Data[[#This Row],[Year_Birth]]&gt;=1900,Audit_Data[[#This Row],[Year_Birth]]&lt;=2010),"OK","Invalid")</f>
        <v>OK</v>
      </c>
      <c r="AF1826" t="str">
        <f t="shared" si="365"/>
        <v>Valid</v>
      </c>
      <c r="AG1826" t="str">
        <f t="shared" si="366"/>
        <v>Valid</v>
      </c>
      <c r="AH1826" t="str">
        <f t="shared" si="367"/>
        <v>Valid</v>
      </c>
      <c r="AI1826" t="str">
        <f t="shared" si="368"/>
        <v>Valid</v>
      </c>
      <c r="AJ1826" t="str">
        <f t="shared" si="369"/>
        <v>Valid</v>
      </c>
      <c r="AK1826" t="str">
        <f t="shared" si="376"/>
        <v xml:space="preserve">Valid </v>
      </c>
      <c r="AL1826" t="str">
        <f>IF(AND(Audit_Data[[#This Row],[Recency]]&gt;=0,Audit_Data[[#This Row],[Recency]]&lt;=100),"Valid","Invalid")</f>
        <v>Valid</v>
      </c>
      <c r="AM1826" t="str">
        <f t="shared" si="370"/>
        <v>Valid</v>
      </c>
      <c r="AN1826" t="str">
        <f t="shared" si="371"/>
        <v>Valid</v>
      </c>
      <c r="AO1826" t="str">
        <f t="shared" si="372"/>
        <v>Valid</v>
      </c>
      <c r="AP1826" t="str">
        <f t="shared" si="373"/>
        <v>Valid</v>
      </c>
      <c r="AQ1826" t="str">
        <f>IF(Audit_Data[[#This Row],[Z_CostContact]]=3,"Valid","Invalid")</f>
        <v>Valid</v>
      </c>
      <c r="AR1826" t="str">
        <f t="shared" si="374"/>
        <v>Valid</v>
      </c>
      <c r="AS1826" t="str">
        <f t="shared" si="375"/>
        <v>Valid</v>
      </c>
    </row>
    <row r="1827" spans="1:45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 t="str">
        <f t="shared" si="364"/>
        <v>Ok</v>
      </c>
      <c r="AE1827" t="str">
        <f>IF(AND(Audit_Data[[#This Row],[Year_Birth]]&gt;=1900,Audit_Data[[#This Row],[Year_Birth]]&lt;=2010),"OK","Invalid")</f>
        <v>OK</v>
      </c>
      <c r="AF1827" t="str">
        <f t="shared" si="365"/>
        <v>Valid</v>
      </c>
      <c r="AG1827" t="str">
        <f t="shared" si="366"/>
        <v>Valid</v>
      </c>
      <c r="AH1827" t="str">
        <f t="shared" si="367"/>
        <v>Valid</v>
      </c>
      <c r="AI1827" t="str">
        <f t="shared" si="368"/>
        <v>Valid</v>
      </c>
      <c r="AJ1827" t="str">
        <f t="shared" si="369"/>
        <v>Valid</v>
      </c>
      <c r="AK1827" t="str">
        <f t="shared" si="376"/>
        <v xml:space="preserve">Valid </v>
      </c>
      <c r="AL1827" t="str">
        <f>IF(AND(Audit_Data[[#This Row],[Recency]]&gt;=0,Audit_Data[[#This Row],[Recency]]&lt;=100),"Valid","Invalid")</f>
        <v>Valid</v>
      </c>
      <c r="AM1827" t="str">
        <f t="shared" si="370"/>
        <v>Valid</v>
      </c>
      <c r="AN1827" t="str">
        <f t="shared" si="371"/>
        <v>Valid</v>
      </c>
      <c r="AO1827" t="str">
        <f t="shared" si="372"/>
        <v>Valid</v>
      </c>
      <c r="AP1827" t="str">
        <f t="shared" si="373"/>
        <v>Valid</v>
      </c>
      <c r="AQ1827" t="str">
        <f>IF(Audit_Data[[#This Row],[Z_CostContact]]=3,"Valid","Invalid")</f>
        <v>Valid</v>
      </c>
      <c r="AR1827" t="str">
        <f t="shared" si="374"/>
        <v>Valid</v>
      </c>
      <c r="AS1827" t="str">
        <f t="shared" si="375"/>
        <v>Valid</v>
      </c>
    </row>
    <row r="1828" spans="1:45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 t="str">
        <f t="shared" si="364"/>
        <v>Ok</v>
      </c>
      <c r="AE1828" t="str">
        <f>IF(AND(Audit_Data[[#This Row],[Year_Birth]]&gt;=1900,Audit_Data[[#This Row],[Year_Birth]]&lt;=2010),"OK","Invalid")</f>
        <v>OK</v>
      </c>
      <c r="AF1828" t="str">
        <f t="shared" si="365"/>
        <v>Valid</v>
      </c>
      <c r="AG1828" t="str">
        <f t="shared" si="366"/>
        <v>Valid</v>
      </c>
      <c r="AH1828" t="str">
        <f t="shared" si="367"/>
        <v>Valid</v>
      </c>
      <c r="AI1828" t="str">
        <f t="shared" si="368"/>
        <v>Valid</v>
      </c>
      <c r="AJ1828" t="str">
        <f t="shared" si="369"/>
        <v>Valid</v>
      </c>
      <c r="AK1828" t="str">
        <f t="shared" si="376"/>
        <v xml:space="preserve">Valid </v>
      </c>
      <c r="AL1828" t="str">
        <f>IF(AND(Audit_Data[[#This Row],[Recency]]&gt;=0,Audit_Data[[#This Row],[Recency]]&lt;=100),"Valid","Invalid")</f>
        <v>Valid</v>
      </c>
      <c r="AM1828" t="str">
        <f t="shared" si="370"/>
        <v>Valid</v>
      </c>
      <c r="AN1828" t="str">
        <f t="shared" si="371"/>
        <v>Valid</v>
      </c>
      <c r="AO1828" t="str">
        <f t="shared" si="372"/>
        <v>Valid</v>
      </c>
      <c r="AP1828" t="str">
        <f t="shared" si="373"/>
        <v>Valid</v>
      </c>
      <c r="AQ1828" t="str">
        <f>IF(Audit_Data[[#This Row],[Z_CostContact]]=3,"Valid","Invalid")</f>
        <v>Valid</v>
      </c>
      <c r="AR1828" t="str">
        <f t="shared" si="374"/>
        <v>Valid</v>
      </c>
      <c r="AS1828" t="str">
        <f t="shared" si="375"/>
        <v>Valid</v>
      </c>
    </row>
    <row r="1829" spans="1:45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 t="str">
        <f t="shared" si="364"/>
        <v>Ok</v>
      </c>
      <c r="AE1829" t="str">
        <f>IF(AND(Audit_Data[[#This Row],[Year_Birth]]&gt;=1900,Audit_Data[[#This Row],[Year_Birth]]&lt;=2010),"OK","Invalid")</f>
        <v>OK</v>
      </c>
      <c r="AF1829" t="str">
        <f t="shared" si="365"/>
        <v>Valid</v>
      </c>
      <c r="AG1829" t="str">
        <f t="shared" si="366"/>
        <v>Valid</v>
      </c>
      <c r="AH1829" t="str">
        <f t="shared" si="367"/>
        <v>Valid</v>
      </c>
      <c r="AI1829" t="str">
        <f t="shared" si="368"/>
        <v>Valid</v>
      </c>
      <c r="AJ1829" t="str">
        <f t="shared" si="369"/>
        <v>Valid</v>
      </c>
      <c r="AK1829" t="str">
        <f t="shared" si="376"/>
        <v xml:space="preserve">Valid </v>
      </c>
      <c r="AL1829" t="str">
        <f>IF(AND(Audit_Data[[#This Row],[Recency]]&gt;=0,Audit_Data[[#This Row],[Recency]]&lt;=100),"Valid","Invalid")</f>
        <v>Valid</v>
      </c>
      <c r="AM1829" t="str">
        <f t="shared" si="370"/>
        <v>Valid</v>
      </c>
      <c r="AN1829" t="str">
        <f t="shared" si="371"/>
        <v>Valid</v>
      </c>
      <c r="AO1829" t="str">
        <f t="shared" si="372"/>
        <v>Valid</v>
      </c>
      <c r="AP1829" t="str">
        <f t="shared" si="373"/>
        <v>Valid</v>
      </c>
      <c r="AQ1829" t="str">
        <f>IF(Audit_Data[[#This Row],[Z_CostContact]]=3,"Valid","Invalid")</f>
        <v>Valid</v>
      </c>
      <c r="AR1829" t="str">
        <f t="shared" si="374"/>
        <v>Valid</v>
      </c>
      <c r="AS1829" t="str">
        <f t="shared" si="375"/>
        <v>Valid</v>
      </c>
    </row>
    <row r="1830" spans="1:45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 t="str">
        <f t="shared" si="364"/>
        <v>Ok</v>
      </c>
      <c r="AE1830" t="str">
        <f>IF(AND(Audit_Data[[#This Row],[Year_Birth]]&gt;=1900,Audit_Data[[#This Row],[Year_Birth]]&lt;=2010),"OK","Invalid")</f>
        <v>OK</v>
      </c>
      <c r="AF1830" t="str">
        <f t="shared" si="365"/>
        <v>Valid</v>
      </c>
      <c r="AG1830" t="str">
        <f t="shared" si="366"/>
        <v>Valid</v>
      </c>
      <c r="AH1830" t="str">
        <f t="shared" si="367"/>
        <v>Valid</v>
      </c>
      <c r="AI1830" t="str">
        <f t="shared" si="368"/>
        <v>Valid</v>
      </c>
      <c r="AJ1830" t="str">
        <f t="shared" si="369"/>
        <v>Valid</v>
      </c>
      <c r="AK1830" t="str">
        <f t="shared" si="376"/>
        <v xml:space="preserve">Valid </v>
      </c>
      <c r="AL1830" t="str">
        <f>IF(AND(Audit_Data[[#This Row],[Recency]]&gt;=0,Audit_Data[[#This Row],[Recency]]&lt;=100),"Valid","Invalid")</f>
        <v>Valid</v>
      </c>
      <c r="AM1830" t="str">
        <f t="shared" si="370"/>
        <v>Valid</v>
      </c>
      <c r="AN1830" t="str">
        <f t="shared" si="371"/>
        <v>Valid</v>
      </c>
      <c r="AO1830" t="str">
        <f t="shared" si="372"/>
        <v>Valid</v>
      </c>
      <c r="AP1830" t="str">
        <f t="shared" si="373"/>
        <v>Valid</v>
      </c>
      <c r="AQ1830" t="str">
        <f>IF(Audit_Data[[#This Row],[Z_CostContact]]=3,"Valid","Invalid")</f>
        <v>Valid</v>
      </c>
      <c r="AR1830" t="str">
        <f t="shared" si="374"/>
        <v>Valid</v>
      </c>
      <c r="AS1830" t="str">
        <f t="shared" si="375"/>
        <v>Valid</v>
      </c>
    </row>
    <row r="1831" spans="1:45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 t="str">
        <f t="shared" si="364"/>
        <v>Ok</v>
      </c>
      <c r="AE1831" t="str">
        <f>IF(AND(Audit_Data[[#This Row],[Year_Birth]]&gt;=1900,Audit_Data[[#This Row],[Year_Birth]]&lt;=2010),"OK","Invalid")</f>
        <v>OK</v>
      </c>
      <c r="AF1831" t="str">
        <f t="shared" si="365"/>
        <v>Valid</v>
      </c>
      <c r="AG1831" t="str">
        <f t="shared" si="366"/>
        <v>Valid</v>
      </c>
      <c r="AH1831" t="str">
        <f t="shared" si="367"/>
        <v>Valid</v>
      </c>
      <c r="AI1831" t="str">
        <f t="shared" si="368"/>
        <v>Valid</v>
      </c>
      <c r="AJ1831" t="str">
        <f t="shared" si="369"/>
        <v>Valid</v>
      </c>
      <c r="AK1831" t="str">
        <f t="shared" si="376"/>
        <v xml:space="preserve">Valid </v>
      </c>
      <c r="AL1831" t="str">
        <f>IF(AND(Audit_Data[[#This Row],[Recency]]&gt;=0,Audit_Data[[#This Row],[Recency]]&lt;=100),"Valid","Invalid")</f>
        <v>Valid</v>
      </c>
      <c r="AM1831" t="str">
        <f t="shared" si="370"/>
        <v>Valid</v>
      </c>
      <c r="AN1831" t="str">
        <f t="shared" si="371"/>
        <v>Valid</v>
      </c>
      <c r="AO1831" t="str">
        <f t="shared" si="372"/>
        <v>Valid</v>
      </c>
      <c r="AP1831" t="str">
        <f t="shared" si="373"/>
        <v>Valid</v>
      </c>
      <c r="AQ1831" t="str">
        <f>IF(Audit_Data[[#This Row],[Z_CostContact]]=3,"Valid","Invalid")</f>
        <v>Valid</v>
      </c>
      <c r="AR1831" t="str">
        <f t="shared" si="374"/>
        <v>Valid</v>
      </c>
      <c r="AS1831" t="str">
        <f t="shared" si="375"/>
        <v>Valid</v>
      </c>
    </row>
    <row r="1832" spans="1:45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 t="str">
        <f t="shared" si="364"/>
        <v>Ok</v>
      </c>
      <c r="AE1832" t="str">
        <f>IF(AND(Audit_Data[[#This Row],[Year_Birth]]&gt;=1900,Audit_Data[[#This Row],[Year_Birth]]&lt;=2010),"OK","Invalid")</f>
        <v>OK</v>
      </c>
      <c r="AF1832" t="str">
        <f t="shared" si="365"/>
        <v>Valid</v>
      </c>
      <c r="AG1832" t="str">
        <f t="shared" si="366"/>
        <v>Valid</v>
      </c>
      <c r="AH1832" t="str">
        <f t="shared" si="367"/>
        <v>Valid</v>
      </c>
      <c r="AI1832" t="str">
        <f t="shared" si="368"/>
        <v>Valid</v>
      </c>
      <c r="AJ1832" t="str">
        <f t="shared" si="369"/>
        <v>Valid</v>
      </c>
      <c r="AK1832" t="str">
        <f t="shared" si="376"/>
        <v xml:space="preserve">Valid </v>
      </c>
      <c r="AL1832" t="str">
        <f>IF(AND(Audit_Data[[#This Row],[Recency]]&gt;=0,Audit_Data[[#This Row],[Recency]]&lt;=100),"Valid","Invalid")</f>
        <v>Valid</v>
      </c>
      <c r="AM1832" t="str">
        <f t="shared" si="370"/>
        <v>Valid</v>
      </c>
      <c r="AN1832" t="str">
        <f t="shared" si="371"/>
        <v>Valid</v>
      </c>
      <c r="AO1832" t="str">
        <f t="shared" si="372"/>
        <v>Valid</v>
      </c>
      <c r="AP1832" t="str">
        <f t="shared" si="373"/>
        <v>Valid</v>
      </c>
      <c r="AQ1832" t="str">
        <f>IF(Audit_Data[[#This Row],[Z_CostContact]]=3,"Valid","Invalid")</f>
        <v>Valid</v>
      </c>
      <c r="AR1832" t="str">
        <f t="shared" si="374"/>
        <v>Valid</v>
      </c>
      <c r="AS1832" t="str">
        <f t="shared" si="375"/>
        <v>Valid</v>
      </c>
    </row>
    <row r="1833" spans="1:45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 t="str">
        <f t="shared" si="364"/>
        <v>Ok</v>
      </c>
      <c r="AE1833" t="str">
        <f>IF(AND(Audit_Data[[#This Row],[Year_Birth]]&gt;=1900,Audit_Data[[#This Row],[Year_Birth]]&lt;=2010),"OK","Invalid")</f>
        <v>OK</v>
      </c>
      <c r="AF1833" t="str">
        <f t="shared" si="365"/>
        <v>Valid</v>
      </c>
      <c r="AG1833" t="str">
        <f t="shared" si="366"/>
        <v>Valid</v>
      </c>
      <c r="AH1833" t="str">
        <f t="shared" si="367"/>
        <v>Valid</v>
      </c>
      <c r="AI1833" t="str">
        <f t="shared" si="368"/>
        <v>Valid</v>
      </c>
      <c r="AJ1833" t="str">
        <f t="shared" si="369"/>
        <v>Valid</v>
      </c>
      <c r="AK1833" t="str">
        <f t="shared" si="376"/>
        <v xml:space="preserve">Valid </v>
      </c>
      <c r="AL1833" t="str">
        <f>IF(AND(Audit_Data[[#This Row],[Recency]]&gt;=0,Audit_Data[[#This Row],[Recency]]&lt;=100),"Valid","Invalid")</f>
        <v>Valid</v>
      </c>
      <c r="AM1833" t="str">
        <f t="shared" si="370"/>
        <v>Valid</v>
      </c>
      <c r="AN1833" t="str">
        <f t="shared" si="371"/>
        <v>Valid</v>
      </c>
      <c r="AO1833" t="str">
        <f t="shared" si="372"/>
        <v>Valid</v>
      </c>
      <c r="AP1833" t="str">
        <f t="shared" si="373"/>
        <v>Valid</v>
      </c>
      <c r="AQ1833" t="str">
        <f>IF(Audit_Data[[#This Row],[Z_CostContact]]=3,"Valid","Invalid")</f>
        <v>Valid</v>
      </c>
      <c r="AR1833" t="str">
        <f t="shared" si="374"/>
        <v>Valid</v>
      </c>
      <c r="AS1833" t="str">
        <f t="shared" si="375"/>
        <v>Valid</v>
      </c>
    </row>
    <row r="1834" spans="1:45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 t="str">
        <f t="shared" si="364"/>
        <v>Ok</v>
      </c>
      <c r="AE1834" t="str">
        <f>IF(AND(Audit_Data[[#This Row],[Year_Birth]]&gt;=1900,Audit_Data[[#This Row],[Year_Birth]]&lt;=2010),"OK","Invalid")</f>
        <v>OK</v>
      </c>
      <c r="AF1834" t="str">
        <f t="shared" si="365"/>
        <v>Valid</v>
      </c>
      <c r="AG1834" t="str">
        <f t="shared" si="366"/>
        <v>Valid</v>
      </c>
      <c r="AH1834" t="str">
        <f t="shared" si="367"/>
        <v>Valid</v>
      </c>
      <c r="AI1834" t="str">
        <f t="shared" si="368"/>
        <v>Valid</v>
      </c>
      <c r="AJ1834" t="str">
        <f t="shared" si="369"/>
        <v>Valid</v>
      </c>
      <c r="AK1834" t="str">
        <f t="shared" si="376"/>
        <v xml:space="preserve">Valid </v>
      </c>
      <c r="AL1834" t="str">
        <f>IF(AND(Audit_Data[[#This Row],[Recency]]&gt;=0,Audit_Data[[#This Row],[Recency]]&lt;=100),"Valid","Invalid")</f>
        <v>Valid</v>
      </c>
      <c r="AM1834" t="str">
        <f t="shared" si="370"/>
        <v>Valid</v>
      </c>
      <c r="AN1834" t="str">
        <f t="shared" si="371"/>
        <v>Valid</v>
      </c>
      <c r="AO1834" t="str">
        <f t="shared" si="372"/>
        <v>Valid</v>
      </c>
      <c r="AP1834" t="str">
        <f t="shared" si="373"/>
        <v>Valid</v>
      </c>
      <c r="AQ1834" t="str">
        <f>IF(Audit_Data[[#This Row],[Z_CostContact]]=3,"Valid","Invalid")</f>
        <v>Valid</v>
      </c>
      <c r="AR1834" t="str">
        <f t="shared" si="374"/>
        <v>Valid</v>
      </c>
      <c r="AS1834" t="str">
        <f t="shared" si="375"/>
        <v>Valid</v>
      </c>
    </row>
    <row r="1835" spans="1:45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 t="str">
        <f t="shared" si="364"/>
        <v>Ok</v>
      </c>
      <c r="AE1835" t="str">
        <f>IF(AND(Audit_Data[[#This Row],[Year_Birth]]&gt;=1900,Audit_Data[[#This Row],[Year_Birth]]&lt;=2010),"OK","Invalid")</f>
        <v>OK</v>
      </c>
      <c r="AF1835" t="str">
        <f t="shared" si="365"/>
        <v>Valid</v>
      </c>
      <c r="AG1835" t="str">
        <f t="shared" si="366"/>
        <v>Valid</v>
      </c>
      <c r="AH1835" t="str">
        <f t="shared" si="367"/>
        <v>Valid</v>
      </c>
      <c r="AI1835" t="str">
        <f t="shared" si="368"/>
        <v>Valid</v>
      </c>
      <c r="AJ1835" t="str">
        <f t="shared" si="369"/>
        <v>Valid</v>
      </c>
      <c r="AK1835" t="str">
        <f t="shared" si="376"/>
        <v xml:space="preserve">Valid </v>
      </c>
      <c r="AL1835" t="str">
        <f>IF(AND(Audit_Data[[#This Row],[Recency]]&gt;=0,Audit_Data[[#This Row],[Recency]]&lt;=100),"Valid","Invalid")</f>
        <v>Valid</v>
      </c>
      <c r="AM1835" t="str">
        <f t="shared" si="370"/>
        <v>Valid</v>
      </c>
      <c r="AN1835" t="str">
        <f t="shared" si="371"/>
        <v>Valid</v>
      </c>
      <c r="AO1835" t="str">
        <f t="shared" si="372"/>
        <v>Valid</v>
      </c>
      <c r="AP1835" t="str">
        <f t="shared" si="373"/>
        <v>Valid</v>
      </c>
      <c r="AQ1835" t="str">
        <f>IF(Audit_Data[[#This Row],[Z_CostContact]]=3,"Valid","Invalid")</f>
        <v>Valid</v>
      </c>
      <c r="AR1835" t="str">
        <f t="shared" si="374"/>
        <v>Valid</v>
      </c>
      <c r="AS1835" t="str">
        <f t="shared" si="375"/>
        <v>Valid</v>
      </c>
    </row>
    <row r="1836" spans="1:45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 t="str">
        <f t="shared" si="364"/>
        <v>Ok</v>
      </c>
      <c r="AE1836" t="str">
        <f>IF(AND(Audit_Data[[#This Row],[Year_Birth]]&gt;=1900,Audit_Data[[#This Row],[Year_Birth]]&lt;=2010),"OK","Invalid")</f>
        <v>OK</v>
      </c>
      <c r="AF1836" t="str">
        <f t="shared" si="365"/>
        <v>Valid</v>
      </c>
      <c r="AG1836" t="str">
        <f t="shared" si="366"/>
        <v>Valid</v>
      </c>
      <c r="AH1836" t="str">
        <f t="shared" si="367"/>
        <v>Valid</v>
      </c>
      <c r="AI1836" t="str">
        <f t="shared" si="368"/>
        <v>Valid</v>
      </c>
      <c r="AJ1836" t="str">
        <f t="shared" si="369"/>
        <v>Valid</v>
      </c>
      <c r="AK1836" t="str">
        <f t="shared" si="376"/>
        <v xml:space="preserve">Valid </v>
      </c>
      <c r="AL1836" t="str">
        <f>IF(AND(Audit_Data[[#This Row],[Recency]]&gt;=0,Audit_Data[[#This Row],[Recency]]&lt;=100),"Valid","Invalid")</f>
        <v>Valid</v>
      </c>
      <c r="AM1836" t="str">
        <f t="shared" si="370"/>
        <v>Valid</v>
      </c>
      <c r="AN1836" t="str">
        <f t="shared" si="371"/>
        <v>Valid</v>
      </c>
      <c r="AO1836" t="str">
        <f t="shared" si="372"/>
        <v>Valid</v>
      </c>
      <c r="AP1836" t="str">
        <f t="shared" si="373"/>
        <v>Valid</v>
      </c>
      <c r="AQ1836" t="str">
        <f>IF(Audit_Data[[#This Row],[Z_CostContact]]=3,"Valid","Invalid")</f>
        <v>Valid</v>
      </c>
      <c r="AR1836" t="str">
        <f t="shared" si="374"/>
        <v>Valid</v>
      </c>
      <c r="AS1836" t="str">
        <f t="shared" si="375"/>
        <v>Valid</v>
      </c>
    </row>
    <row r="1837" spans="1:45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 t="str">
        <f t="shared" si="364"/>
        <v>Ok</v>
      </c>
      <c r="AE1837" t="str">
        <f>IF(AND(Audit_Data[[#This Row],[Year_Birth]]&gt;=1900,Audit_Data[[#This Row],[Year_Birth]]&lt;=2010),"OK","Invalid")</f>
        <v>OK</v>
      </c>
      <c r="AF1837" t="str">
        <f t="shared" si="365"/>
        <v>Valid</v>
      </c>
      <c r="AG1837" t="str">
        <f t="shared" si="366"/>
        <v>Valid</v>
      </c>
      <c r="AH1837" t="str">
        <f t="shared" si="367"/>
        <v>Valid</v>
      </c>
      <c r="AI1837" t="str">
        <f t="shared" si="368"/>
        <v>Valid</v>
      </c>
      <c r="AJ1837" t="str">
        <f t="shared" si="369"/>
        <v>Valid</v>
      </c>
      <c r="AK1837" t="str">
        <f t="shared" si="376"/>
        <v xml:space="preserve">Valid </v>
      </c>
      <c r="AL1837" t="str">
        <f>IF(AND(Audit_Data[[#This Row],[Recency]]&gt;=0,Audit_Data[[#This Row],[Recency]]&lt;=100),"Valid","Invalid")</f>
        <v>Valid</v>
      </c>
      <c r="AM1837" t="str">
        <f t="shared" si="370"/>
        <v>Valid</v>
      </c>
      <c r="AN1837" t="str">
        <f t="shared" si="371"/>
        <v>Valid</v>
      </c>
      <c r="AO1837" t="str">
        <f t="shared" si="372"/>
        <v>Valid</v>
      </c>
      <c r="AP1837" t="str">
        <f t="shared" si="373"/>
        <v>Valid</v>
      </c>
      <c r="AQ1837" t="str">
        <f>IF(Audit_Data[[#This Row],[Z_CostContact]]=3,"Valid","Invalid")</f>
        <v>Valid</v>
      </c>
      <c r="AR1837" t="str">
        <f t="shared" si="374"/>
        <v>Valid</v>
      </c>
      <c r="AS1837" t="str">
        <f t="shared" si="375"/>
        <v>Valid</v>
      </c>
    </row>
    <row r="1838" spans="1:45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 t="str">
        <f t="shared" si="364"/>
        <v>Ok</v>
      </c>
      <c r="AE1838" t="str">
        <f>IF(AND(Audit_Data[[#This Row],[Year_Birth]]&gt;=1900,Audit_Data[[#This Row],[Year_Birth]]&lt;=2010),"OK","Invalid")</f>
        <v>OK</v>
      </c>
      <c r="AF1838" t="str">
        <f t="shared" si="365"/>
        <v>Valid</v>
      </c>
      <c r="AG1838" t="str">
        <f t="shared" si="366"/>
        <v>Valid</v>
      </c>
      <c r="AH1838" t="str">
        <f t="shared" si="367"/>
        <v>Valid</v>
      </c>
      <c r="AI1838" t="str">
        <f t="shared" si="368"/>
        <v>Valid</v>
      </c>
      <c r="AJ1838" t="str">
        <f t="shared" si="369"/>
        <v>Valid</v>
      </c>
      <c r="AK1838" t="str">
        <f t="shared" si="376"/>
        <v xml:space="preserve">Valid </v>
      </c>
      <c r="AL1838" t="str">
        <f>IF(AND(Audit_Data[[#This Row],[Recency]]&gt;=0,Audit_Data[[#This Row],[Recency]]&lt;=100),"Valid","Invalid")</f>
        <v>Valid</v>
      </c>
      <c r="AM1838" t="str">
        <f t="shared" si="370"/>
        <v>Valid</v>
      </c>
      <c r="AN1838" t="str">
        <f t="shared" si="371"/>
        <v>Valid</v>
      </c>
      <c r="AO1838" t="str">
        <f t="shared" si="372"/>
        <v>Valid</v>
      </c>
      <c r="AP1838" t="str">
        <f t="shared" si="373"/>
        <v>Valid</v>
      </c>
      <c r="AQ1838" t="str">
        <f>IF(Audit_Data[[#This Row],[Z_CostContact]]=3,"Valid","Invalid")</f>
        <v>Valid</v>
      </c>
      <c r="AR1838" t="str">
        <f t="shared" si="374"/>
        <v>Valid</v>
      </c>
      <c r="AS1838" t="str">
        <f t="shared" si="375"/>
        <v>Valid</v>
      </c>
    </row>
    <row r="1839" spans="1:45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 t="str">
        <f t="shared" si="364"/>
        <v>Ok</v>
      </c>
      <c r="AE1839" t="str">
        <f>IF(AND(Audit_Data[[#This Row],[Year_Birth]]&gt;=1900,Audit_Data[[#This Row],[Year_Birth]]&lt;=2010),"OK","Invalid")</f>
        <v>OK</v>
      </c>
      <c r="AF1839" t="str">
        <f t="shared" si="365"/>
        <v>Valid</v>
      </c>
      <c r="AG1839" t="str">
        <f t="shared" si="366"/>
        <v>Valid</v>
      </c>
      <c r="AH1839" t="str">
        <f t="shared" si="367"/>
        <v>Valid</v>
      </c>
      <c r="AI1839" t="str">
        <f t="shared" si="368"/>
        <v>Valid</v>
      </c>
      <c r="AJ1839" t="str">
        <f t="shared" si="369"/>
        <v>Valid</v>
      </c>
      <c r="AK1839" t="str">
        <f t="shared" si="376"/>
        <v xml:space="preserve">Valid </v>
      </c>
      <c r="AL1839" t="str">
        <f>IF(AND(Audit_Data[[#This Row],[Recency]]&gt;=0,Audit_Data[[#This Row],[Recency]]&lt;=100),"Valid","Invalid")</f>
        <v>Valid</v>
      </c>
      <c r="AM1839" t="str">
        <f t="shared" si="370"/>
        <v>Valid</v>
      </c>
      <c r="AN1839" t="str">
        <f t="shared" si="371"/>
        <v>Valid</v>
      </c>
      <c r="AO1839" t="str">
        <f t="shared" si="372"/>
        <v>Valid</v>
      </c>
      <c r="AP1839" t="str">
        <f t="shared" si="373"/>
        <v>Valid</v>
      </c>
      <c r="AQ1839" t="str">
        <f>IF(Audit_Data[[#This Row],[Z_CostContact]]=3,"Valid","Invalid")</f>
        <v>Valid</v>
      </c>
      <c r="AR1839" t="str">
        <f t="shared" si="374"/>
        <v>Valid</v>
      </c>
      <c r="AS1839" t="str">
        <f t="shared" si="375"/>
        <v>Valid</v>
      </c>
    </row>
    <row r="1840" spans="1:45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 t="str">
        <f t="shared" si="364"/>
        <v>Ok</v>
      </c>
      <c r="AE1840" t="str">
        <f>IF(AND(Audit_Data[[#This Row],[Year_Birth]]&gt;=1900,Audit_Data[[#This Row],[Year_Birth]]&lt;=2010),"OK","Invalid")</f>
        <v>OK</v>
      </c>
      <c r="AF1840" t="str">
        <f t="shared" si="365"/>
        <v>Valid</v>
      </c>
      <c r="AG1840" t="str">
        <f t="shared" si="366"/>
        <v>Valid</v>
      </c>
      <c r="AH1840" t="str">
        <f t="shared" si="367"/>
        <v>Valid</v>
      </c>
      <c r="AI1840" t="str">
        <f t="shared" si="368"/>
        <v>Valid</v>
      </c>
      <c r="AJ1840" t="str">
        <f t="shared" si="369"/>
        <v>Valid</v>
      </c>
      <c r="AK1840" t="str">
        <f t="shared" si="376"/>
        <v xml:space="preserve">Valid </v>
      </c>
      <c r="AL1840" t="str">
        <f>IF(AND(Audit_Data[[#This Row],[Recency]]&gt;=0,Audit_Data[[#This Row],[Recency]]&lt;=100),"Valid","Invalid")</f>
        <v>Valid</v>
      </c>
      <c r="AM1840" t="str">
        <f t="shared" si="370"/>
        <v>Valid</v>
      </c>
      <c r="AN1840" t="str">
        <f t="shared" si="371"/>
        <v>Valid</v>
      </c>
      <c r="AO1840" t="str">
        <f t="shared" si="372"/>
        <v>Valid</v>
      </c>
      <c r="AP1840" t="str">
        <f t="shared" si="373"/>
        <v>Valid</v>
      </c>
      <c r="AQ1840" t="str">
        <f>IF(Audit_Data[[#This Row],[Z_CostContact]]=3,"Valid","Invalid")</f>
        <v>Valid</v>
      </c>
      <c r="AR1840" t="str">
        <f t="shared" si="374"/>
        <v>Valid</v>
      </c>
      <c r="AS1840" t="str">
        <f t="shared" si="375"/>
        <v>Valid</v>
      </c>
    </row>
    <row r="1841" spans="1:45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 t="str">
        <f t="shared" si="364"/>
        <v>Ok</v>
      </c>
      <c r="AE1841" t="str">
        <f>IF(AND(Audit_Data[[#This Row],[Year_Birth]]&gt;=1900,Audit_Data[[#This Row],[Year_Birth]]&lt;=2010),"OK","Invalid")</f>
        <v>OK</v>
      </c>
      <c r="AF1841" t="str">
        <f t="shared" si="365"/>
        <v>Valid</v>
      </c>
      <c r="AG1841" t="str">
        <f t="shared" si="366"/>
        <v>Valid</v>
      </c>
      <c r="AH1841" t="str">
        <f t="shared" si="367"/>
        <v>Valid</v>
      </c>
      <c r="AI1841" t="str">
        <f t="shared" si="368"/>
        <v>Valid</v>
      </c>
      <c r="AJ1841" t="str">
        <f t="shared" si="369"/>
        <v>Valid</v>
      </c>
      <c r="AK1841" t="str">
        <f t="shared" si="376"/>
        <v xml:space="preserve">Valid </v>
      </c>
      <c r="AL1841" t="str">
        <f>IF(AND(Audit_Data[[#This Row],[Recency]]&gt;=0,Audit_Data[[#This Row],[Recency]]&lt;=100),"Valid","Invalid")</f>
        <v>Valid</v>
      </c>
      <c r="AM1841" t="str">
        <f t="shared" si="370"/>
        <v>Valid</v>
      </c>
      <c r="AN1841" t="str">
        <f t="shared" si="371"/>
        <v>Valid</v>
      </c>
      <c r="AO1841" t="str">
        <f t="shared" si="372"/>
        <v>Valid</v>
      </c>
      <c r="AP1841" t="str">
        <f t="shared" si="373"/>
        <v>Valid</v>
      </c>
      <c r="AQ1841" t="str">
        <f>IF(Audit_Data[[#This Row],[Z_CostContact]]=3,"Valid","Invalid")</f>
        <v>Valid</v>
      </c>
      <c r="AR1841" t="str">
        <f t="shared" si="374"/>
        <v>Valid</v>
      </c>
      <c r="AS1841" t="str">
        <f t="shared" si="375"/>
        <v>Valid</v>
      </c>
    </row>
    <row r="1842" spans="1:45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 t="str">
        <f t="shared" si="364"/>
        <v>Ok</v>
      </c>
      <c r="AE1842" t="str">
        <f>IF(AND(Audit_Data[[#This Row],[Year_Birth]]&gt;=1900,Audit_Data[[#This Row],[Year_Birth]]&lt;=2010),"OK","Invalid")</f>
        <v>OK</v>
      </c>
      <c r="AF1842" t="str">
        <f t="shared" si="365"/>
        <v>Valid</v>
      </c>
      <c r="AG1842" t="str">
        <f t="shared" si="366"/>
        <v>Valid</v>
      </c>
      <c r="AH1842" t="str">
        <f t="shared" si="367"/>
        <v>Valid</v>
      </c>
      <c r="AI1842" t="str">
        <f t="shared" si="368"/>
        <v>Valid</v>
      </c>
      <c r="AJ1842" t="str">
        <f t="shared" si="369"/>
        <v>Valid</v>
      </c>
      <c r="AK1842" t="str">
        <f t="shared" si="376"/>
        <v xml:space="preserve">Valid </v>
      </c>
      <c r="AL1842" t="str">
        <f>IF(AND(Audit_Data[[#This Row],[Recency]]&gt;=0,Audit_Data[[#This Row],[Recency]]&lt;=100),"Valid","Invalid")</f>
        <v>Valid</v>
      </c>
      <c r="AM1842" t="str">
        <f t="shared" si="370"/>
        <v>Valid</v>
      </c>
      <c r="AN1842" t="str">
        <f t="shared" si="371"/>
        <v>Valid</v>
      </c>
      <c r="AO1842" t="str">
        <f t="shared" si="372"/>
        <v>Valid</v>
      </c>
      <c r="AP1842" t="str">
        <f t="shared" si="373"/>
        <v>Valid</v>
      </c>
      <c r="AQ1842" t="str">
        <f>IF(Audit_Data[[#This Row],[Z_CostContact]]=3,"Valid","Invalid")</f>
        <v>Valid</v>
      </c>
      <c r="AR1842" t="str">
        <f t="shared" si="374"/>
        <v>Valid</v>
      </c>
      <c r="AS1842" t="str">
        <f t="shared" si="375"/>
        <v>Valid</v>
      </c>
    </row>
    <row r="1843" spans="1:45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 t="str">
        <f t="shared" si="364"/>
        <v>Ok</v>
      </c>
      <c r="AE1843" t="str">
        <f>IF(AND(Audit_Data[[#This Row],[Year_Birth]]&gt;=1900,Audit_Data[[#This Row],[Year_Birth]]&lt;=2010),"OK","Invalid")</f>
        <v>OK</v>
      </c>
      <c r="AF1843" t="str">
        <f t="shared" si="365"/>
        <v>Valid</v>
      </c>
      <c r="AG1843" t="str">
        <f t="shared" si="366"/>
        <v>Valid</v>
      </c>
      <c r="AH1843" t="str">
        <f t="shared" si="367"/>
        <v>Valid</v>
      </c>
      <c r="AI1843" t="str">
        <f t="shared" si="368"/>
        <v>Valid</v>
      </c>
      <c r="AJ1843" t="str">
        <f t="shared" si="369"/>
        <v>Valid</v>
      </c>
      <c r="AK1843" t="str">
        <f t="shared" si="376"/>
        <v xml:space="preserve">Valid </v>
      </c>
      <c r="AL1843" t="str">
        <f>IF(AND(Audit_Data[[#This Row],[Recency]]&gt;=0,Audit_Data[[#This Row],[Recency]]&lt;=100),"Valid","Invalid")</f>
        <v>Valid</v>
      </c>
      <c r="AM1843" t="str">
        <f t="shared" si="370"/>
        <v>Valid</v>
      </c>
      <c r="AN1843" t="str">
        <f t="shared" si="371"/>
        <v>Valid</v>
      </c>
      <c r="AO1843" t="str">
        <f t="shared" si="372"/>
        <v>Valid</v>
      </c>
      <c r="AP1843" t="str">
        <f t="shared" si="373"/>
        <v>Valid</v>
      </c>
      <c r="AQ1843" t="str">
        <f>IF(Audit_Data[[#This Row],[Z_CostContact]]=3,"Valid","Invalid")</f>
        <v>Valid</v>
      </c>
      <c r="AR1843" t="str">
        <f t="shared" si="374"/>
        <v>Valid</v>
      </c>
      <c r="AS1843" t="str">
        <f t="shared" si="375"/>
        <v>Valid</v>
      </c>
    </row>
    <row r="1844" spans="1:45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 t="str">
        <f t="shared" si="364"/>
        <v>Ok</v>
      </c>
      <c r="AE1844" t="str">
        <f>IF(AND(Audit_Data[[#This Row],[Year_Birth]]&gt;=1900,Audit_Data[[#This Row],[Year_Birth]]&lt;=2010),"OK","Invalid")</f>
        <v>OK</v>
      </c>
      <c r="AF1844" t="str">
        <f t="shared" si="365"/>
        <v>Valid</v>
      </c>
      <c r="AG1844" t="str">
        <f t="shared" si="366"/>
        <v>Valid</v>
      </c>
      <c r="AH1844" t="str">
        <f t="shared" si="367"/>
        <v>Valid</v>
      </c>
      <c r="AI1844" t="str">
        <f t="shared" si="368"/>
        <v>Valid</v>
      </c>
      <c r="AJ1844" t="str">
        <f t="shared" si="369"/>
        <v>Valid</v>
      </c>
      <c r="AK1844" t="str">
        <f t="shared" si="376"/>
        <v xml:space="preserve">Valid </v>
      </c>
      <c r="AL1844" t="str">
        <f>IF(AND(Audit_Data[[#This Row],[Recency]]&gt;=0,Audit_Data[[#This Row],[Recency]]&lt;=100),"Valid","Invalid")</f>
        <v>Valid</v>
      </c>
      <c r="AM1844" t="str">
        <f t="shared" si="370"/>
        <v>Valid</v>
      </c>
      <c r="AN1844" t="str">
        <f t="shared" si="371"/>
        <v>Valid</v>
      </c>
      <c r="AO1844" t="str">
        <f t="shared" si="372"/>
        <v>Valid</v>
      </c>
      <c r="AP1844" t="str">
        <f t="shared" si="373"/>
        <v>Valid</v>
      </c>
      <c r="AQ1844" t="str">
        <f>IF(Audit_Data[[#This Row],[Z_CostContact]]=3,"Valid","Invalid")</f>
        <v>Valid</v>
      </c>
      <c r="AR1844" t="str">
        <f t="shared" si="374"/>
        <v>Valid</v>
      </c>
      <c r="AS1844" t="str">
        <f t="shared" si="375"/>
        <v>Valid</v>
      </c>
    </row>
    <row r="1845" spans="1:45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 t="str">
        <f t="shared" si="364"/>
        <v>Ok</v>
      </c>
      <c r="AE1845" t="str">
        <f>IF(AND(Audit_Data[[#This Row],[Year_Birth]]&gt;=1900,Audit_Data[[#This Row],[Year_Birth]]&lt;=2010),"OK","Invalid")</f>
        <v>OK</v>
      </c>
      <c r="AF1845" t="str">
        <f t="shared" si="365"/>
        <v>Valid</v>
      </c>
      <c r="AG1845" t="str">
        <f t="shared" si="366"/>
        <v>Valid</v>
      </c>
      <c r="AH1845" t="str">
        <f t="shared" si="367"/>
        <v>Valid</v>
      </c>
      <c r="AI1845" t="str">
        <f t="shared" si="368"/>
        <v>Valid</v>
      </c>
      <c r="AJ1845" t="str">
        <f t="shared" si="369"/>
        <v>Valid</v>
      </c>
      <c r="AK1845" t="str">
        <f t="shared" si="376"/>
        <v xml:space="preserve">Valid </v>
      </c>
      <c r="AL1845" t="str">
        <f>IF(AND(Audit_Data[[#This Row],[Recency]]&gt;=0,Audit_Data[[#This Row],[Recency]]&lt;=100),"Valid","Invalid")</f>
        <v>Valid</v>
      </c>
      <c r="AM1845" t="str">
        <f t="shared" si="370"/>
        <v>Valid</v>
      </c>
      <c r="AN1845" t="str">
        <f t="shared" si="371"/>
        <v>Valid</v>
      </c>
      <c r="AO1845" t="str">
        <f t="shared" si="372"/>
        <v>Valid</v>
      </c>
      <c r="AP1845" t="str">
        <f t="shared" si="373"/>
        <v>Valid</v>
      </c>
      <c r="AQ1845" t="str">
        <f>IF(Audit_Data[[#This Row],[Z_CostContact]]=3,"Valid","Invalid")</f>
        <v>Valid</v>
      </c>
      <c r="AR1845" t="str">
        <f t="shared" si="374"/>
        <v>Valid</v>
      </c>
      <c r="AS1845" t="str">
        <f t="shared" si="375"/>
        <v>Valid</v>
      </c>
    </row>
    <row r="1846" spans="1:45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 t="str">
        <f t="shared" si="364"/>
        <v>Ok</v>
      </c>
      <c r="AE1846" t="str">
        <f>IF(AND(Audit_Data[[#This Row],[Year_Birth]]&gt;=1900,Audit_Data[[#This Row],[Year_Birth]]&lt;=2010),"OK","Invalid")</f>
        <v>OK</v>
      </c>
      <c r="AF1846" t="str">
        <f t="shared" si="365"/>
        <v>Valid</v>
      </c>
      <c r="AG1846" t="str">
        <f t="shared" si="366"/>
        <v>Valid</v>
      </c>
      <c r="AH1846" t="str">
        <f t="shared" si="367"/>
        <v>Valid</v>
      </c>
      <c r="AI1846" t="str">
        <f t="shared" si="368"/>
        <v>Valid</v>
      </c>
      <c r="AJ1846" t="str">
        <f t="shared" si="369"/>
        <v>Valid</v>
      </c>
      <c r="AK1846" t="str">
        <f t="shared" si="376"/>
        <v xml:space="preserve">Valid </v>
      </c>
      <c r="AL1846" t="str">
        <f>IF(AND(Audit_Data[[#This Row],[Recency]]&gt;=0,Audit_Data[[#This Row],[Recency]]&lt;=100),"Valid","Invalid")</f>
        <v>Valid</v>
      </c>
      <c r="AM1846" t="str">
        <f t="shared" si="370"/>
        <v>Valid</v>
      </c>
      <c r="AN1846" t="str">
        <f t="shared" si="371"/>
        <v>Valid</v>
      </c>
      <c r="AO1846" t="str">
        <f t="shared" si="372"/>
        <v>Valid</v>
      </c>
      <c r="AP1846" t="str">
        <f t="shared" si="373"/>
        <v>Valid</v>
      </c>
      <c r="AQ1846" t="str">
        <f>IF(Audit_Data[[#This Row],[Z_CostContact]]=3,"Valid","Invalid")</f>
        <v>Valid</v>
      </c>
      <c r="AR1846" t="str">
        <f t="shared" si="374"/>
        <v>Valid</v>
      </c>
      <c r="AS1846" t="str">
        <f t="shared" si="375"/>
        <v>Valid</v>
      </c>
    </row>
    <row r="1847" spans="1:45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 t="str">
        <f t="shared" si="364"/>
        <v>Ok</v>
      </c>
      <c r="AE1847" t="str">
        <f>IF(AND(Audit_Data[[#This Row],[Year_Birth]]&gt;=1900,Audit_Data[[#This Row],[Year_Birth]]&lt;=2010),"OK","Invalid")</f>
        <v>OK</v>
      </c>
      <c r="AF1847" t="str">
        <f t="shared" si="365"/>
        <v>Valid</v>
      </c>
      <c r="AG1847" t="str">
        <f t="shared" si="366"/>
        <v>Valid</v>
      </c>
      <c r="AH1847" t="str">
        <f t="shared" si="367"/>
        <v>Valid</v>
      </c>
      <c r="AI1847" t="str">
        <f t="shared" si="368"/>
        <v>Valid</v>
      </c>
      <c r="AJ1847" t="str">
        <f t="shared" si="369"/>
        <v>Valid</v>
      </c>
      <c r="AK1847" t="str">
        <f t="shared" si="376"/>
        <v xml:space="preserve">Valid </v>
      </c>
      <c r="AL1847" t="str">
        <f>IF(AND(Audit_Data[[#This Row],[Recency]]&gt;=0,Audit_Data[[#This Row],[Recency]]&lt;=100),"Valid","Invalid")</f>
        <v>Valid</v>
      </c>
      <c r="AM1847" t="str">
        <f t="shared" si="370"/>
        <v>Valid</v>
      </c>
      <c r="AN1847" t="str">
        <f t="shared" si="371"/>
        <v>Valid</v>
      </c>
      <c r="AO1847" t="str">
        <f t="shared" si="372"/>
        <v>Valid</v>
      </c>
      <c r="AP1847" t="str">
        <f t="shared" si="373"/>
        <v>Valid</v>
      </c>
      <c r="AQ1847" t="str">
        <f>IF(Audit_Data[[#This Row],[Z_CostContact]]=3,"Valid","Invalid")</f>
        <v>Valid</v>
      </c>
      <c r="AR1847" t="str">
        <f t="shared" si="374"/>
        <v>Valid</v>
      </c>
      <c r="AS1847" t="str">
        <f t="shared" si="375"/>
        <v>Valid</v>
      </c>
    </row>
    <row r="1848" spans="1:45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 t="str">
        <f t="shared" si="364"/>
        <v>Ok</v>
      </c>
      <c r="AE1848" t="str">
        <f>IF(AND(Audit_Data[[#This Row],[Year_Birth]]&gt;=1900,Audit_Data[[#This Row],[Year_Birth]]&lt;=2010),"OK","Invalid")</f>
        <v>OK</v>
      </c>
      <c r="AF1848" t="str">
        <f t="shared" si="365"/>
        <v>Valid</v>
      </c>
      <c r="AG1848" t="str">
        <f t="shared" si="366"/>
        <v>Valid</v>
      </c>
      <c r="AH1848" t="str">
        <f t="shared" si="367"/>
        <v>Valid</v>
      </c>
      <c r="AI1848" t="str">
        <f t="shared" si="368"/>
        <v>Valid</v>
      </c>
      <c r="AJ1848" t="str">
        <f t="shared" si="369"/>
        <v>Valid</v>
      </c>
      <c r="AK1848" t="str">
        <f t="shared" si="376"/>
        <v xml:space="preserve">Valid </v>
      </c>
      <c r="AL1848" t="str">
        <f>IF(AND(Audit_Data[[#This Row],[Recency]]&gt;=0,Audit_Data[[#This Row],[Recency]]&lt;=100),"Valid","Invalid")</f>
        <v>Valid</v>
      </c>
      <c r="AM1848" t="str">
        <f t="shared" si="370"/>
        <v>Valid</v>
      </c>
      <c r="AN1848" t="str">
        <f t="shared" si="371"/>
        <v>Valid</v>
      </c>
      <c r="AO1848" t="str">
        <f t="shared" si="372"/>
        <v>Valid</v>
      </c>
      <c r="AP1848" t="str">
        <f t="shared" si="373"/>
        <v>Valid</v>
      </c>
      <c r="AQ1848" t="str">
        <f>IF(Audit_Data[[#This Row],[Z_CostContact]]=3,"Valid","Invalid")</f>
        <v>Valid</v>
      </c>
      <c r="AR1848" t="str">
        <f t="shared" si="374"/>
        <v>Valid</v>
      </c>
      <c r="AS1848" t="str">
        <f t="shared" si="375"/>
        <v>Valid</v>
      </c>
    </row>
    <row r="1849" spans="1:45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 t="str">
        <f t="shared" si="364"/>
        <v>Ok</v>
      </c>
      <c r="AE1849" t="str">
        <f>IF(AND(Audit_Data[[#This Row],[Year_Birth]]&gt;=1900,Audit_Data[[#This Row],[Year_Birth]]&lt;=2010),"OK","Invalid")</f>
        <v>OK</v>
      </c>
      <c r="AF1849" t="str">
        <f t="shared" si="365"/>
        <v>Valid</v>
      </c>
      <c r="AG1849" t="str">
        <f t="shared" si="366"/>
        <v>Valid</v>
      </c>
      <c r="AH1849" t="str">
        <f t="shared" si="367"/>
        <v>Valid</v>
      </c>
      <c r="AI1849" t="str">
        <f t="shared" si="368"/>
        <v>Valid</v>
      </c>
      <c r="AJ1849" t="str">
        <f t="shared" si="369"/>
        <v>Valid</v>
      </c>
      <c r="AK1849" t="str">
        <f t="shared" si="376"/>
        <v xml:space="preserve">Valid </v>
      </c>
      <c r="AL1849" t="str">
        <f>IF(AND(Audit_Data[[#This Row],[Recency]]&gt;=0,Audit_Data[[#This Row],[Recency]]&lt;=100),"Valid","Invalid")</f>
        <v>Valid</v>
      </c>
      <c r="AM1849" t="str">
        <f t="shared" si="370"/>
        <v>Valid</v>
      </c>
      <c r="AN1849" t="str">
        <f t="shared" si="371"/>
        <v>Valid</v>
      </c>
      <c r="AO1849" t="str">
        <f t="shared" si="372"/>
        <v>Valid</v>
      </c>
      <c r="AP1849" t="str">
        <f t="shared" si="373"/>
        <v>Valid</v>
      </c>
      <c r="AQ1849" t="str">
        <f>IF(Audit_Data[[#This Row],[Z_CostContact]]=3,"Valid","Invalid")</f>
        <v>Valid</v>
      </c>
      <c r="AR1849" t="str">
        <f t="shared" si="374"/>
        <v>Valid</v>
      </c>
      <c r="AS1849" t="str">
        <f t="shared" si="375"/>
        <v>Valid</v>
      </c>
    </row>
    <row r="1850" spans="1:45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 t="str">
        <f t="shared" si="364"/>
        <v>Ok</v>
      </c>
      <c r="AE1850" t="str">
        <f>IF(AND(Audit_Data[[#This Row],[Year_Birth]]&gt;=1900,Audit_Data[[#This Row],[Year_Birth]]&lt;=2010),"OK","Invalid")</f>
        <v>OK</v>
      </c>
      <c r="AF1850" t="str">
        <f t="shared" si="365"/>
        <v>Valid</v>
      </c>
      <c r="AG1850" t="str">
        <f t="shared" si="366"/>
        <v>Valid</v>
      </c>
      <c r="AH1850" t="str">
        <f t="shared" si="367"/>
        <v>Valid</v>
      </c>
      <c r="AI1850" t="str">
        <f t="shared" si="368"/>
        <v>Valid</v>
      </c>
      <c r="AJ1850" t="str">
        <f t="shared" si="369"/>
        <v>Valid</v>
      </c>
      <c r="AK1850" t="str">
        <f t="shared" si="376"/>
        <v xml:space="preserve">Valid </v>
      </c>
      <c r="AL1850" t="str">
        <f>IF(AND(Audit_Data[[#This Row],[Recency]]&gt;=0,Audit_Data[[#This Row],[Recency]]&lt;=100),"Valid","Invalid")</f>
        <v>Valid</v>
      </c>
      <c r="AM1850" t="str">
        <f t="shared" si="370"/>
        <v>Valid</v>
      </c>
      <c r="AN1850" t="str">
        <f t="shared" si="371"/>
        <v>Valid</v>
      </c>
      <c r="AO1850" t="str">
        <f t="shared" si="372"/>
        <v>Valid</v>
      </c>
      <c r="AP1850" t="str">
        <f t="shared" si="373"/>
        <v>Valid</v>
      </c>
      <c r="AQ1850" t="str">
        <f>IF(Audit_Data[[#This Row],[Z_CostContact]]=3,"Valid","Invalid")</f>
        <v>Valid</v>
      </c>
      <c r="AR1850" t="str">
        <f t="shared" si="374"/>
        <v>Valid</v>
      </c>
      <c r="AS1850" t="str">
        <f t="shared" si="375"/>
        <v>Valid</v>
      </c>
    </row>
    <row r="1851" spans="1:45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 t="str">
        <f t="shared" si="364"/>
        <v>Ok</v>
      </c>
      <c r="AE1851" t="str">
        <f>IF(AND(Audit_Data[[#This Row],[Year_Birth]]&gt;=1900,Audit_Data[[#This Row],[Year_Birth]]&lt;=2010),"OK","Invalid")</f>
        <v>OK</v>
      </c>
      <c r="AF1851" t="str">
        <f t="shared" si="365"/>
        <v>Valid</v>
      </c>
      <c r="AG1851" t="str">
        <f t="shared" si="366"/>
        <v>Valid</v>
      </c>
      <c r="AH1851" t="str">
        <f t="shared" si="367"/>
        <v>Valid</v>
      </c>
      <c r="AI1851" t="str">
        <f t="shared" si="368"/>
        <v>Valid</v>
      </c>
      <c r="AJ1851" t="str">
        <f t="shared" si="369"/>
        <v>Valid</v>
      </c>
      <c r="AK1851" t="str">
        <f t="shared" si="376"/>
        <v xml:space="preserve">Valid </v>
      </c>
      <c r="AL1851" t="str">
        <f>IF(AND(Audit_Data[[#This Row],[Recency]]&gt;=0,Audit_Data[[#This Row],[Recency]]&lt;=100),"Valid","Invalid")</f>
        <v>Valid</v>
      </c>
      <c r="AM1851" t="str">
        <f t="shared" si="370"/>
        <v>Valid</v>
      </c>
      <c r="AN1851" t="str">
        <f t="shared" si="371"/>
        <v>Valid</v>
      </c>
      <c r="AO1851" t="str">
        <f t="shared" si="372"/>
        <v>Valid</v>
      </c>
      <c r="AP1851" t="str">
        <f t="shared" si="373"/>
        <v>Valid</v>
      </c>
      <c r="AQ1851" t="str">
        <f>IF(Audit_Data[[#This Row],[Z_CostContact]]=3,"Valid","Invalid")</f>
        <v>Valid</v>
      </c>
      <c r="AR1851" t="str">
        <f t="shared" si="374"/>
        <v>Valid</v>
      </c>
      <c r="AS1851" t="str">
        <f t="shared" si="375"/>
        <v>Valid</v>
      </c>
    </row>
    <row r="1852" spans="1:45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 t="str">
        <f t="shared" si="364"/>
        <v>Ok</v>
      </c>
      <c r="AE1852" t="str">
        <f>IF(AND(Audit_Data[[#This Row],[Year_Birth]]&gt;=1900,Audit_Data[[#This Row],[Year_Birth]]&lt;=2010),"OK","Invalid")</f>
        <v>OK</v>
      </c>
      <c r="AF1852" t="str">
        <f t="shared" si="365"/>
        <v>Valid</v>
      </c>
      <c r="AG1852" t="str">
        <f t="shared" si="366"/>
        <v>Valid</v>
      </c>
      <c r="AH1852" t="str">
        <f t="shared" si="367"/>
        <v>Valid</v>
      </c>
      <c r="AI1852" t="str">
        <f t="shared" si="368"/>
        <v>Valid</v>
      </c>
      <c r="AJ1852" t="str">
        <f t="shared" si="369"/>
        <v>Valid</v>
      </c>
      <c r="AK1852" t="str">
        <f t="shared" si="376"/>
        <v xml:space="preserve">Valid </v>
      </c>
      <c r="AL1852" t="str">
        <f>IF(AND(Audit_Data[[#This Row],[Recency]]&gt;=0,Audit_Data[[#This Row],[Recency]]&lt;=100),"Valid","Invalid")</f>
        <v>Valid</v>
      </c>
      <c r="AM1852" t="str">
        <f t="shared" si="370"/>
        <v>Valid</v>
      </c>
      <c r="AN1852" t="str">
        <f t="shared" si="371"/>
        <v>Valid</v>
      </c>
      <c r="AO1852" t="str">
        <f t="shared" si="372"/>
        <v>Valid</v>
      </c>
      <c r="AP1852" t="str">
        <f t="shared" si="373"/>
        <v>Valid</v>
      </c>
      <c r="AQ1852" t="str">
        <f>IF(Audit_Data[[#This Row],[Z_CostContact]]=3,"Valid","Invalid")</f>
        <v>Valid</v>
      </c>
      <c r="AR1852" t="str">
        <f t="shared" si="374"/>
        <v>Valid</v>
      </c>
      <c r="AS1852" t="str">
        <f t="shared" si="375"/>
        <v>Valid</v>
      </c>
    </row>
    <row r="1853" spans="1:45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 t="str">
        <f t="shared" si="364"/>
        <v>Ok</v>
      </c>
      <c r="AE1853" t="str">
        <f>IF(AND(Audit_Data[[#This Row],[Year_Birth]]&gt;=1900,Audit_Data[[#This Row],[Year_Birth]]&lt;=2010),"OK","Invalid")</f>
        <v>OK</v>
      </c>
      <c r="AF1853" t="str">
        <f t="shared" si="365"/>
        <v>Valid</v>
      </c>
      <c r="AG1853" t="str">
        <f t="shared" si="366"/>
        <v>Valid</v>
      </c>
      <c r="AH1853" t="str">
        <f t="shared" si="367"/>
        <v>Valid</v>
      </c>
      <c r="AI1853" t="str">
        <f t="shared" si="368"/>
        <v>Valid</v>
      </c>
      <c r="AJ1853" t="str">
        <f t="shared" si="369"/>
        <v>Valid</v>
      </c>
      <c r="AK1853" t="str">
        <f t="shared" si="376"/>
        <v xml:space="preserve">Valid </v>
      </c>
      <c r="AL1853" t="str">
        <f>IF(AND(Audit_Data[[#This Row],[Recency]]&gt;=0,Audit_Data[[#This Row],[Recency]]&lt;=100),"Valid","Invalid")</f>
        <v>Valid</v>
      </c>
      <c r="AM1853" t="str">
        <f t="shared" si="370"/>
        <v>Valid</v>
      </c>
      <c r="AN1853" t="str">
        <f t="shared" si="371"/>
        <v>Valid</v>
      </c>
      <c r="AO1853" t="str">
        <f t="shared" si="372"/>
        <v>Valid</v>
      </c>
      <c r="AP1853" t="str">
        <f t="shared" si="373"/>
        <v>Valid</v>
      </c>
      <c r="AQ1853" t="str">
        <f>IF(Audit_Data[[#This Row],[Z_CostContact]]=3,"Valid","Invalid")</f>
        <v>Valid</v>
      </c>
      <c r="AR1853" t="str">
        <f t="shared" si="374"/>
        <v>Valid</v>
      </c>
      <c r="AS1853" t="str">
        <f t="shared" si="375"/>
        <v>Valid</v>
      </c>
    </row>
    <row r="1854" spans="1:45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 t="str">
        <f t="shared" si="364"/>
        <v>Ok</v>
      </c>
      <c r="AE1854" t="str">
        <f>IF(AND(Audit_Data[[#This Row],[Year_Birth]]&gt;=1900,Audit_Data[[#This Row],[Year_Birth]]&lt;=2010),"OK","Invalid")</f>
        <v>OK</v>
      </c>
      <c r="AF1854" t="str">
        <f t="shared" si="365"/>
        <v>Valid</v>
      </c>
      <c r="AG1854" t="str">
        <f t="shared" si="366"/>
        <v>Valid</v>
      </c>
      <c r="AH1854" t="str">
        <f t="shared" si="367"/>
        <v>Valid</v>
      </c>
      <c r="AI1854" t="str">
        <f t="shared" si="368"/>
        <v>Valid</v>
      </c>
      <c r="AJ1854" t="str">
        <f t="shared" si="369"/>
        <v>Valid</v>
      </c>
      <c r="AK1854" t="str">
        <f t="shared" si="376"/>
        <v xml:space="preserve">Valid </v>
      </c>
      <c r="AL1854" t="str">
        <f>IF(AND(Audit_Data[[#This Row],[Recency]]&gt;=0,Audit_Data[[#This Row],[Recency]]&lt;=100),"Valid","Invalid")</f>
        <v>Valid</v>
      </c>
      <c r="AM1854" t="str">
        <f t="shared" si="370"/>
        <v>Valid</v>
      </c>
      <c r="AN1854" t="str">
        <f t="shared" si="371"/>
        <v>Valid</v>
      </c>
      <c r="AO1854" t="str">
        <f t="shared" si="372"/>
        <v>Valid</v>
      </c>
      <c r="AP1854" t="str">
        <f t="shared" si="373"/>
        <v>Valid</v>
      </c>
      <c r="AQ1854" t="str">
        <f>IF(Audit_Data[[#This Row],[Z_CostContact]]=3,"Valid","Invalid")</f>
        <v>Valid</v>
      </c>
      <c r="AR1854" t="str">
        <f t="shared" si="374"/>
        <v>Valid</v>
      </c>
      <c r="AS1854" t="str">
        <f t="shared" si="375"/>
        <v>Valid</v>
      </c>
    </row>
    <row r="1855" spans="1:45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 t="str">
        <f t="shared" si="364"/>
        <v>Ok</v>
      </c>
      <c r="AE1855" t="str">
        <f>IF(AND(Audit_Data[[#This Row],[Year_Birth]]&gt;=1900,Audit_Data[[#This Row],[Year_Birth]]&lt;=2010),"OK","Invalid")</f>
        <v>OK</v>
      </c>
      <c r="AF1855" t="str">
        <f t="shared" si="365"/>
        <v>Valid</v>
      </c>
      <c r="AG1855" t="str">
        <f t="shared" si="366"/>
        <v>Valid</v>
      </c>
      <c r="AH1855" t="str">
        <f t="shared" si="367"/>
        <v>Valid</v>
      </c>
      <c r="AI1855" t="str">
        <f t="shared" si="368"/>
        <v>Valid</v>
      </c>
      <c r="AJ1855" t="str">
        <f t="shared" si="369"/>
        <v>Valid</v>
      </c>
      <c r="AK1855" t="str">
        <f t="shared" si="376"/>
        <v xml:space="preserve">Valid </v>
      </c>
      <c r="AL1855" t="str">
        <f>IF(AND(Audit_Data[[#This Row],[Recency]]&gt;=0,Audit_Data[[#This Row],[Recency]]&lt;=100),"Valid","Invalid")</f>
        <v>Valid</v>
      </c>
      <c r="AM1855" t="str">
        <f t="shared" si="370"/>
        <v>Valid</v>
      </c>
      <c r="AN1855" t="str">
        <f t="shared" si="371"/>
        <v>Valid</v>
      </c>
      <c r="AO1855" t="str">
        <f t="shared" si="372"/>
        <v>Valid</v>
      </c>
      <c r="AP1855" t="str">
        <f t="shared" si="373"/>
        <v>Valid</v>
      </c>
      <c r="AQ1855" t="str">
        <f>IF(Audit_Data[[#This Row],[Z_CostContact]]=3,"Valid","Invalid")</f>
        <v>Valid</v>
      </c>
      <c r="AR1855" t="str">
        <f t="shared" si="374"/>
        <v>Valid</v>
      </c>
      <c r="AS1855" t="str">
        <f t="shared" si="375"/>
        <v>Valid</v>
      </c>
    </row>
    <row r="1856" spans="1:45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 t="str">
        <f t="shared" si="364"/>
        <v>Ok</v>
      </c>
      <c r="AE1856" t="str">
        <f>IF(AND(Audit_Data[[#This Row],[Year_Birth]]&gt;=1900,Audit_Data[[#This Row],[Year_Birth]]&lt;=2010),"OK","Invalid")</f>
        <v>OK</v>
      </c>
      <c r="AF1856" t="str">
        <f t="shared" si="365"/>
        <v>Valid</v>
      </c>
      <c r="AG1856" t="str">
        <f t="shared" si="366"/>
        <v>Valid</v>
      </c>
      <c r="AH1856" t="str">
        <f t="shared" si="367"/>
        <v>Valid</v>
      </c>
      <c r="AI1856" t="str">
        <f t="shared" si="368"/>
        <v>Valid</v>
      </c>
      <c r="AJ1856" t="str">
        <f t="shared" si="369"/>
        <v>Valid</v>
      </c>
      <c r="AK1856" t="str">
        <f t="shared" si="376"/>
        <v xml:space="preserve">Valid </v>
      </c>
      <c r="AL1856" t="str">
        <f>IF(AND(Audit_Data[[#This Row],[Recency]]&gt;=0,Audit_Data[[#This Row],[Recency]]&lt;=100),"Valid","Invalid")</f>
        <v>Valid</v>
      </c>
      <c r="AM1856" t="str">
        <f t="shared" si="370"/>
        <v>Valid</v>
      </c>
      <c r="AN1856" t="str">
        <f t="shared" si="371"/>
        <v>Valid</v>
      </c>
      <c r="AO1856" t="str">
        <f t="shared" si="372"/>
        <v>Valid</v>
      </c>
      <c r="AP1856" t="str">
        <f t="shared" si="373"/>
        <v>Valid</v>
      </c>
      <c r="AQ1856" t="str">
        <f>IF(Audit_Data[[#This Row],[Z_CostContact]]=3,"Valid","Invalid")</f>
        <v>Valid</v>
      </c>
      <c r="AR1856" t="str">
        <f t="shared" si="374"/>
        <v>Valid</v>
      </c>
      <c r="AS1856" t="str">
        <f t="shared" si="375"/>
        <v>Valid</v>
      </c>
    </row>
    <row r="1857" spans="1:45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 t="str">
        <f t="shared" si="364"/>
        <v>Ok</v>
      </c>
      <c r="AE1857" t="str">
        <f>IF(AND(Audit_Data[[#This Row],[Year_Birth]]&gt;=1900,Audit_Data[[#This Row],[Year_Birth]]&lt;=2010),"OK","Invalid")</f>
        <v>OK</v>
      </c>
      <c r="AF1857" t="str">
        <f t="shared" si="365"/>
        <v>Valid</v>
      </c>
      <c r="AG1857" t="str">
        <f t="shared" si="366"/>
        <v>Valid</v>
      </c>
      <c r="AH1857" t="str">
        <f t="shared" si="367"/>
        <v>Valid</v>
      </c>
      <c r="AI1857" t="str">
        <f t="shared" si="368"/>
        <v>Valid</v>
      </c>
      <c r="AJ1857" t="str">
        <f t="shared" si="369"/>
        <v>Valid</v>
      </c>
      <c r="AK1857" t="str">
        <f t="shared" si="376"/>
        <v xml:space="preserve">Valid </v>
      </c>
      <c r="AL1857" t="str">
        <f>IF(AND(Audit_Data[[#This Row],[Recency]]&gt;=0,Audit_Data[[#This Row],[Recency]]&lt;=100),"Valid","Invalid")</f>
        <v>Valid</v>
      </c>
      <c r="AM1857" t="str">
        <f t="shared" si="370"/>
        <v>Valid</v>
      </c>
      <c r="AN1857" t="str">
        <f t="shared" si="371"/>
        <v>Valid</v>
      </c>
      <c r="AO1857" t="str">
        <f t="shared" si="372"/>
        <v>Valid</v>
      </c>
      <c r="AP1857" t="str">
        <f t="shared" si="373"/>
        <v>Valid</v>
      </c>
      <c r="AQ1857" t="str">
        <f>IF(Audit_Data[[#This Row],[Z_CostContact]]=3,"Valid","Invalid")</f>
        <v>Valid</v>
      </c>
      <c r="AR1857" t="str">
        <f t="shared" si="374"/>
        <v>Valid</v>
      </c>
      <c r="AS1857" t="str">
        <f t="shared" si="375"/>
        <v>Valid</v>
      </c>
    </row>
    <row r="1858" spans="1:45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 t="str">
        <f t="shared" ref="AD1858:AD1921" si="377">IF(COUNTIF(A:A,A1858)&gt;1,"Duplicate","Ok")</f>
        <v>Ok</v>
      </c>
      <c r="AE1858" t="str">
        <f>IF(AND(Audit_Data[[#This Row],[Year_Birth]]&gt;=1900,Audit_Data[[#This Row],[Year_Birth]]&lt;=2010),"OK","Invalid")</f>
        <v>OK</v>
      </c>
      <c r="AF1858" t="str">
        <f t="shared" ref="AF1858:AF1921" si="378">IF(OR(C1858="Graduation",C1858="phD",C1858="Master",C1858="Basic",C1858="2n Cycle"),"Valid","Invalid")</f>
        <v>Valid</v>
      </c>
      <c r="AG1858" t="str">
        <f t="shared" ref="AG1858:AG1921" si="379">IF(OR(D1858="Single",D1858="Married",D1858="Divorced",D1858="Together",D1858="Widow",D1858="Alone"),"Valid","Invalid")</f>
        <v>Valid</v>
      </c>
      <c r="AH1858" t="str">
        <f t="shared" ref="AH1858:AH1921" si="380">IF(AND(ISNUMBER(E1858),E1858&lt;&gt;""),"Valid","Invalid")</f>
        <v>Valid</v>
      </c>
      <c r="AI1858" t="str">
        <f t="shared" ref="AI1858:AI1921" si="381">IF(AND(F1858&gt;=0,F1858&lt;=2),"Valid","Invalid")</f>
        <v>Valid</v>
      </c>
      <c r="AJ1858" t="str">
        <f t="shared" ref="AJ1858:AJ1921" si="382">IF(AND(G1858&gt;=0,G1858&lt;=2),"Valid","Invalid")</f>
        <v>Valid</v>
      </c>
      <c r="AK1858" t="str">
        <f t="shared" si="376"/>
        <v xml:space="preserve">Valid </v>
      </c>
      <c r="AL1858" t="str">
        <f>IF(AND(Audit_Data[[#This Row],[Recency]]&gt;=0,Audit_Data[[#This Row],[Recency]]&lt;=100),"Valid","Invalid")</f>
        <v>Valid</v>
      </c>
      <c r="AM1858" t="str">
        <f t="shared" ref="AM1858:AM1921" si="383">IF(AND(ISNUMBER(J1858),J1858&gt;=0,ISNUMBER(K1858),K1858&gt;=0,ISNUMBER(L1858),L1858&gt;=0,ISNUMBER(M1858),M1858&gt;=0,ISNUMBER(N1858),N1858&gt;=0,ISNUMBER(O1858),O1858&gt;=0),"Valid","Invalid")</f>
        <v>Valid</v>
      </c>
      <c r="AN1858" t="str">
        <f t="shared" ref="AN1858:AN1921" si="384">IF(AND(ISNUMBER(P1858),P1858&gt;=0,ISNUMBER(Q1858),Q1858&gt;=0,ISNUMBER(R1858),R1858&gt;=0,ISNUMBER(S1858),S1858&gt;=0,ISNUMBER(T1858),T1858&gt;=0),"Valid","Invalid")</f>
        <v>Valid</v>
      </c>
      <c r="AO1858" t="str">
        <f t="shared" ref="AO1858:AO1921" si="385">IF(AND(U1858&lt;=1,V1858&lt;=1,W1858&lt;=1,X1858&lt;=1,Y1858&lt;=1),"Valid","Invalid")</f>
        <v>Valid</v>
      </c>
      <c r="AP1858" t="str">
        <f t="shared" ref="AP1858:AP1921" si="386">IF(OR(Z1858=0,Z1858=1),"Valid","Invalid")</f>
        <v>Valid</v>
      </c>
      <c r="AQ1858" t="str">
        <f>IF(Audit_Data[[#This Row],[Z_CostContact]]=3,"Valid","Invalid")</f>
        <v>Valid</v>
      </c>
      <c r="AR1858" t="str">
        <f t="shared" ref="AR1858:AR1921" si="387">IF(AB1858=11,"Valid","Invalid")</f>
        <v>Valid</v>
      </c>
      <c r="AS1858" t="str">
        <f t="shared" ref="AS1858:AS1921" si="388">IF(OR(AC1858=0,AC1858=1),"Valid","Invalid")</f>
        <v>Valid</v>
      </c>
    </row>
    <row r="1859" spans="1:45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 t="str">
        <f t="shared" si="377"/>
        <v>Ok</v>
      </c>
      <c r="AE1859" t="str">
        <f>IF(AND(Audit_Data[[#This Row],[Year_Birth]]&gt;=1900,Audit_Data[[#This Row],[Year_Birth]]&lt;=2010),"OK","Invalid")</f>
        <v>OK</v>
      </c>
      <c r="AF1859" t="str">
        <f t="shared" si="378"/>
        <v>Valid</v>
      </c>
      <c r="AG1859" t="str">
        <f t="shared" si="379"/>
        <v>Valid</v>
      </c>
      <c r="AH1859" t="str">
        <f t="shared" si="380"/>
        <v>Valid</v>
      </c>
      <c r="AI1859" t="str">
        <f t="shared" si="381"/>
        <v>Valid</v>
      </c>
      <c r="AJ1859" t="str">
        <f t="shared" si="382"/>
        <v>Valid</v>
      </c>
      <c r="AK1859" t="str">
        <f t="shared" ref="AK1859:AK1922" si="389">IF(AND(ISNUMBER(H1859),H1859&gt;=DATE(2012,1,1),H1859&lt;=DATE(2014,12,31)),"Valid ","Invalid")</f>
        <v xml:space="preserve">Valid </v>
      </c>
      <c r="AL1859" t="str">
        <f>IF(AND(Audit_Data[[#This Row],[Recency]]&gt;=0,Audit_Data[[#This Row],[Recency]]&lt;=100),"Valid","Invalid")</f>
        <v>Valid</v>
      </c>
      <c r="AM1859" t="str">
        <f t="shared" si="383"/>
        <v>Valid</v>
      </c>
      <c r="AN1859" t="str">
        <f t="shared" si="384"/>
        <v>Valid</v>
      </c>
      <c r="AO1859" t="str">
        <f t="shared" si="385"/>
        <v>Valid</v>
      </c>
      <c r="AP1859" t="str">
        <f t="shared" si="386"/>
        <v>Valid</v>
      </c>
      <c r="AQ1859" t="str">
        <f>IF(Audit_Data[[#This Row],[Z_CostContact]]=3,"Valid","Invalid")</f>
        <v>Valid</v>
      </c>
      <c r="AR1859" t="str">
        <f t="shared" si="387"/>
        <v>Valid</v>
      </c>
      <c r="AS1859" t="str">
        <f t="shared" si="388"/>
        <v>Valid</v>
      </c>
    </row>
    <row r="1860" spans="1:45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 t="str">
        <f t="shared" si="377"/>
        <v>Ok</v>
      </c>
      <c r="AE1860" t="str">
        <f>IF(AND(Audit_Data[[#This Row],[Year_Birth]]&gt;=1900,Audit_Data[[#This Row],[Year_Birth]]&lt;=2010),"OK","Invalid")</f>
        <v>OK</v>
      </c>
      <c r="AF1860" t="str">
        <f t="shared" si="378"/>
        <v>Valid</v>
      </c>
      <c r="AG1860" t="str">
        <f t="shared" si="379"/>
        <v>Valid</v>
      </c>
      <c r="AH1860" t="str">
        <f t="shared" si="380"/>
        <v>Valid</v>
      </c>
      <c r="AI1860" t="str">
        <f t="shared" si="381"/>
        <v>Valid</v>
      </c>
      <c r="AJ1860" t="str">
        <f t="shared" si="382"/>
        <v>Valid</v>
      </c>
      <c r="AK1860" t="str">
        <f t="shared" si="389"/>
        <v xml:space="preserve">Valid </v>
      </c>
      <c r="AL1860" t="str">
        <f>IF(AND(Audit_Data[[#This Row],[Recency]]&gt;=0,Audit_Data[[#This Row],[Recency]]&lt;=100),"Valid","Invalid")</f>
        <v>Valid</v>
      </c>
      <c r="AM1860" t="str">
        <f t="shared" si="383"/>
        <v>Valid</v>
      </c>
      <c r="AN1860" t="str">
        <f t="shared" si="384"/>
        <v>Valid</v>
      </c>
      <c r="AO1860" t="str">
        <f t="shared" si="385"/>
        <v>Valid</v>
      </c>
      <c r="AP1860" t="str">
        <f t="shared" si="386"/>
        <v>Valid</v>
      </c>
      <c r="AQ1860" t="str">
        <f>IF(Audit_Data[[#This Row],[Z_CostContact]]=3,"Valid","Invalid")</f>
        <v>Valid</v>
      </c>
      <c r="AR1860" t="str">
        <f t="shared" si="387"/>
        <v>Valid</v>
      </c>
      <c r="AS1860" t="str">
        <f t="shared" si="388"/>
        <v>Valid</v>
      </c>
    </row>
    <row r="1861" spans="1:45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 t="str">
        <f t="shared" si="377"/>
        <v>Ok</v>
      </c>
      <c r="AE1861" t="str">
        <f>IF(AND(Audit_Data[[#This Row],[Year_Birth]]&gt;=1900,Audit_Data[[#This Row],[Year_Birth]]&lt;=2010),"OK","Invalid")</f>
        <v>OK</v>
      </c>
      <c r="AF1861" t="str">
        <f t="shared" si="378"/>
        <v>Valid</v>
      </c>
      <c r="AG1861" t="str">
        <f t="shared" si="379"/>
        <v>Valid</v>
      </c>
      <c r="AH1861" t="str">
        <f t="shared" si="380"/>
        <v>Valid</v>
      </c>
      <c r="AI1861" t="str">
        <f t="shared" si="381"/>
        <v>Valid</v>
      </c>
      <c r="AJ1861" t="str">
        <f t="shared" si="382"/>
        <v>Valid</v>
      </c>
      <c r="AK1861" t="str">
        <f t="shared" si="389"/>
        <v xml:space="preserve">Valid </v>
      </c>
      <c r="AL1861" t="str">
        <f>IF(AND(Audit_Data[[#This Row],[Recency]]&gt;=0,Audit_Data[[#This Row],[Recency]]&lt;=100),"Valid","Invalid")</f>
        <v>Valid</v>
      </c>
      <c r="AM1861" t="str">
        <f t="shared" si="383"/>
        <v>Valid</v>
      </c>
      <c r="AN1861" t="str">
        <f t="shared" si="384"/>
        <v>Valid</v>
      </c>
      <c r="AO1861" t="str">
        <f t="shared" si="385"/>
        <v>Valid</v>
      </c>
      <c r="AP1861" t="str">
        <f t="shared" si="386"/>
        <v>Valid</v>
      </c>
      <c r="AQ1861" t="str">
        <f>IF(Audit_Data[[#This Row],[Z_CostContact]]=3,"Valid","Invalid")</f>
        <v>Valid</v>
      </c>
      <c r="AR1861" t="str">
        <f t="shared" si="387"/>
        <v>Valid</v>
      </c>
      <c r="AS1861" t="str">
        <f t="shared" si="388"/>
        <v>Valid</v>
      </c>
    </row>
    <row r="1862" spans="1:45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 t="str">
        <f t="shared" si="377"/>
        <v>Ok</v>
      </c>
      <c r="AE1862" t="str">
        <f>IF(AND(Audit_Data[[#This Row],[Year_Birth]]&gt;=1900,Audit_Data[[#This Row],[Year_Birth]]&lt;=2010),"OK","Invalid")</f>
        <v>OK</v>
      </c>
      <c r="AF1862" t="str">
        <f t="shared" si="378"/>
        <v>Valid</v>
      </c>
      <c r="AG1862" t="str">
        <f t="shared" si="379"/>
        <v>Valid</v>
      </c>
      <c r="AH1862" t="str">
        <f t="shared" si="380"/>
        <v>Valid</v>
      </c>
      <c r="AI1862" t="str">
        <f t="shared" si="381"/>
        <v>Valid</v>
      </c>
      <c r="AJ1862" t="str">
        <f t="shared" si="382"/>
        <v>Valid</v>
      </c>
      <c r="AK1862" t="str">
        <f t="shared" si="389"/>
        <v xml:space="preserve">Valid </v>
      </c>
      <c r="AL1862" t="str">
        <f>IF(AND(Audit_Data[[#This Row],[Recency]]&gt;=0,Audit_Data[[#This Row],[Recency]]&lt;=100),"Valid","Invalid")</f>
        <v>Valid</v>
      </c>
      <c r="AM1862" t="str">
        <f t="shared" si="383"/>
        <v>Valid</v>
      </c>
      <c r="AN1862" t="str">
        <f t="shared" si="384"/>
        <v>Valid</v>
      </c>
      <c r="AO1862" t="str">
        <f t="shared" si="385"/>
        <v>Valid</v>
      </c>
      <c r="AP1862" t="str">
        <f t="shared" si="386"/>
        <v>Valid</v>
      </c>
      <c r="AQ1862" t="str">
        <f>IF(Audit_Data[[#This Row],[Z_CostContact]]=3,"Valid","Invalid")</f>
        <v>Valid</v>
      </c>
      <c r="AR1862" t="str">
        <f t="shared" si="387"/>
        <v>Valid</v>
      </c>
      <c r="AS1862" t="str">
        <f t="shared" si="388"/>
        <v>Valid</v>
      </c>
    </row>
    <row r="1863" spans="1:45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 t="str">
        <f t="shared" si="377"/>
        <v>Ok</v>
      </c>
      <c r="AE1863" t="str">
        <f>IF(AND(Audit_Data[[#This Row],[Year_Birth]]&gt;=1900,Audit_Data[[#This Row],[Year_Birth]]&lt;=2010),"OK","Invalid")</f>
        <v>OK</v>
      </c>
      <c r="AF1863" t="str">
        <f t="shared" si="378"/>
        <v>Valid</v>
      </c>
      <c r="AG1863" t="str">
        <f t="shared" si="379"/>
        <v>Valid</v>
      </c>
      <c r="AH1863" t="str">
        <f t="shared" si="380"/>
        <v>Valid</v>
      </c>
      <c r="AI1863" t="str">
        <f t="shared" si="381"/>
        <v>Valid</v>
      </c>
      <c r="AJ1863" t="str">
        <f t="shared" si="382"/>
        <v>Valid</v>
      </c>
      <c r="AK1863" t="str">
        <f t="shared" si="389"/>
        <v xml:space="preserve">Valid </v>
      </c>
      <c r="AL1863" t="str">
        <f>IF(AND(Audit_Data[[#This Row],[Recency]]&gt;=0,Audit_Data[[#This Row],[Recency]]&lt;=100),"Valid","Invalid")</f>
        <v>Valid</v>
      </c>
      <c r="AM1863" t="str">
        <f t="shared" si="383"/>
        <v>Valid</v>
      </c>
      <c r="AN1863" t="str">
        <f t="shared" si="384"/>
        <v>Valid</v>
      </c>
      <c r="AO1863" t="str">
        <f t="shared" si="385"/>
        <v>Valid</v>
      </c>
      <c r="AP1863" t="str">
        <f t="shared" si="386"/>
        <v>Valid</v>
      </c>
      <c r="AQ1863" t="str">
        <f>IF(Audit_Data[[#This Row],[Z_CostContact]]=3,"Valid","Invalid")</f>
        <v>Valid</v>
      </c>
      <c r="AR1863" t="str">
        <f t="shared" si="387"/>
        <v>Valid</v>
      </c>
      <c r="AS1863" t="str">
        <f t="shared" si="388"/>
        <v>Valid</v>
      </c>
    </row>
    <row r="1864" spans="1:45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 t="str">
        <f t="shared" si="377"/>
        <v>Ok</v>
      </c>
      <c r="AE1864" t="str">
        <f>IF(AND(Audit_Data[[#This Row],[Year_Birth]]&gt;=1900,Audit_Data[[#This Row],[Year_Birth]]&lt;=2010),"OK","Invalid")</f>
        <v>OK</v>
      </c>
      <c r="AF1864" t="str">
        <f t="shared" si="378"/>
        <v>Valid</v>
      </c>
      <c r="AG1864" t="str">
        <f t="shared" si="379"/>
        <v>Valid</v>
      </c>
      <c r="AH1864" t="str">
        <f t="shared" si="380"/>
        <v>Valid</v>
      </c>
      <c r="AI1864" t="str">
        <f t="shared" si="381"/>
        <v>Valid</v>
      </c>
      <c r="AJ1864" t="str">
        <f t="shared" si="382"/>
        <v>Valid</v>
      </c>
      <c r="AK1864" t="str">
        <f t="shared" si="389"/>
        <v xml:space="preserve">Valid </v>
      </c>
      <c r="AL1864" t="str">
        <f>IF(AND(Audit_Data[[#This Row],[Recency]]&gt;=0,Audit_Data[[#This Row],[Recency]]&lt;=100),"Valid","Invalid")</f>
        <v>Valid</v>
      </c>
      <c r="AM1864" t="str">
        <f t="shared" si="383"/>
        <v>Valid</v>
      </c>
      <c r="AN1864" t="str">
        <f t="shared" si="384"/>
        <v>Valid</v>
      </c>
      <c r="AO1864" t="str">
        <f t="shared" si="385"/>
        <v>Valid</v>
      </c>
      <c r="AP1864" t="str">
        <f t="shared" si="386"/>
        <v>Valid</v>
      </c>
      <c r="AQ1864" t="str">
        <f>IF(Audit_Data[[#This Row],[Z_CostContact]]=3,"Valid","Invalid")</f>
        <v>Valid</v>
      </c>
      <c r="AR1864" t="str">
        <f t="shared" si="387"/>
        <v>Valid</v>
      </c>
      <c r="AS1864" t="str">
        <f t="shared" si="388"/>
        <v>Valid</v>
      </c>
    </row>
    <row r="1865" spans="1:45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 t="str">
        <f t="shared" si="377"/>
        <v>Ok</v>
      </c>
      <c r="AE1865" t="str">
        <f>IF(AND(Audit_Data[[#This Row],[Year_Birth]]&gt;=1900,Audit_Data[[#This Row],[Year_Birth]]&lt;=2010),"OK","Invalid")</f>
        <v>OK</v>
      </c>
      <c r="AF1865" t="str">
        <f t="shared" si="378"/>
        <v>Valid</v>
      </c>
      <c r="AG1865" t="str">
        <f t="shared" si="379"/>
        <v>Valid</v>
      </c>
      <c r="AH1865" t="str">
        <f t="shared" si="380"/>
        <v>Valid</v>
      </c>
      <c r="AI1865" t="str">
        <f t="shared" si="381"/>
        <v>Valid</v>
      </c>
      <c r="AJ1865" t="str">
        <f t="shared" si="382"/>
        <v>Valid</v>
      </c>
      <c r="AK1865" t="str">
        <f t="shared" si="389"/>
        <v xml:space="preserve">Valid </v>
      </c>
      <c r="AL1865" t="str">
        <f>IF(AND(Audit_Data[[#This Row],[Recency]]&gt;=0,Audit_Data[[#This Row],[Recency]]&lt;=100),"Valid","Invalid")</f>
        <v>Valid</v>
      </c>
      <c r="AM1865" t="str">
        <f t="shared" si="383"/>
        <v>Valid</v>
      </c>
      <c r="AN1865" t="str">
        <f t="shared" si="384"/>
        <v>Valid</v>
      </c>
      <c r="AO1865" t="str">
        <f t="shared" si="385"/>
        <v>Valid</v>
      </c>
      <c r="AP1865" t="str">
        <f t="shared" si="386"/>
        <v>Valid</v>
      </c>
      <c r="AQ1865" t="str">
        <f>IF(Audit_Data[[#This Row],[Z_CostContact]]=3,"Valid","Invalid")</f>
        <v>Valid</v>
      </c>
      <c r="AR1865" t="str">
        <f t="shared" si="387"/>
        <v>Valid</v>
      </c>
      <c r="AS1865" t="str">
        <f t="shared" si="388"/>
        <v>Valid</v>
      </c>
    </row>
    <row r="1866" spans="1:45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 t="str">
        <f t="shared" si="377"/>
        <v>Ok</v>
      </c>
      <c r="AE1866" t="str">
        <f>IF(AND(Audit_Data[[#This Row],[Year_Birth]]&gt;=1900,Audit_Data[[#This Row],[Year_Birth]]&lt;=2010),"OK","Invalid")</f>
        <v>OK</v>
      </c>
      <c r="AF1866" t="str">
        <f t="shared" si="378"/>
        <v>Valid</v>
      </c>
      <c r="AG1866" t="str">
        <f t="shared" si="379"/>
        <v>Valid</v>
      </c>
      <c r="AH1866" t="str">
        <f t="shared" si="380"/>
        <v>Valid</v>
      </c>
      <c r="AI1866" t="str">
        <f t="shared" si="381"/>
        <v>Valid</v>
      </c>
      <c r="AJ1866" t="str">
        <f t="shared" si="382"/>
        <v>Valid</v>
      </c>
      <c r="AK1866" t="str">
        <f t="shared" si="389"/>
        <v xml:space="preserve">Valid </v>
      </c>
      <c r="AL1866" t="str">
        <f>IF(AND(Audit_Data[[#This Row],[Recency]]&gt;=0,Audit_Data[[#This Row],[Recency]]&lt;=100),"Valid","Invalid")</f>
        <v>Valid</v>
      </c>
      <c r="AM1866" t="str">
        <f t="shared" si="383"/>
        <v>Valid</v>
      </c>
      <c r="AN1866" t="str">
        <f t="shared" si="384"/>
        <v>Valid</v>
      </c>
      <c r="AO1866" t="str">
        <f t="shared" si="385"/>
        <v>Valid</v>
      </c>
      <c r="AP1866" t="str">
        <f t="shared" si="386"/>
        <v>Valid</v>
      </c>
      <c r="AQ1866" t="str">
        <f>IF(Audit_Data[[#This Row],[Z_CostContact]]=3,"Valid","Invalid")</f>
        <v>Valid</v>
      </c>
      <c r="AR1866" t="str">
        <f t="shared" si="387"/>
        <v>Valid</v>
      </c>
      <c r="AS1866" t="str">
        <f t="shared" si="388"/>
        <v>Valid</v>
      </c>
    </row>
    <row r="1867" spans="1:45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 t="str">
        <f t="shared" si="377"/>
        <v>Ok</v>
      </c>
      <c r="AE1867" t="str">
        <f>IF(AND(Audit_Data[[#This Row],[Year_Birth]]&gt;=1900,Audit_Data[[#This Row],[Year_Birth]]&lt;=2010),"OK","Invalid")</f>
        <v>OK</v>
      </c>
      <c r="AF1867" t="str">
        <f t="shared" si="378"/>
        <v>Valid</v>
      </c>
      <c r="AG1867" t="str">
        <f t="shared" si="379"/>
        <v>Valid</v>
      </c>
      <c r="AH1867" t="str">
        <f t="shared" si="380"/>
        <v>Valid</v>
      </c>
      <c r="AI1867" t="str">
        <f t="shared" si="381"/>
        <v>Valid</v>
      </c>
      <c r="AJ1867" t="str">
        <f t="shared" si="382"/>
        <v>Valid</v>
      </c>
      <c r="AK1867" t="str">
        <f t="shared" si="389"/>
        <v xml:space="preserve">Valid </v>
      </c>
      <c r="AL1867" t="str">
        <f>IF(AND(Audit_Data[[#This Row],[Recency]]&gt;=0,Audit_Data[[#This Row],[Recency]]&lt;=100),"Valid","Invalid")</f>
        <v>Valid</v>
      </c>
      <c r="AM1867" t="str">
        <f t="shared" si="383"/>
        <v>Valid</v>
      </c>
      <c r="AN1867" t="str">
        <f t="shared" si="384"/>
        <v>Valid</v>
      </c>
      <c r="AO1867" t="str">
        <f t="shared" si="385"/>
        <v>Valid</v>
      </c>
      <c r="AP1867" t="str">
        <f t="shared" si="386"/>
        <v>Valid</v>
      </c>
      <c r="AQ1867" t="str">
        <f>IF(Audit_Data[[#This Row],[Z_CostContact]]=3,"Valid","Invalid")</f>
        <v>Valid</v>
      </c>
      <c r="AR1867" t="str">
        <f t="shared" si="387"/>
        <v>Valid</v>
      </c>
      <c r="AS1867" t="str">
        <f t="shared" si="388"/>
        <v>Valid</v>
      </c>
    </row>
    <row r="1868" spans="1:45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 t="str">
        <f t="shared" si="377"/>
        <v>Ok</v>
      </c>
      <c r="AE1868" t="str">
        <f>IF(AND(Audit_Data[[#This Row],[Year_Birth]]&gt;=1900,Audit_Data[[#This Row],[Year_Birth]]&lt;=2010),"OK","Invalid")</f>
        <v>OK</v>
      </c>
      <c r="AF1868" t="str">
        <f t="shared" si="378"/>
        <v>Valid</v>
      </c>
      <c r="AG1868" t="str">
        <f t="shared" si="379"/>
        <v>Valid</v>
      </c>
      <c r="AH1868" t="str">
        <f t="shared" si="380"/>
        <v>Valid</v>
      </c>
      <c r="AI1868" t="str">
        <f t="shared" si="381"/>
        <v>Valid</v>
      </c>
      <c r="AJ1868" t="str">
        <f t="shared" si="382"/>
        <v>Valid</v>
      </c>
      <c r="AK1868" t="str">
        <f t="shared" si="389"/>
        <v xml:space="preserve">Valid </v>
      </c>
      <c r="AL1868" t="str">
        <f>IF(AND(Audit_Data[[#This Row],[Recency]]&gt;=0,Audit_Data[[#This Row],[Recency]]&lt;=100),"Valid","Invalid")</f>
        <v>Valid</v>
      </c>
      <c r="AM1868" t="str">
        <f t="shared" si="383"/>
        <v>Valid</v>
      </c>
      <c r="AN1868" t="str">
        <f t="shared" si="384"/>
        <v>Valid</v>
      </c>
      <c r="AO1868" t="str">
        <f t="shared" si="385"/>
        <v>Valid</v>
      </c>
      <c r="AP1868" t="str">
        <f t="shared" si="386"/>
        <v>Valid</v>
      </c>
      <c r="AQ1868" t="str">
        <f>IF(Audit_Data[[#This Row],[Z_CostContact]]=3,"Valid","Invalid")</f>
        <v>Valid</v>
      </c>
      <c r="AR1868" t="str">
        <f t="shared" si="387"/>
        <v>Valid</v>
      </c>
      <c r="AS1868" t="str">
        <f t="shared" si="388"/>
        <v>Valid</v>
      </c>
    </row>
    <row r="1869" spans="1:45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 t="str">
        <f t="shared" si="377"/>
        <v>Ok</v>
      </c>
      <c r="AE1869" t="str">
        <f>IF(AND(Audit_Data[[#This Row],[Year_Birth]]&gt;=1900,Audit_Data[[#This Row],[Year_Birth]]&lt;=2010),"OK","Invalid")</f>
        <v>OK</v>
      </c>
      <c r="AF1869" t="str">
        <f t="shared" si="378"/>
        <v>Valid</v>
      </c>
      <c r="AG1869" t="str">
        <f t="shared" si="379"/>
        <v>Valid</v>
      </c>
      <c r="AH1869" t="str">
        <f t="shared" si="380"/>
        <v>Valid</v>
      </c>
      <c r="AI1869" t="str">
        <f t="shared" si="381"/>
        <v>Valid</v>
      </c>
      <c r="AJ1869" t="str">
        <f t="shared" si="382"/>
        <v>Valid</v>
      </c>
      <c r="AK1869" t="str">
        <f t="shared" si="389"/>
        <v xml:space="preserve">Valid </v>
      </c>
      <c r="AL1869" t="str">
        <f>IF(AND(Audit_Data[[#This Row],[Recency]]&gt;=0,Audit_Data[[#This Row],[Recency]]&lt;=100),"Valid","Invalid")</f>
        <v>Valid</v>
      </c>
      <c r="AM1869" t="str">
        <f t="shared" si="383"/>
        <v>Valid</v>
      </c>
      <c r="AN1869" t="str">
        <f t="shared" si="384"/>
        <v>Valid</v>
      </c>
      <c r="AO1869" t="str">
        <f t="shared" si="385"/>
        <v>Valid</v>
      </c>
      <c r="AP1869" t="str">
        <f t="shared" si="386"/>
        <v>Valid</v>
      </c>
      <c r="AQ1869" t="str">
        <f>IF(Audit_Data[[#This Row],[Z_CostContact]]=3,"Valid","Invalid")</f>
        <v>Valid</v>
      </c>
      <c r="AR1869" t="str">
        <f t="shared" si="387"/>
        <v>Valid</v>
      </c>
      <c r="AS1869" t="str">
        <f t="shared" si="388"/>
        <v>Valid</v>
      </c>
    </row>
    <row r="1870" spans="1:45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 t="str">
        <f t="shared" si="377"/>
        <v>Ok</v>
      </c>
      <c r="AE1870" t="str">
        <f>IF(AND(Audit_Data[[#This Row],[Year_Birth]]&gt;=1900,Audit_Data[[#This Row],[Year_Birth]]&lt;=2010),"OK","Invalid")</f>
        <v>OK</v>
      </c>
      <c r="AF1870" t="str">
        <f t="shared" si="378"/>
        <v>Valid</v>
      </c>
      <c r="AG1870" t="str">
        <f t="shared" si="379"/>
        <v>Valid</v>
      </c>
      <c r="AH1870" t="str">
        <f t="shared" si="380"/>
        <v>Valid</v>
      </c>
      <c r="AI1870" t="str">
        <f t="shared" si="381"/>
        <v>Valid</v>
      </c>
      <c r="AJ1870" t="str">
        <f t="shared" si="382"/>
        <v>Valid</v>
      </c>
      <c r="AK1870" t="str">
        <f t="shared" si="389"/>
        <v xml:space="preserve">Valid </v>
      </c>
      <c r="AL1870" t="str">
        <f>IF(AND(Audit_Data[[#This Row],[Recency]]&gt;=0,Audit_Data[[#This Row],[Recency]]&lt;=100),"Valid","Invalid")</f>
        <v>Valid</v>
      </c>
      <c r="AM1870" t="str">
        <f t="shared" si="383"/>
        <v>Valid</v>
      </c>
      <c r="AN1870" t="str">
        <f t="shared" si="384"/>
        <v>Valid</v>
      </c>
      <c r="AO1870" t="str">
        <f t="shared" si="385"/>
        <v>Valid</v>
      </c>
      <c r="AP1870" t="str">
        <f t="shared" si="386"/>
        <v>Valid</v>
      </c>
      <c r="AQ1870" t="str">
        <f>IF(Audit_Data[[#This Row],[Z_CostContact]]=3,"Valid","Invalid")</f>
        <v>Valid</v>
      </c>
      <c r="AR1870" t="str">
        <f t="shared" si="387"/>
        <v>Valid</v>
      </c>
      <c r="AS1870" t="str">
        <f t="shared" si="388"/>
        <v>Valid</v>
      </c>
    </row>
    <row r="1871" spans="1:45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 t="str">
        <f t="shared" si="377"/>
        <v>Ok</v>
      </c>
      <c r="AE1871" t="str">
        <f>IF(AND(Audit_Data[[#This Row],[Year_Birth]]&gt;=1900,Audit_Data[[#This Row],[Year_Birth]]&lt;=2010),"OK","Invalid")</f>
        <v>OK</v>
      </c>
      <c r="AF1871" t="str">
        <f t="shared" si="378"/>
        <v>Valid</v>
      </c>
      <c r="AG1871" t="str">
        <f t="shared" si="379"/>
        <v>Valid</v>
      </c>
      <c r="AH1871" t="str">
        <f t="shared" si="380"/>
        <v>Valid</v>
      </c>
      <c r="AI1871" t="str">
        <f t="shared" si="381"/>
        <v>Valid</v>
      </c>
      <c r="AJ1871" t="str">
        <f t="shared" si="382"/>
        <v>Valid</v>
      </c>
      <c r="AK1871" t="str">
        <f t="shared" si="389"/>
        <v xml:space="preserve">Valid </v>
      </c>
      <c r="AL1871" t="str">
        <f>IF(AND(Audit_Data[[#This Row],[Recency]]&gt;=0,Audit_Data[[#This Row],[Recency]]&lt;=100),"Valid","Invalid")</f>
        <v>Valid</v>
      </c>
      <c r="AM1871" t="str">
        <f t="shared" si="383"/>
        <v>Valid</v>
      </c>
      <c r="AN1871" t="str">
        <f t="shared" si="384"/>
        <v>Valid</v>
      </c>
      <c r="AO1871" t="str">
        <f t="shared" si="385"/>
        <v>Valid</v>
      </c>
      <c r="AP1871" t="str">
        <f t="shared" si="386"/>
        <v>Valid</v>
      </c>
      <c r="AQ1871" t="str">
        <f>IF(Audit_Data[[#This Row],[Z_CostContact]]=3,"Valid","Invalid")</f>
        <v>Valid</v>
      </c>
      <c r="AR1871" t="str">
        <f t="shared" si="387"/>
        <v>Valid</v>
      </c>
      <c r="AS1871" t="str">
        <f t="shared" si="388"/>
        <v>Valid</v>
      </c>
    </row>
    <row r="1872" spans="1:45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 t="str">
        <f t="shared" si="377"/>
        <v>Ok</v>
      </c>
      <c r="AE1872" t="str">
        <f>IF(AND(Audit_Data[[#This Row],[Year_Birth]]&gt;=1900,Audit_Data[[#This Row],[Year_Birth]]&lt;=2010),"OK","Invalid")</f>
        <v>OK</v>
      </c>
      <c r="AF1872" t="str">
        <f t="shared" si="378"/>
        <v>Valid</v>
      </c>
      <c r="AG1872" t="str">
        <f t="shared" si="379"/>
        <v>Valid</v>
      </c>
      <c r="AH1872" t="str">
        <f t="shared" si="380"/>
        <v>Valid</v>
      </c>
      <c r="AI1872" t="str">
        <f t="shared" si="381"/>
        <v>Valid</v>
      </c>
      <c r="AJ1872" t="str">
        <f t="shared" si="382"/>
        <v>Valid</v>
      </c>
      <c r="AK1872" t="str">
        <f t="shared" si="389"/>
        <v xml:space="preserve">Valid </v>
      </c>
      <c r="AL1872" t="str">
        <f>IF(AND(Audit_Data[[#This Row],[Recency]]&gt;=0,Audit_Data[[#This Row],[Recency]]&lt;=100),"Valid","Invalid")</f>
        <v>Valid</v>
      </c>
      <c r="AM1872" t="str">
        <f t="shared" si="383"/>
        <v>Valid</v>
      </c>
      <c r="AN1872" t="str">
        <f t="shared" si="384"/>
        <v>Valid</v>
      </c>
      <c r="AO1872" t="str">
        <f t="shared" si="385"/>
        <v>Valid</v>
      </c>
      <c r="AP1872" t="str">
        <f t="shared" si="386"/>
        <v>Valid</v>
      </c>
      <c r="AQ1872" t="str">
        <f>IF(Audit_Data[[#This Row],[Z_CostContact]]=3,"Valid","Invalid")</f>
        <v>Valid</v>
      </c>
      <c r="AR1872" t="str">
        <f t="shared" si="387"/>
        <v>Valid</v>
      </c>
      <c r="AS1872" t="str">
        <f t="shared" si="388"/>
        <v>Valid</v>
      </c>
    </row>
    <row r="1873" spans="1:45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 t="str">
        <f t="shared" si="377"/>
        <v>Ok</v>
      </c>
      <c r="AE1873" t="str">
        <f>IF(AND(Audit_Data[[#This Row],[Year_Birth]]&gt;=1900,Audit_Data[[#This Row],[Year_Birth]]&lt;=2010),"OK","Invalid")</f>
        <v>OK</v>
      </c>
      <c r="AF1873" t="str">
        <f t="shared" si="378"/>
        <v>Valid</v>
      </c>
      <c r="AG1873" t="str">
        <f t="shared" si="379"/>
        <v>Valid</v>
      </c>
      <c r="AH1873" t="str">
        <f t="shared" si="380"/>
        <v>Valid</v>
      </c>
      <c r="AI1873" t="str">
        <f t="shared" si="381"/>
        <v>Valid</v>
      </c>
      <c r="AJ1873" t="str">
        <f t="shared" si="382"/>
        <v>Valid</v>
      </c>
      <c r="AK1873" t="str">
        <f t="shared" si="389"/>
        <v xml:space="preserve">Valid </v>
      </c>
      <c r="AL1873" t="str">
        <f>IF(AND(Audit_Data[[#This Row],[Recency]]&gt;=0,Audit_Data[[#This Row],[Recency]]&lt;=100),"Valid","Invalid")</f>
        <v>Valid</v>
      </c>
      <c r="AM1873" t="str">
        <f t="shared" si="383"/>
        <v>Valid</v>
      </c>
      <c r="AN1873" t="str">
        <f t="shared" si="384"/>
        <v>Valid</v>
      </c>
      <c r="AO1873" t="str">
        <f t="shared" si="385"/>
        <v>Valid</v>
      </c>
      <c r="AP1873" t="str">
        <f t="shared" si="386"/>
        <v>Valid</v>
      </c>
      <c r="AQ1873" t="str">
        <f>IF(Audit_Data[[#This Row],[Z_CostContact]]=3,"Valid","Invalid")</f>
        <v>Valid</v>
      </c>
      <c r="AR1873" t="str">
        <f t="shared" si="387"/>
        <v>Valid</v>
      </c>
      <c r="AS1873" t="str">
        <f t="shared" si="388"/>
        <v>Valid</v>
      </c>
    </row>
    <row r="1874" spans="1:45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 t="str">
        <f t="shared" si="377"/>
        <v>Ok</v>
      </c>
      <c r="AE1874" t="str">
        <f>IF(AND(Audit_Data[[#This Row],[Year_Birth]]&gt;=1900,Audit_Data[[#This Row],[Year_Birth]]&lt;=2010),"OK","Invalid")</f>
        <v>OK</v>
      </c>
      <c r="AF1874" t="str">
        <f t="shared" si="378"/>
        <v>Valid</v>
      </c>
      <c r="AG1874" t="str">
        <f t="shared" si="379"/>
        <v>Valid</v>
      </c>
      <c r="AH1874" t="str">
        <f t="shared" si="380"/>
        <v>Valid</v>
      </c>
      <c r="AI1874" t="str">
        <f t="shared" si="381"/>
        <v>Valid</v>
      </c>
      <c r="AJ1874" t="str">
        <f t="shared" si="382"/>
        <v>Valid</v>
      </c>
      <c r="AK1874" t="str">
        <f t="shared" si="389"/>
        <v xml:space="preserve">Valid </v>
      </c>
      <c r="AL1874" t="str">
        <f>IF(AND(Audit_Data[[#This Row],[Recency]]&gt;=0,Audit_Data[[#This Row],[Recency]]&lt;=100),"Valid","Invalid")</f>
        <v>Valid</v>
      </c>
      <c r="AM1874" t="str">
        <f t="shared" si="383"/>
        <v>Valid</v>
      </c>
      <c r="AN1874" t="str">
        <f t="shared" si="384"/>
        <v>Valid</v>
      </c>
      <c r="AO1874" t="str">
        <f t="shared" si="385"/>
        <v>Valid</v>
      </c>
      <c r="AP1874" t="str">
        <f t="shared" si="386"/>
        <v>Valid</v>
      </c>
      <c r="AQ1874" t="str">
        <f>IF(Audit_Data[[#This Row],[Z_CostContact]]=3,"Valid","Invalid")</f>
        <v>Valid</v>
      </c>
      <c r="AR1874" t="str">
        <f t="shared" si="387"/>
        <v>Valid</v>
      </c>
      <c r="AS1874" t="str">
        <f t="shared" si="388"/>
        <v>Valid</v>
      </c>
    </row>
    <row r="1875" spans="1:45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 t="str">
        <f t="shared" si="377"/>
        <v>Ok</v>
      </c>
      <c r="AE1875" t="str">
        <f>IF(AND(Audit_Data[[#This Row],[Year_Birth]]&gt;=1900,Audit_Data[[#This Row],[Year_Birth]]&lt;=2010),"OK","Invalid")</f>
        <v>OK</v>
      </c>
      <c r="AF1875" t="str">
        <f t="shared" si="378"/>
        <v>Valid</v>
      </c>
      <c r="AG1875" t="str">
        <f t="shared" si="379"/>
        <v>Valid</v>
      </c>
      <c r="AH1875" t="str">
        <f t="shared" si="380"/>
        <v>Valid</v>
      </c>
      <c r="AI1875" t="str">
        <f t="shared" si="381"/>
        <v>Valid</v>
      </c>
      <c r="AJ1875" t="str">
        <f t="shared" si="382"/>
        <v>Valid</v>
      </c>
      <c r="AK1875" t="str">
        <f t="shared" si="389"/>
        <v xml:space="preserve">Valid </v>
      </c>
      <c r="AL1875" t="str">
        <f>IF(AND(Audit_Data[[#This Row],[Recency]]&gt;=0,Audit_Data[[#This Row],[Recency]]&lt;=100),"Valid","Invalid")</f>
        <v>Valid</v>
      </c>
      <c r="AM1875" t="str">
        <f t="shared" si="383"/>
        <v>Valid</v>
      </c>
      <c r="AN1875" t="str">
        <f t="shared" si="384"/>
        <v>Valid</v>
      </c>
      <c r="AO1875" t="str">
        <f t="shared" si="385"/>
        <v>Valid</v>
      </c>
      <c r="AP1875" t="str">
        <f t="shared" si="386"/>
        <v>Valid</v>
      </c>
      <c r="AQ1875" t="str">
        <f>IF(Audit_Data[[#This Row],[Z_CostContact]]=3,"Valid","Invalid")</f>
        <v>Valid</v>
      </c>
      <c r="AR1875" t="str">
        <f t="shared" si="387"/>
        <v>Valid</v>
      </c>
      <c r="AS1875" t="str">
        <f t="shared" si="388"/>
        <v>Valid</v>
      </c>
    </row>
    <row r="1876" spans="1:45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 t="str">
        <f t="shared" si="377"/>
        <v>Ok</v>
      </c>
      <c r="AE1876" t="str">
        <f>IF(AND(Audit_Data[[#This Row],[Year_Birth]]&gt;=1900,Audit_Data[[#This Row],[Year_Birth]]&lt;=2010),"OK","Invalid")</f>
        <v>OK</v>
      </c>
      <c r="AF1876" t="str">
        <f t="shared" si="378"/>
        <v>Valid</v>
      </c>
      <c r="AG1876" t="str">
        <f t="shared" si="379"/>
        <v>Valid</v>
      </c>
      <c r="AH1876" t="str">
        <f t="shared" si="380"/>
        <v>Valid</v>
      </c>
      <c r="AI1876" t="str">
        <f t="shared" si="381"/>
        <v>Valid</v>
      </c>
      <c r="AJ1876" t="str">
        <f t="shared" si="382"/>
        <v>Valid</v>
      </c>
      <c r="AK1876" t="str">
        <f t="shared" si="389"/>
        <v xml:space="preserve">Valid </v>
      </c>
      <c r="AL1876" t="str">
        <f>IF(AND(Audit_Data[[#This Row],[Recency]]&gt;=0,Audit_Data[[#This Row],[Recency]]&lt;=100),"Valid","Invalid")</f>
        <v>Valid</v>
      </c>
      <c r="AM1876" t="str">
        <f t="shared" si="383"/>
        <v>Valid</v>
      </c>
      <c r="AN1876" t="str">
        <f t="shared" si="384"/>
        <v>Valid</v>
      </c>
      <c r="AO1876" t="str">
        <f t="shared" si="385"/>
        <v>Valid</v>
      </c>
      <c r="AP1876" t="str">
        <f t="shared" si="386"/>
        <v>Valid</v>
      </c>
      <c r="AQ1876" t="str">
        <f>IF(Audit_Data[[#This Row],[Z_CostContact]]=3,"Valid","Invalid")</f>
        <v>Valid</v>
      </c>
      <c r="AR1876" t="str">
        <f t="shared" si="387"/>
        <v>Valid</v>
      </c>
      <c r="AS1876" t="str">
        <f t="shared" si="388"/>
        <v>Valid</v>
      </c>
    </row>
    <row r="1877" spans="1:45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 t="str">
        <f t="shared" si="377"/>
        <v>Ok</v>
      </c>
      <c r="AE1877" t="str">
        <f>IF(AND(Audit_Data[[#This Row],[Year_Birth]]&gt;=1900,Audit_Data[[#This Row],[Year_Birth]]&lt;=2010),"OK","Invalid")</f>
        <v>OK</v>
      </c>
      <c r="AF1877" t="str">
        <f t="shared" si="378"/>
        <v>Valid</v>
      </c>
      <c r="AG1877" t="str">
        <f t="shared" si="379"/>
        <v>Valid</v>
      </c>
      <c r="AH1877" t="str">
        <f t="shared" si="380"/>
        <v>Valid</v>
      </c>
      <c r="AI1877" t="str">
        <f t="shared" si="381"/>
        <v>Valid</v>
      </c>
      <c r="AJ1877" t="str">
        <f t="shared" si="382"/>
        <v>Valid</v>
      </c>
      <c r="AK1877" t="str">
        <f t="shared" si="389"/>
        <v xml:space="preserve">Valid </v>
      </c>
      <c r="AL1877" t="str">
        <f>IF(AND(Audit_Data[[#This Row],[Recency]]&gt;=0,Audit_Data[[#This Row],[Recency]]&lt;=100),"Valid","Invalid")</f>
        <v>Valid</v>
      </c>
      <c r="AM1877" t="str">
        <f t="shared" si="383"/>
        <v>Valid</v>
      </c>
      <c r="AN1877" t="str">
        <f t="shared" si="384"/>
        <v>Valid</v>
      </c>
      <c r="AO1877" t="str">
        <f t="shared" si="385"/>
        <v>Valid</v>
      </c>
      <c r="AP1877" t="str">
        <f t="shared" si="386"/>
        <v>Valid</v>
      </c>
      <c r="AQ1877" t="str">
        <f>IF(Audit_Data[[#This Row],[Z_CostContact]]=3,"Valid","Invalid")</f>
        <v>Valid</v>
      </c>
      <c r="AR1877" t="str">
        <f t="shared" si="387"/>
        <v>Valid</v>
      </c>
      <c r="AS1877" t="str">
        <f t="shared" si="388"/>
        <v>Valid</v>
      </c>
    </row>
    <row r="1878" spans="1:45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 t="str">
        <f t="shared" si="377"/>
        <v>Ok</v>
      </c>
      <c r="AE1878" t="str">
        <f>IF(AND(Audit_Data[[#This Row],[Year_Birth]]&gt;=1900,Audit_Data[[#This Row],[Year_Birth]]&lt;=2010),"OK","Invalid")</f>
        <v>OK</v>
      </c>
      <c r="AF1878" t="str">
        <f t="shared" si="378"/>
        <v>Valid</v>
      </c>
      <c r="AG1878" t="str">
        <f t="shared" si="379"/>
        <v>Valid</v>
      </c>
      <c r="AH1878" t="str">
        <f t="shared" si="380"/>
        <v>Valid</v>
      </c>
      <c r="AI1878" t="str">
        <f t="shared" si="381"/>
        <v>Valid</v>
      </c>
      <c r="AJ1878" t="str">
        <f t="shared" si="382"/>
        <v>Valid</v>
      </c>
      <c r="AK1878" t="str">
        <f t="shared" si="389"/>
        <v xml:space="preserve">Valid </v>
      </c>
      <c r="AL1878" t="str">
        <f>IF(AND(Audit_Data[[#This Row],[Recency]]&gt;=0,Audit_Data[[#This Row],[Recency]]&lt;=100),"Valid","Invalid")</f>
        <v>Valid</v>
      </c>
      <c r="AM1878" t="str">
        <f t="shared" si="383"/>
        <v>Valid</v>
      </c>
      <c r="AN1878" t="str">
        <f t="shared" si="384"/>
        <v>Valid</v>
      </c>
      <c r="AO1878" t="str">
        <f t="shared" si="385"/>
        <v>Valid</v>
      </c>
      <c r="AP1878" t="str">
        <f t="shared" si="386"/>
        <v>Valid</v>
      </c>
      <c r="AQ1878" t="str">
        <f>IF(Audit_Data[[#This Row],[Z_CostContact]]=3,"Valid","Invalid")</f>
        <v>Valid</v>
      </c>
      <c r="AR1878" t="str">
        <f t="shared" si="387"/>
        <v>Valid</v>
      </c>
      <c r="AS1878" t="str">
        <f t="shared" si="388"/>
        <v>Valid</v>
      </c>
    </row>
    <row r="1879" spans="1:45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 t="str">
        <f t="shared" si="377"/>
        <v>Ok</v>
      </c>
      <c r="AE1879" t="str">
        <f>IF(AND(Audit_Data[[#This Row],[Year_Birth]]&gt;=1900,Audit_Data[[#This Row],[Year_Birth]]&lt;=2010),"OK","Invalid")</f>
        <v>OK</v>
      </c>
      <c r="AF1879" t="str">
        <f t="shared" si="378"/>
        <v>Valid</v>
      </c>
      <c r="AG1879" t="str">
        <f t="shared" si="379"/>
        <v>Valid</v>
      </c>
      <c r="AH1879" t="str">
        <f t="shared" si="380"/>
        <v>Valid</v>
      </c>
      <c r="AI1879" t="str">
        <f t="shared" si="381"/>
        <v>Valid</v>
      </c>
      <c r="AJ1879" t="str">
        <f t="shared" si="382"/>
        <v>Valid</v>
      </c>
      <c r="AK1879" t="str">
        <f t="shared" si="389"/>
        <v xml:space="preserve">Valid </v>
      </c>
      <c r="AL1879" t="str">
        <f>IF(AND(Audit_Data[[#This Row],[Recency]]&gt;=0,Audit_Data[[#This Row],[Recency]]&lt;=100),"Valid","Invalid")</f>
        <v>Valid</v>
      </c>
      <c r="AM1879" t="str">
        <f t="shared" si="383"/>
        <v>Valid</v>
      </c>
      <c r="AN1879" t="str">
        <f t="shared" si="384"/>
        <v>Valid</v>
      </c>
      <c r="AO1879" t="str">
        <f t="shared" si="385"/>
        <v>Valid</v>
      </c>
      <c r="AP1879" t="str">
        <f t="shared" si="386"/>
        <v>Valid</v>
      </c>
      <c r="AQ1879" t="str">
        <f>IF(Audit_Data[[#This Row],[Z_CostContact]]=3,"Valid","Invalid")</f>
        <v>Valid</v>
      </c>
      <c r="AR1879" t="str">
        <f t="shared" si="387"/>
        <v>Valid</v>
      </c>
      <c r="AS1879" t="str">
        <f t="shared" si="388"/>
        <v>Valid</v>
      </c>
    </row>
    <row r="1880" spans="1:45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 t="str">
        <f t="shared" si="377"/>
        <v>Ok</v>
      </c>
      <c r="AE1880" t="str">
        <f>IF(AND(Audit_Data[[#This Row],[Year_Birth]]&gt;=1900,Audit_Data[[#This Row],[Year_Birth]]&lt;=2010),"OK","Invalid")</f>
        <v>OK</v>
      </c>
      <c r="AF1880" t="str">
        <f t="shared" si="378"/>
        <v>Valid</v>
      </c>
      <c r="AG1880" t="str">
        <f t="shared" si="379"/>
        <v>Valid</v>
      </c>
      <c r="AH1880" t="str">
        <f t="shared" si="380"/>
        <v>Valid</v>
      </c>
      <c r="AI1880" t="str">
        <f t="shared" si="381"/>
        <v>Valid</v>
      </c>
      <c r="AJ1880" t="str">
        <f t="shared" si="382"/>
        <v>Valid</v>
      </c>
      <c r="AK1880" t="str">
        <f t="shared" si="389"/>
        <v xml:space="preserve">Valid </v>
      </c>
      <c r="AL1880" t="str">
        <f>IF(AND(Audit_Data[[#This Row],[Recency]]&gt;=0,Audit_Data[[#This Row],[Recency]]&lt;=100),"Valid","Invalid")</f>
        <v>Valid</v>
      </c>
      <c r="AM1880" t="str">
        <f t="shared" si="383"/>
        <v>Valid</v>
      </c>
      <c r="AN1880" t="str">
        <f t="shared" si="384"/>
        <v>Valid</v>
      </c>
      <c r="AO1880" t="str">
        <f t="shared" si="385"/>
        <v>Valid</v>
      </c>
      <c r="AP1880" t="str">
        <f t="shared" si="386"/>
        <v>Valid</v>
      </c>
      <c r="AQ1880" t="str">
        <f>IF(Audit_Data[[#This Row],[Z_CostContact]]=3,"Valid","Invalid")</f>
        <v>Valid</v>
      </c>
      <c r="AR1880" t="str">
        <f t="shared" si="387"/>
        <v>Valid</v>
      </c>
      <c r="AS1880" t="str">
        <f t="shared" si="388"/>
        <v>Valid</v>
      </c>
    </row>
    <row r="1881" spans="1:45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 t="str">
        <f t="shared" si="377"/>
        <v>Ok</v>
      </c>
      <c r="AE1881" t="str">
        <f>IF(AND(Audit_Data[[#This Row],[Year_Birth]]&gt;=1900,Audit_Data[[#This Row],[Year_Birth]]&lt;=2010),"OK","Invalid")</f>
        <v>OK</v>
      </c>
      <c r="AF1881" t="str">
        <f t="shared" si="378"/>
        <v>Valid</v>
      </c>
      <c r="AG1881" t="str">
        <f t="shared" si="379"/>
        <v>Valid</v>
      </c>
      <c r="AH1881" t="str">
        <f t="shared" si="380"/>
        <v>Valid</v>
      </c>
      <c r="AI1881" t="str">
        <f t="shared" si="381"/>
        <v>Valid</v>
      </c>
      <c r="AJ1881" t="str">
        <f t="shared" si="382"/>
        <v>Valid</v>
      </c>
      <c r="AK1881" t="str">
        <f t="shared" si="389"/>
        <v xml:space="preserve">Valid </v>
      </c>
      <c r="AL1881" t="str">
        <f>IF(AND(Audit_Data[[#This Row],[Recency]]&gt;=0,Audit_Data[[#This Row],[Recency]]&lt;=100),"Valid","Invalid")</f>
        <v>Valid</v>
      </c>
      <c r="AM1881" t="str">
        <f t="shared" si="383"/>
        <v>Valid</v>
      </c>
      <c r="AN1881" t="str">
        <f t="shared" si="384"/>
        <v>Valid</v>
      </c>
      <c r="AO1881" t="str">
        <f t="shared" si="385"/>
        <v>Valid</v>
      </c>
      <c r="AP1881" t="str">
        <f t="shared" si="386"/>
        <v>Valid</v>
      </c>
      <c r="AQ1881" t="str">
        <f>IF(Audit_Data[[#This Row],[Z_CostContact]]=3,"Valid","Invalid")</f>
        <v>Valid</v>
      </c>
      <c r="AR1881" t="str">
        <f t="shared" si="387"/>
        <v>Valid</v>
      </c>
      <c r="AS1881" t="str">
        <f t="shared" si="388"/>
        <v>Valid</v>
      </c>
    </row>
    <row r="1882" spans="1:45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 t="str">
        <f t="shared" si="377"/>
        <v>Ok</v>
      </c>
      <c r="AE1882" t="str">
        <f>IF(AND(Audit_Data[[#This Row],[Year_Birth]]&gt;=1900,Audit_Data[[#This Row],[Year_Birth]]&lt;=2010),"OK","Invalid")</f>
        <v>OK</v>
      </c>
      <c r="AF1882" t="str">
        <f t="shared" si="378"/>
        <v>Valid</v>
      </c>
      <c r="AG1882" t="str">
        <f t="shared" si="379"/>
        <v>Valid</v>
      </c>
      <c r="AH1882" t="str">
        <f t="shared" si="380"/>
        <v>Valid</v>
      </c>
      <c r="AI1882" t="str">
        <f t="shared" si="381"/>
        <v>Valid</v>
      </c>
      <c r="AJ1882" t="str">
        <f t="shared" si="382"/>
        <v>Valid</v>
      </c>
      <c r="AK1882" t="str">
        <f t="shared" si="389"/>
        <v xml:space="preserve">Valid </v>
      </c>
      <c r="AL1882" t="str">
        <f>IF(AND(Audit_Data[[#This Row],[Recency]]&gt;=0,Audit_Data[[#This Row],[Recency]]&lt;=100),"Valid","Invalid")</f>
        <v>Valid</v>
      </c>
      <c r="AM1882" t="str">
        <f t="shared" si="383"/>
        <v>Valid</v>
      </c>
      <c r="AN1882" t="str">
        <f t="shared" si="384"/>
        <v>Valid</v>
      </c>
      <c r="AO1882" t="str">
        <f t="shared" si="385"/>
        <v>Valid</v>
      </c>
      <c r="AP1882" t="str">
        <f t="shared" si="386"/>
        <v>Valid</v>
      </c>
      <c r="AQ1882" t="str">
        <f>IF(Audit_Data[[#This Row],[Z_CostContact]]=3,"Valid","Invalid")</f>
        <v>Valid</v>
      </c>
      <c r="AR1882" t="str">
        <f t="shared" si="387"/>
        <v>Valid</v>
      </c>
      <c r="AS1882" t="str">
        <f t="shared" si="388"/>
        <v>Valid</v>
      </c>
    </row>
    <row r="1883" spans="1:45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 t="str">
        <f t="shared" si="377"/>
        <v>Ok</v>
      </c>
      <c r="AE1883" t="str">
        <f>IF(AND(Audit_Data[[#This Row],[Year_Birth]]&gt;=1900,Audit_Data[[#This Row],[Year_Birth]]&lt;=2010),"OK","Invalid")</f>
        <v>OK</v>
      </c>
      <c r="AF1883" t="str">
        <f t="shared" si="378"/>
        <v>Valid</v>
      </c>
      <c r="AG1883" t="str">
        <f t="shared" si="379"/>
        <v>Valid</v>
      </c>
      <c r="AH1883" t="str">
        <f t="shared" si="380"/>
        <v>Valid</v>
      </c>
      <c r="AI1883" t="str">
        <f t="shared" si="381"/>
        <v>Valid</v>
      </c>
      <c r="AJ1883" t="str">
        <f t="shared" si="382"/>
        <v>Valid</v>
      </c>
      <c r="AK1883" t="str">
        <f t="shared" si="389"/>
        <v xml:space="preserve">Valid </v>
      </c>
      <c r="AL1883" t="str">
        <f>IF(AND(Audit_Data[[#This Row],[Recency]]&gt;=0,Audit_Data[[#This Row],[Recency]]&lt;=100),"Valid","Invalid")</f>
        <v>Valid</v>
      </c>
      <c r="AM1883" t="str">
        <f t="shared" si="383"/>
        <v>Valid</v>
      </c>
      <c r="AN1883" t="str">
        <f t="shared" si="384"/>
        <v>Valid</v>
      </c>
      <c r="AO1883" t="str">
        <f t="shared" si="385"/>
        <v>Valid</v>
      </c>
      <c r="AP1883" t="str">
        <f t="shared" si="386"/>
        <v>Valid</v>
      </c>
      <c r="AQ1883" t="str">
        <f>IF(Audit_Data[[#This Row],[Z_CostContact]]=3,"Valid","Invalid")</f>
        <v>Valid</v>
      </c>
      <c r="AR1883" t="str">
        <f t="shared" si="387"/>
        <v>Valid</v>
      </c>
      <c r="AS1883" t="str">
        <f t="shared" si="388"/>
        <v>Valid</v>
      </c>
    </row>
    <row r="1884" spans="1:45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 t="str">
        <f t="shared" si="377"/>
        <v>Ok</v>
      </c>
      <c r="AE1884" t="str">
        <f>IF(AND(Audit_Data[[#This Row],[Year_Birth]]&gt;=1900,Audit_Data[[#This Row],[Year_Birth]]&lt;=2010),"OK","Invalid")</f>
        <v>OK</v>
      </c>
      <c r="AF1884" t="str">
        <f t="shared" si="378"/>
        <v>Valid</v>
      </c>
      <c r="AG1884" t="str">
        <f t="shared" si="379"/>
        <v>Valid</v>
      </c>
      <c r="AH1884" t="str">
        <f t="shared" si="380"/>
        <v>Valid</v>
      </c>
      <c r="AI1884" t="str">
        <f t="shared" si="381"/>
        <v>Valid</v>
      </c>
      <c r="AJ1884" t="str">
        <f t="shared" si="382"/>
        <v>Valid</v>
      </c>
      <c r="AK1884" t="str">
        <f t="shared" si="389"/>
        <v xml:space="preserve">Valid </v>
      </c>
      <c r="AL1884" t="str">
        <f>IF(AND(Audit_Data[[#This Row],[Recency]]&gt;=0,Audit_Data[[#This Row],[Recency]]&lt;=100),"Valid","Invalid")</f>
        <v>Valid</v>
      </c>
      <c r="AM1884" t="str">
        <f t="shared" si="383"/>
        <v>Valid</v>
      </c>
      <c r="AN1884" t="str">
        <f t="shared" si="384"/>
        <v>Valid</v>
      </c>
      <c r="AO1884" t="str">
        <f t="shared" si="385"/>
        <v>Valid</v>
      </c>
      <c r="AP1884" t="str">
        <f t="shared" si="386"/>
        <v>Valid</v>
      </c>
      <c r="AQ1884" t="str">
        <f>IF(Audit_Data[[#This Row],[Z_CostContact]]=3,"Valid","Invalid")</f>
        <v>Valid</v>
      </c>
      <c r="AR1884" t="str">
        <f t="shared" si="387"/>
        <v>Valid</v>
      </c>
      <c r="AS1884" t="str">
        <f t="shared" si="388"/>
        <v>Valid</v>
      </c>
    </row>
    <row r="1885" spans="1:45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 t="str">
        <f t="shared" si="377"/>
        <v>Ok</v>
      </c>
      <c r="AE1885" t="str">
        <f>IF(AND(Audit_Data[[#This Row],[Year_Birth]]&gt;=1900,Audit_Data[[#This Row],[Year_Birth]]&lt;=2010),"OK","Invalid")</f>
        <v>OK</v>
      </c>
      <c r="AF1885" t="str">
        <f t="shared" si="378"/>
        <v>Valid</v>
      </c>
      <c r="AG1885" t="str">
        <f t="shared" si="379"/>
        <v>Valid</v>
      </c>
      <c r="AH1885" t="str">
        <f t="shared" si="380"/>
        <v>Valid</v>
      </c>
      <c r="AI1885" t="str">
        <f t="shared" si="381"/>
        <v>Valid</v>
      </c>
      <c r="AJ1885" t="str">
        <f t="shared" si="382"/>
        <v>Valid</v>
      </c>
      <c r="AK1885" t="str">
        <f t="shared" si="389"/>
        <v xml:space="preserve">Valid </v>
      </c>
      <c r="AL1885" t="str">
        <f>IF(AND(Audit_Data[[#This Row],[Recency]]&gt;=0,Audit_Data[[#This Row],[Recency]]&lt;=100),"Valid","Invalid")</f>
        <v>Valid</v>
      </c>
      <c r="AM1885" t="str">
        <f t="shared" si="383"/>
        <v>Valid</v>
      </c>
      <c r="AN1885" t="str">
        <f t="shared" si="384"/>
        <v>Valid</v>
      </c>
      <c r="AO1885" t="str">
        <f t="shared" si="385"/>
        <v>Valid</v>
      </c>
      <c r="AP1885" t="str">
        <f t="shared" si="386"/>
        <v>Valid</v>
      </c>
      <c r="AQ1885" t="str">
        <f>IF(Audit_Data[[#This Row],[Z_CostContact]]=3,"Valid","Invalid")</f>
        <v>Valid</v>
      </c>
      <c r="AR1885" t="str">
        <f t="shared" si="387"/>
        <v>Valid</v>
      </c>
      <c r="AS1885" t="str">
        <f t="shared" si="388"/>
        <v>Valid</v>
      </c>
    </row>
    <row r="1886" spans="1:45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 t="str">
        <f t="shared" si="377"/>
        <v>Ok</v>
      </c>
      <c r="AE1886" t="str">
        <f>IF(AND(Audit_Data[[#This Row],[Year_Birth]]&gt;=1900,Audit_Data[[#This Row],[Year_Birth]]&lt;=2010),"OK","Invalid")</f>
        <v>OK</v>
      </c>
      <c r="AF1886" t="str">
        <f t="shared" si="378"/>
        <v>Valid</v>
      </c>
      <c r="AG1886" t="str">
        <f t="shared" si="379"/>
        <v>Valid</v>
      </c>
      <c r="AH1886" t="str">
        <f t="shared" si="380"/>
        <v>Valid</v>
      </c>
      <c r="AI1886" t="str">
        <f t="shared" si="381"/>
        <v>Valid</v>
      </c>
      <c r="AJ1886" t="str">
        <f t="shared" si="382"/>
        <v>Valid</v>
      </c>
      <c r="AK1886" t="str">
        <f t="shared" si="389"/>
        <v xml:space="preserve">Valid </v>
      </c>
      <c r="AL1886" t="str">
        <f>IF(AND(Audit_Data[[#This Row],[Recency]]&gt;=0,Audit_Data[[#This Row],[Recency]]&lt;=100),"Valid","Invalid")</f>
        <v>Valid</v>
      </c>
      <c r="AM1886" t="str">
        <f t="shared" si="383"/>
        <v>Valid</v>
      </c>
      <c r="AN1886" t="str">
        <f t="shared" si="384"/>
        <v>Valid</v>
      </c>
      <c r="AO1886" t="str">
        <f t="shared" si="385"/>
        <v>Valid</v>
      </c>
      <c r="AP1886" t="str">
        <f t="shared" si="386"/>
        <v>Valid</v>
      </c>
      <c r="AQ1886" t="str">
        <f>IF(Audit_Data[[#This Row],[Z_CostContact]]=3,"Valid","Invalid")</f>
        <v>Valid</v>
      </c>
      <c r="AR1886" t="str">
        <f t="shared" si="387"/>
        <v>Valid</v>
      </c>
      <c r="AS1886" t="str">
        <f t="shared" si="388"/>
        <v>Valid</v>
      </c>
    </row>
    <row r="1887" spans="1:45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 t="str">
        <f t="shared" si="377"/>
        <v>Ok</v>
      </c>
      <c r="AE1887" t="str">
        <f>IF(AND(Audit_Data[[#This Row],[Year_Birth]]&gt;=1900,Audit_Data[[#This Row],[Year_Birth]]&lt;=2010),"OK","Invalid")</f>
        <v>OK</v>
      </c>
      <c r="AF1887" t="str">
        <f t="shared" si="378"/>
        <v>Valid</v>
      </c>
      <c r="AG1887" t="str">
        <f t="shared" si="379"/>
        <v>Valid</v>
      </c>
      <c r="AH1887" t="str">
        <f t="shared" si="380"/>
        <v>Valid</v>
      </c>
      <c r="AI1887" t="str">
        <f t="shared" si="381"/>
        <v>Valid</v>
      </c>
      <c r="AJ1887" t="str">
        <f t="shared" si="382"/>
        <v>Valid</v>
      </c>
      <c r="AK1887" t="str">
        <f t="shared" si="389"/>
        <v xml:space="preserve">Valid </v>
      </c>
      <c r="AL1887" t="str">
        <f>IF(AND(Audit_Data[[#This Row],[Recency]]&gt;=0,Audit_Data[[#This Row],[Recency]]&lt;=100),"Valid","Invalid")</f>
        <v>Valid</v>
      </c>
      <c r="AM1887" t="str">
        <f t="shared" si="383"/>
        <v>Valid</v>
      </c>
      <c r="AN1887" t="str">
        <f t="shared" si="384"/>
        <v>Valid</v>
      </c>
      <c r="AO1887" t="str">
        <f t="shared" si="385"/>
        <v>Valid</v>
      </c>
      <c r="AP1887" t="str">
        <f t="shared" si="386"/>
        <v>Valid</v>
      </c>
      <c r="AQ1887" t="str">
        <f>IF(Audit_Data[[#This Row],[Z_CostContact]]=3,"Valid","Invalid")</f>
        <v>Valid</v>
      </c>
      <c r="AR1887" t="str">
        <f t="shared" si="387"/>
        <v>Valid</v>
      </c>
      <c r="AS1887" t="str">
        <f t="shared" si="388"/>
        <v>Valid</v>
      </c>
    </row>
    <row r="1888" spans="1:45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 t="str">
        <f t="shared" si="377"/>
        <v>Ok</v>
      </c>
      <c r="AE1888" t="str">
        <f>IF(AND(Audit_Data[[#This Row],[Year_Birth]]&gt;=1900,Audit_Data[[#This Row],[Year_Birth]]&lt;=2010),"OK","Invalid")</f>
        <v>OK</v>
      </c>
      <c r="AF1888" t="str">
        <f t="shared" si="378"/>
        <v>Valid</v>
      </c>
      <c r="AG1888" t="str">
        <f t="shared" si="379"/>
        <v>Valid</v>
      </c>
      <c r="AH1888" t="str">
        <f t="shared" si="380"/>
        <v>Valid</v>
      </c>
      <c r="AI1888" t="str">
        <f t="shared" si="381"/>
        <v>Valid</v>
      </c>
      <c r="AJ1888" t="str">
        <f t="shared" si="382"/>
        <v>Valid</v>
      </c>
      <c r="AK1888" t="str">
        <f t="shared" si="389"/>
        <v xml:space="preserve">Valid </v>
      </c>
      <c r="AL1888" t="str">
        <f>IF(AND(Audit_Data[[#This Row],[Recency]]&gt;=0,Audit_Data[[#This Row],[Recency]]&lt;=100),"Valid","Invalid")</f>
        <v>Valid</v>
      </c>
      <c r="AM1888" t="str">
        <f t="shared" si="383"/>
        <v>Valid</v>
      </c>
      <c r="AN1888" t="str">
        <f t="shared" si="384"/>
        <v>Valid</v>
      </c>
      <c r="AO1888" t="str">
        <f t="shared" si="385"/>
        <v>Valid</v>
      </c>
      <c r="AP1888" t="str">
        <f t="shared" si="386"/>
        <v>Valid</v>
      </c>
      <c r="AQ1888" t="str">
        <f>IF(Audit_Data[[#This Row],[Z_CostContact]]=3,"Valid","Invalid")</f>
        <v>Valid</v>
      </c>
      <c r="AR1888" t="str">
        <f t="shared" si="387"/>
        <v>Valid</v>
      </c>
      <c r="AS1888" t="str">
        <f t="shared" si="388"/>
        <v>Valid</v>
      </c>
    </row>
    <row r="1889" spans="1:45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 t="str">
        <f t="shared" si="377"/>
        <v>Ok</v>
      </c>
      <c r="AE1889" t="str">
        <f>IF(AND(Audit_Data[[#This Row],[Year_Birth]]&gt;=1900,Audit_Data[[#This Row],[Year_Birth]]&lt;=2010),"OK","Invalid")</f>
        <v>OK</v>
      </c>
      <c r="AF1889" t="str">
        <f t="shared" si="378"/>
        <v>Valid</v>
      </c>
      <c r="AG1889" t="str">
        <f t="shared" si="379"/>
        <v>Valid</v>
      </c>
      <c r="AH1889" t="str">
        <f t="shared" si="380"/>
        <v>Valid</v>
      </c>
      <c r="AI1889" t="str">
        <f t="shared" si="381"/>
        <v>Valid</v>
      </c>
      <c r="AJ1889" t="str">
        <f t="shared" si="382"/>
        <v>Valid</v>
      </c>
      <c r="AK1889" t="str">
        <f t="shared" si="389"/>
        <v xml:space="preserve">Valid </v>
      </c>
      <c r="AL1889" t="str">
        <f>IF(AND(Audit_Data[[#This Row],[Recency]]&gt;=0,Audit_Data[[#This Row],[Recency]]&lt;=100),"Valid","Invalid")</f>
        <v>Valid</v>
      </c>
      <c r="AM1889" t="str">
        <f t="shared" si="383"/>
        <v>Valid</v>
      </c>
      <c r="AN1889" t="str">
        <f t="shared" si="384"/>
        <v>Valid</v>
      </c>
      <c r="AO1889" t="str">
        <f t="shared" si="385"/>
        <v>Valid</v>
      </c>
      <c r="AP1889" t="str">
        <f t="shared" si="386"/>
        <v>Valid</v>
      </c>
      <c r="AQ1889" t="str">
        <f>IF(Audit_Data[[#This Row],[Z_CostContact]]=3,"Valid","Invalid")</f>
        <v>Valid</v>
      </c>
      <c r="AR1889" t="str">
        <f t="shared" si="387"/>
        <v>Valid</v>
      </c>
      <c r="AS1889" t="str">
        <f t="shared" si="388"/>
        <v>Valid</v>
      </c>
    </row>
    <row r="1890" spans="1:45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 t="str">
        <f t="shared" si="377"/>
        <v>Ok</v>
      </c>
      <c r="AE1890" t="str">
        <f>IF(AND(Audit_Data[[#This Row],[Year_Birth]]&gt;=1900,Audit_Data[[#This Row],[Year_Birth]]&lt;=2010),"OK","Invalid")</f>
        <v>OK</v>
      </c>
      <c r="AF1890" t="str">
        <f t="shared" si="378"/>
        <v>Valid</v>
      </c>
      <c r="AG1890" t="str">
        <f t="shared" si="379"/>
        <v>Valid</v>
      </c>
      <c r="AH1890" t="str">
        <f t="shared" si="380"/>
        <v>Valid</v>
      </c>
      <c r="AI1890" t="str">
        <f t="shared" si="381"/>
        <v>Valid</v>
      </c>
      <c r="AJ1890" t="str">
        <f t="shared" si="382"/>
        <v>Valid</v>
      </c>
      <c r="AK1890" t="str">
        <f t="shared" si="389"/>
        <v xml:space="preserve">Valid </v>
      </c>
      <c r="AL1890" t="str">
        <f>IF(AND(Audit_Data[[#This Row],[Recency]]&gt;=0,Audit_Data[[#This Row],[Recency]]&lt;=100),"Valid","Invalid")</f>
        <v>Valid</v>
      </c>
      <c r="AM1890" t="str">
        <f t="shared" si="383"/>
        <v>Valid</v>
      </c>
      <c r="AN1890" t="str">
        <f t="shared" si="384"/>
        <v>Valid</v>
      </c>
      <c r="AO1890" t="str">
        <f t="shared" si="385"/>
        <v>Valid</v>
      </c>
      <c r="AP1890" t="str">
        <f t="shared" si="386"/>
        <v>Valid</v>
      </c>
      <c r="AQ1890" t="str">
        <f>IF(Audit_Data[[#This Row],[Z_CostContact]]=3,"Valid","Invalid")</f>
        <v>Valid</v>
      </c>
      <c r="AR1890" t="str">
        <f t="shared" si="387"/>
        <v>Valid</v>
      </c>
      <c r="AS1890" t="str">
        <f t="shared" si="388"/>
        <v>Valid</v>
      </c>
    </row>
    <row r="1891" spans="1:45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 t="str">
        <f t="shared" si="377"/>
        <v>Ok</v>
      </c>
      <c r="AE1891" t="str">
        <f>IF(AND(Audit_Data[[#This Row],[Year_Birth]]&gt;=1900,Audit_Data[[#This Row],[Year_Birth]]&lt;=2010),"OK","Invalid")</f>
        <v>OK</v>
      </c>
      <c r="AF1891" t="str">
        <f t="shared" si="378"/>
        <v>Valid</v>
      </c>
      <c r="AG1891" t="str">
        <f t="shared" si="379"/>
        <v>Valid</v>
      </c>
      <c r="AH1891" t="str">
        <f t="shared" si="380"/>
        <v>Valid</v>
      </c>
      <c r="AI1891" t="str">
        <f t="shared" si="381"/>
        <v>Valid</v>
      </c>
      <c r="AJ1891" t="str">
        <f t="shared" si="382"/>
        <v>Valid</v>
      </c>
      <c r="AK1891" t="str">
        <f t="shared" si="389"/>
        <v xml:space="preserve">Valid </v>
      </c>
      <c r="AL1891" t="str">
        <f>IF(AND(Audit_Data[[#This Row],[Recency]]&gt;=0,Audit_Data[[#This Row],[Recency]]&lt;=100),"Valid","Invalid")</f>
        <v>Valid</v>
      </c>
      <c r="AM1891" t="str">
        <f t="shared" si="383"/>
        <v>Valid</v>
      </c>
      <c r="AN1891" t="str">
        <f t="shared" si="384"/>
        <v>Valid</v>
      </c>
      <c r="AO1891" t="str">
        <f t="shared" si="385"/>
        <v>Valid</v>
      </c>
      <c r="AP1891" t="str">
        <f t="shared" si="386"/>
        <v>Valid</v>
      </c>
      <c r="AQ1891" t="str">
        <f>IF(Audit_Data[[#This Row],[Z_CostContact]]=3,"Valid","Invalid")</f>
        <v>Valid</v>
      </c>
      <c r="AR1891" t="str">
        <f t="shared" si="387"/>
        <v>Valid</v>
      </c>
      <c r="AS1891" t="str">
        <f t="shared" si="388"/>
        <v>Valid</v>
      </c>
    </row>
    <row r="1892" spans="1:45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 t="str">
        <f t="shared" si="377"/>
        <v>Ok</v>
      </c>
      <c r="AE1892" t="str">
        <f>IF(AND(Audit_Data[[#This Row],[Year_Birth]]&gt;=1900,Audit_Data[[#This Row],[Year_Birth]]&lt;=2010),"OK","Invalid")</f>
        <v>OK</v>
      </c>
      <c r="AF1892" t="str">
        <f t="shared" si="378"/>
        <v>Valid</v>
      </c>
      <c r="AG1892" t="str">
        <f t="shared" si="379"/>
        <v>Valid</v>
      </c>
      <c r="AH1892" t="str">
        <f t="shared" si="380"/>
        <v>Valid</v>
      </c>
      <c r="AI1892" t="str">
        <f t="shared" si="381"/>
        <v>Valid</v>
      </c>
      <c r="AJ1892" t="str">
        <f t="shared" si="382"/>
        <v>Valid</v>
      </c>
      <c r="AK1892" t="str">
        <f t="shared" si="389"/>
        <v xml:space="preserve">Valid </v>
      </c>
      <c r="AL1892" t="str">
        <f>IF(AND(Audit_Data[[#This Row],[Recency]]&gt;=0,Audit_Data[[#This Row],[Recency]]&lt;=100),"Valid","Invalid")</f>
        <v>Valid</v>
      </c>
      <c r="AM1892" t="str">
        <f t="shared" si="383"/>
        <v>Valid</v>
      </c>
      <c r="AN1892" t="str">
        <f t="shared" si="384"/>
        <v>Valid</v>
      </c>
      <c r="AO1892" t="str">
        <f t="shared" si="385"/>
        <v>Valid</v>
      </c>
      <c r="AP1892" t="str">
        <f t="shared" si="386"/>
        <v>Valid</v>
      </c>
      <c r="AQ1892" t="str">
        <f>IF(Audit_Data[[#This Row],[Z_CostContact]]=3,"Valid","Invalid")</f>
        <v>Valid</v>
      </c>
      <c r="AR1892" t="str">
        <f t="shared" si="387"/>
        <v>Valid</v>
      </c>
      <c r="AS1892" t="str">
        <f t="shared" si="388"/>
        <v>Valid</v>
      </c>
    </row>
    <row r="1893" spans="1:45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 t="str">
        <f t="shared" si="377"/>
        <v>Ok</v>
      </c>
      <c r="AE1893" t="str">
        <f>IF(AND(Audit_Data[[#This Row],[Year_Birth]]&gt;=1900,Audit_Data[[#This Row],[Year_Birth]]&lt;=2010),"OK","Invalid")</f>
        <v>OK</v>
      </c>
      <c r="AF1893" t="str">
        <f t="shared" si="378"/>
        <v>Valid</v>
      </c>
      <c r="AG1893" t="str">
        <f t="shared" si="379"/>
        <v>Valid</v>
      </c>
      <c r="AH1893" t="str">
        <f t="shared" si="380"/>
        <v>Valid</v>
      </c>
      <c r="AI1893" t="str">
        <f t="shared" si="381"/>
        <v>Valid</v>
      </c>
      <c r="AJ1893" t="str">
        <f t="shared" si="382"/>
        <v>Valid</v>
      </c>
      <c r="AK1893" t="str">
        <f t="shared" si="389"/>
        <v xml:space="preserve">Valid </v>
      </c>
      <c r="AL1893" t="str">
        <f>IF(AND(Audit_Data[[#This Row],[Recency]]&gt;=0,Audit_Data[[#This Row],[Recency]]&lt;=100),"Valid","Invalid")</f>
        <v>Valid</v>
      </c>
      <c r="AM1893" t="str">
        <f t="shared" si="383"/>
        <v>Valid</v>
      </c>
      <c r="AN1893" t="str">
        <f t="shared" si="384"/>
        <v>Valid</v>
      </c>
      <c r="AO1893" t="str">
        <f t="shared" si="385"/>
        <v>Valid</v>
      </c>
      <c r="AP1893" t="str">
        <f t="shared" si="386"/>
        <v>Valid</v>
      </c>
      <c r="AQ1893" t="str">
        <f>IF(Audit_Data[[#This Row],[Z_CostContact]]=3,"Valid","Invalid")</f>
        <v>Valid</v>
      </c>
      <c r="AR1893" t="str">
        <f t="shared" si="387"/>
        <v>Valid</v>
      </c>
      <c r="AS1893" t="str">
        <f t="shared" si="388"/>
        <v>Valid</v>
      </c>
    </row>
    <row r="1894" spans="1:45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 t="str">
        <f t="shared" si="377"/>
        <v>Ok</v>
      </c>
      <c r="AE1894" t="str">
        <f>IF(AND(Audit_Data[[#This Row],[Year_Birth]]&gt;=1900,Audit_Data[[#This Row],[Year_Birth]]&lt;=2010),"OK","Invalid")</f>
        <v>OK</v>
      </c>
      <c r="AF1894" t="str">
        <f t="shared" si="378"/>
        <v>Valid</v>
      </c>
      <c r="AG1894" t="str">
        <f t="shared" si="379"/>
        <v>Valid</v>
      </c>
      <c r="AH1894" t="str">
        <f t="shared" si="380"/>
        <v>Valid</v>
      </c>
      <c r="AI1894" t="str">
        <f t="shared" si="381"/>
        <v>Valid</v>
      </c>
      <c r="AJ1894" t="str">
        <f t="shared" si="382"/>
        <v>Valid</v>
      </c>
      <c r="AK1894" t="str">
        <f t="shared" si="389"/>
        <v xml:space="preserve">Valid </v>
      </c>
      <c r="AL1894" t="str">
        <f>IF(AND(Audit_Data[[#This Row],[Recency]]&gt;=0,Audit_Data[[#This Row],[Recency]]&lt;=100),"Valid","Invalid")</f>
        <v>Valid</v>
      </c>
      <c r="AM1894" t="str">
        <f t="shared" si="383"/>
        <v>Valid</v>
      </c>
      <c r="AN1894" t="str">
        <f t="shared" si="384"/>
        <v>Valid</v>
      </c>
      <c r="AO1894" t="str">
        <f t="shared" si="385"/>
        <v>Valid</v>
      </c>
      <c r="AP1894" t="str">
        <f t="shared" si="386"/>
        <v>Valid</v>
      </c>
      <c r="AQ1894" t="str">
        <f>IF(Audit_Data[[#This Row],[Z_CostContact]]=3,"Valid","Invalid")</f>
        <v>Valid</v>
      </c>
      <c r="AR1894" t="str">
        <f t="shared" si="387"/>
        <v>Valid</v>
      </c>
      <c r="AS1894" t="str">
        <f t="shared" si="388"/>
        <v>Valid</v>
      </c>
    </row>
    <row r="1895" spans="1:45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 t="str">
        <f t="shared" si="377"/>
        <v>Ok</v>
      </c>
      <c r="AE1895" t="str">
        <f>IF(AND(Audit_Data[[#This Row],[Year_Birth]]&gt;=1900,Audit_Data[[#This Row],[Year_Birth]]&lt;=2010),"OK","Invalid")</f>
        <v>OK</v>
      </c>
      <c r="AF1895" t="str">
        <f t="shared" si="378"/>
        <v>Valid</v>
      </c>
      <c r="AG1895" t="str">
        <f t="shared" si="379"/>
        <v>Valid</v>
      </c>
      <c r="AH1895" t="str">
        <f t="shared" si="380"/>
        <v>Valid</v>
      </c>
      <c r="AI1895" t="str">
        <f t="shared" si="381"/>
        <v>Valid</v>
      </c>
      <c r="AJ1895" t="str">
        <f t="shared" si="382"/>
        <v>Valid</v>
      </c>
      <c r="AK1895" t="str">
        <f t="shared" si="389"/>
        <v xml:space="preserve">Valid </v>
      </c>
      <c r="AL1895" t="str">
        <f>IF(AND(Audit_Data[[#This Row],[Recency]]&gt;=0,Audit_Data[[#This Row],[Recency]]&lt;=100),"Valid","Invalid")</f>
        <v>Valid</v>
      </c>
      <c r="AM1895" t="str">
        <f t="shared" si="383"/>
        <v>Valid</v>
      </c>
      <c r="AN1895" t="str">
        <f t="shared" si="384"/>
        <v>Valid</v>
      </c>
      <c r="AO1895" t="str">
        <f t="shared" si="385"/>
        <v>Valid</v>
      </c>
      <c r="AP1895" t="str">
        <f t="shared" si="386"/>
        <v>Valid</v>
      </c>
      <c r="AQ1895" t="str">
        <f>IF(Audit_Data[[#This Row],[Z_CostContact]]=3,"Valid","Invalid")</f>
        <v>Valid</v>
      </c>
      <c r="AR1895" t="str">
        <f t="shared" si="387"/>
        <v>Valid</v>
      </c>
      <c r="AS1895" t="str">
        <f t="shared" si="388"/>
        <v>Valid</v>
      </c>
    </row>
    <row r="1896" spans="1:45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 t="str">
        <f t="shared" si="377"/>
        <v>Ok</v>
      </c>
      <c r="AE1896" t="str">
        <f>IF(AND(Audit_Data[[#This Row],[Year_Birth]]&gt;=1900,Audit_Data[[#This Row],[Year_Birth]]&lt;=2010),"OK","Invalid")</f>
        <v>OK</v>
      </c>
      <c r="AF1896" t="str">
        <f t="shared" si="378"/>
        <v>Valid</v>
      </c>
      <c r="AG1896" t="str">
        <f t="shared" si="379"/>
        <v>Valid</v>
      </c>
      <c r="AH1896" t="str">
        <f t="shared" si="380"/>
        <v>Valid</v>
      </c>
      <c r="AI1896" t="str">
        <f t="shared" si="381"/>
        <v>Valid</v>
      </c>
      <c r="AJ1896" t="str">
        <f t="shared" si="382"/>
        <v>Valid</v>
      </c>
      <c r="AK1896" t="str">
        <f t="shared" si="389"/>
        <v xml:space="preserve">Valid </v>
      </c>
      <c r="AL1896" t="str">
        <f>IF(AND(Audit_Data[[#This Row],[Recency]]&gt;=0,Audit_Data[[#This Row],[Recency]]&lt;=100),"Valid","Invalid")</f>
        <v>Valid</v>
      </c>
      <c r="AM1896" t="str">
        <f t="shared" si="383"/>
        <v>Valid</v>
      </c>
      <c r="AN1896" t="str">
        <f t="shared" si="384"/>
        <v>Valid</v>
      </c>
      <c r="AO1896" t="str">
        <f t="shared" si="385"/>
        <v>Valid</v>
      </c>
      <c r="AP1896" t="str">
        <f t="shared" si="386"/>
        <v>Valid</v>
      </c>
      <c r="AQ1896" t="str">
        <f>IF(Audit_Data[[#This Row],[Z_CostContact]]=3,"Valid","Invalid")</f>
        <v>Valid</v>
      </c>
      <c r="AR1896" t="str">
        <f t="shared" si="387"/>
        <v>Valid</v>
      </c>
      <c r="AS1896" t="str">
        <f t="shared" si="388"/>
        <v>Valid</v>
      </c>
    </row>
    <row r="1897" spans="1:45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 t="str">
        <f t="shared" si="377"/>
        <v>Ok</v>
      </c>
      <c r="AE1897" t="str">
        <f>IF(AND(Audit_Data[[#This Row],[Year_Birth]]&gt;=1900,Audit_Data[[#This Row],[Year_Birth]]&lt;=2010),"OK","Invalid")</f>
        <v>OK</v>
      </c>
      <c r="AF1897" t="str">
        <f t="shared" si="378"/>
        <v>Valid</v>
      </c>
      <c r="AG1897" t="str">
        <f t="shared" si="379"/>
        <v>Valid</v>
      </c>
      <c r="AH1897" t="str">
        <f t="shared" si="380"/>
        <v>Valid</v>
      </c>
      <c r="AI1897" t="str">
        <f t="shared" si="381"/>
        <v>Valid</v>
      </c>
      <c r="AJ1897" t="str">
        <f t="shared" si="382"/>
        <v>Valid</v>
      </c>
      <c r="AK1897" t="str">
        <f t="shared" si="389"/>
        <v xml:space="preserve">Valid </v>
      </c>
      <c r="AL1897" t="str">
        <f>IF(AND(Audit_Data[[#This Row],[Recency]]&gt;=0,Audit_Data[[#This Row],[Recency]]&lt;=100),"Valid","Invalid")</f>
        <v>Valid</v>
      </c>
      <c r="AM1897" t="str">
        <f t="shared" si="383"/>
        <v>Valid</v>
      </c>
      <c r="AN1897" t="str">
        <f t="shared" si="384"/>
        <v>Valid</v>
      </c>
      <c r="AO1897" t="str">
        <f t="shared" si="385"/>
        <v>Valid</v>
      </c>
      <c r="AP1897" t="str">
        <f t="shared" si="386"/>
        <v>Valid</v>
      </c>
      <c r="AQ1897" t="str">
        <f>IF(Audit_Data[[#This Row],[Z_CostContact]]=3,"Valid","Invalid")</f>
        <v>Valid</v>
      </c>
      <c r="AR1897" t="str">
        <f t="shared" si="387"/>
        <v>Valid</v>
      </c>
      <c r="AS1897" t="str">
        <f t="shared" si="388"/>
        <v>Valid</v>
      </c>
    </row>
    <row r="1898" spans="1:45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 t="str">
        <f t="shared" si="377"/>
        <v>Ok</v>
      </c>
      <c r="AE1898" t="str">
        <f>IF(AND(Audit_Data[[#This Row],[Year_Birth]]&gt;=1900,Audit_Data[[#This Row],[Year_Birth]]&lt;=2010),"OK","Invalid")</f>
        <v>OK</v>
      </c>
      <c r="AF1898" t="str">
        <f t="shared" si="378"/>
        <v>Valid</v>
      </c>
      <c r="AG1898" t="str">
        <f t="shared" si="379"/>
        <v>Valid</v>
      </c>
      <c r="AH1898" t="str">
        <f t="shared" si="380"/>
        <v>Valid</v>
      </c>
      <c r="AI1898" t="str">
        <f t="shared" si="381"/>
        <v>Valid</v>
      </c>
      <c r="AJ1898" t="str">
        <f t="shared" si="382"/>
        <v>Valid</v>
      </c>
      <c r="AK1898" t="str">
        <f t="shared" si="389"/>
        <v xml:space="preserve">Valid </v>
      </c>
      <c r="AL1898" t="str">
        <f>IF(AND(Audit_Data[[#This Row],[Recency]]&gt;=0,Audit_Data[[#This Row],[Recency]]&lt;=100),"Valid","Invalid")</f>
        <v>Valid</v>
      </c>
      <c r="AM1898" t="str">
        <f t="shared" si="383"/>
        <v>Valid</v>
      </c>
      <c r="AN1898" t="str">
        <f t="shared" si="384"/>
        <v>Valid</v>
      </c>
      <c r="AO1898" t="str">
        <f t="shared" si="385"/>
        <v>Valid</v>
      </c>
      <c r="AP1898" t="str">
        <f t="shared" si="386"/>
        <v>Valid</v>
      </c>
      <c r="AQ1898" t="str">
        <f>IF(Audit_Data[[#This Row],[Z_CostContact]]=3,"Valid","Invalid")</f>
        <v>Valid</v>
      </c>
      <c r="AR1898" t="str">
        <f t="shared" si="387"/>
        <v>Valid</v>
      </c>
      <c r="AS1898" t="str">
        <f t="shared" si="388"/>
        <v>Valid</v>
      </c>
    </row>
    <row r="1899" spans="1:45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 t="str">
        <f t="shared" si="377"/>
        <v>Ok</v>
      </c>
      <c r="AE1899" t="str">
        <f>IF(AND(Audit_Data[[#This Row],[Year_Birth]]&gt;=1900,Audit_Data[[#This Row],[Year_Birth]]&lt;=2010),"OK","Invalid")</f>
        <v>OK</v>
      </c>
      <c r="AF1899" t="str">
        <f t="shared" si="378"/>
        <v>Valid</v>
      </c>
      <c r="AG1899" t="str">
        <f t="shared" si="379"/>
        <v>Valid</v>
      </c>
      <c r="AH1899" t="str">
        <f t="shared" si="380"/>
        <v>Valid</v>
      </c>
      <c r="AI1899" t="str">
        <f t="shared" si="381"/>
        <v>Valid</v>
      </c>
      <c r="AJ1899" t="str">
        <f t="shared" si="382"/>
        <v>Valid</v>
      </c>
      <c r="AK1899" t="str">
        <f t="shared" si="389"/>
        <v xml:space="preserve">Valid </v>
      </c>
      <c r="AL1899" t="str">
        <f>IF(AND(Audit_Data[[#This Row],[Recency]]&gt;=0,Audit_Data[[#This Row],[Recency]]&lt;=100),"Valid","Invalid")</f>
        <v>Valid</v>
      </c>
      <c r="AM1899" t="str">
        <f t="shared" si="383"/>
        <v>Valid</v>
      </c>
      <c r="AN1899" t="str">
        <f t="shared" si="384"/>
        <v>Valid</v>
      </c>
      <c r="AO1899" t="str">
        <f t="shared" si="385"/>
        <v>Valid</v>
      </c>
      <c r="AP1899" t="str">
        <f t="shared" si="386"/>
        <v>Valid</v>
      </c>
      <c r="AQ1899" t="str">
        <f>IF(Audit_Data[[#This Row],[Z_CostContact]]=3,"Valid","Invalid")</f>
        <v>Valid</v>
      </c>
      <c r="AR1899" t="str">
        <f t="shared" si="387"/>
        <v>Valid</v>
      </c>
      <c r="AS1899" t="str">
        <f t="shared" si="388"/>
        <v>Valid</v>
      </c>
    </row>
    <row r="1900" spans="1:45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 t="str">
        <f t="shared" si="377"/>
        <v>Ok</v>
      </c>
      <c r="AE1900" t="str">
        <f>IF(AND(Audit_Data[[#This Row],[Year_Birth]]&gt;=1900,Audit_Data[[#This Row],[Year_Birth]]&lt;=2010),"OK","Invalid")</f>
        <v>OK</v>
      </c>
      <c r="AF1900" t="str">
        <f t="shared" si="378"/>
        <v>Valid</v>
      </c>
      <c r="AG1900" t="str">
        <f t="shared" si="379"/>
        <v>Valid</v>
      </c>
      <c r="AH1900" t="str">
        <f t="shared" si="380"/>
        <v>Valid</v>
      </c>
      <c r="AI1900" t="str">
        <f t="shared" si="381"/>
        <v>Valid</v>
      </c>
      <c r="AJ1900" t="str">
        <f t="shared" si="382"/>
        <v>Valid</v>
      </c>
      <c r="AK1900" t="str">
        <f t="shared" si="389"/>
        <v xml:space="preserve">Valid </v>
      </c>
      <c r="AL1900" t="str">
        <f>IF(AND(Audit_Data[[#This Row],[Recency]]&gt;=0,Audit_Data[[#This Row],[Recency]]&lt;=100),"Valid","Invalid")</f>
        <v>Valid</v>
      </c>
      <c r="AM1900" t="str">
        <f t="shared" si="383"/>
        <v>Valid</v>
      </c>
      <c r="AN1900" t="str">
        <f t="shared" si="384"/>
        <v>Valid</v>
      </c>
      <c r="AO1900" t="str">
        <f t="shared" si="385"/>
        <v>Valid</v>
      </c>
      <c r="AP1900" t="str">
        <f t="shared" si="386"/>
        <v>Valid</v>
      </c>
      <c r="AQ1900" t="str">
        <f>IF(Audit_Data[[#This Row],[Z_CostContact]]=3,"Valid","Invalid")</f>
        <v>Valid</v>
      </c>
      <c r="AR1900" t="str">
        <f t="shared" si="387"/>
        <v>Valid</v>
      </c>
      <c r="AS1900" t="str">
        <f t="shared" si="388"/>
        <v>Valid</v>
      </c>
    </row>
    <row r="1901" spans="1:45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 t="str">
        <f t="shared" si="377"/>
        <v>Ok</v>
      </c>
      <c r="AE1901" t="str">
        <f>IF(AND(Audit_Data[[#This Row],[Year_Birth]]&gt;=1900,Audit_Data[[#This Row],[Year_Birth]]&lt;=2010),"OK","Invalid")</f>
        <v>OK</v>
      </c>
      <c r="AF1901" t="str">
        <f t="shared" si="378"/>
        <v>Valid</v>
      </c>
      <c r="AG1901" t="str">
        <f t="shared" si="379"/>
        <v>Valid</v>
      </c>
      <c r="AH1901" t="str">
        <f t="shared" si="380"/>
        <v>Valid</v>
      </c>
      <c r="AI1901" t="str">
        <f t="shared" si="381"/>
        <v>Valid</v>
      </c>
      <c r="AJ1901" t="str">
        <f t="shared" si="382"/>
        <v>Valid</v>
      </c>
      <c r="AK1901" t="str">
        <f t="shared" si="389"/>
        <v xml:space="preserve">Valid </v>
      </c>
      <c r="AL1901" t="str">
        <f>IF(AND(Audit_Data[[#This Row],[Recency]]&gt;=0,Audit_Data[[#This Row],[Recency]]&lt;=100),"Valid","Invalid")</f>
        <v>Valid</v>
      </c>
      <c r="AM1901" t="str">
        <f t="shared" si="383"/>
        <v>Valid</v>
      </c>
      <c r="AN1901" t="str">
        <f t="shared" si="384"/>
        <v>Valid</v>
      </c>
      <c r="AO1901" t="str">
        <f t="shared" si="385"/>
        <v>Valid</v>
      </c>
      <c r="AP1901" t="str">
        <f t="shared" si="386"/>
        <v>Valid</v>
      </c>
      <c r="AQ1901" t="str">
        <f>IF(Audit_Data[[#This Row],[Z_CostContact]]=3,"Valid","Invalid")</f>
        <v>Valid</v>
      </c>
      <c r="AR1901" t="str">
        <f t="shared" si="387"/>
        <v>Valid</v>
      </c>
      <c r="AS1901" t="str">
        <f t="shared" si="388"/>
        <v>Valid</v>
      </c>
    </row>
    <row r="1902" spans="1:45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 t="str">
        <f t="shared" si="377"/>
        <v>Ok</v>
      </c>
      <c r="AE1902" t="str">
        <f>IF(AND(Audit_Data[[#This Row],[Year_Birth]]&gt;=1900,Audit_Data[[#This Row],[Year_Birth]]&lt;=2010),"OK","Invalid")</f>
        <v>OK</v>
      </c>
      <c r="AF1902" t="str">
        <f t="shared" si="378"/>
        <v>Valid</v>
      </c>
      <c r="AG1902" t="str">
        <f t="shared" si="379"/>
        <v>Valid</v>
      </c>
      <c r="AH1902" t="str">
        <f t="shared" si="380"/>
        <v>Valid</v>
      </c>
      <c r="AI1902" t="str">
        <f t="shared" si="381"/>
        <v>Valid</v>
      </c>
      <c r="AJ1902" t="str">
        <f t="shared" si="382"/>
        <v>Valid</v>
      </c>
      <c r="AK1902" t="str">
        <f t="shared" si="389"/>
        <v xml:space="preserve">Valid </v>
      </c>
      <c r="AL1902" t="str">
        <f>IF(AND(Audit_Data[[#This Row],[Recency]]&gt;=0,Audit_Data[[#This Row],[Recency]]&lt;=100),"Valid","Invalid")</f>
        <v>Valid</v>
      </c>
      <c r="AM1902" t="str">
        <f t="shared" si="383"/>
        <v>Valid</v>
      </c>
      <c r="AN1902" t="str">
        <f t="shared" si="384"/>
        <v>Valid</v>
      </c>
      <c r="AO1902" t="str">
        <f t="shared" si="385"/>
        <v>Valid</v>
      </c>
      <c r="AP1902" t="str">
        <f t="shared" si="386"/>
        <v>Valid</v>
      </c>
      <c r="AQ1902" t="str">
        <f>IF(Audit_Data[[#This Row],[Z_CostContact]]=3,"Valid","Invalid")</f>
        <v>Valid</v>
      </c>
      <c r="AR1902" t="str">
        <f t="shared" si="387"/>
        <v>Valid</v>
      </c>
      <c r="AS1902" t="str">
        <f t="shared" si="388"/>
        <v>Valid</v>
      </c>
    </row>
    <row r="1903" spans="1:45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 t="str">
        <f t="shared" si="377"/>
        <v>Ok</v>
      </c>
      <c r="AE1903" t="str">
        <f>IF(AND(Audit_Data[[#This Row],[Year_Birth]]&gt;=1900,Audit_Data[[#This Row],[Year_Birth]]&lt;=2010),"OK","Invalid")</f>
        <v>OK</v>
      </c>
      <c r="AF1903" t="str">
        <f t="shared" si="378"/>
        <v>Valid</v>
      </c>
      <c r="AG1903" t="str">
        <f t="shared" si="379"/>
        <v>Valid</v>
      </c>
      <c r="AH1903" t="str">
        <f t="shared" si="380"/>
        <v>Valid</v>
      </c>
      <c r="AI1903" t="str">
        <f t="shared" si="381"/>
        <v>Valid</v>
      </c>
      <c r="AJ1903" t="str">
        <f t="shared" si="382"/>
        <v>Valid</v>
      </c>
      <c r="AK1903" t="str">
        <f t="shared" si="389"/>
        <v xml:space="preserve">Valid </v>
      </c>
      <c r="AL1903" t="str">
        <f>IF(AND(Audit_Data[[#This Row],[Recency]]&gt;=0,Audit_Data[[#This Row],[Recency]]&lt;=100),"Valid","Invalid")</f>
        <v>Valid</v>
      </c>
      <c r="AM1903" t="str">
        <f t="shared" si="383"/>
        <v>Valid</v>
      </c>
      <c r="AN1903" t="str">
        <f t="shared" si="384"/>
        <v>Valid</v>
      </c>
      <c r="AO1903" t="str">
        <f t="shared" si="385"/>
        <v>Valid</v>
      </c>
      <c r="AP1903" t="str">
        <f t="shared" si="386"/>
        <v>Valid</v>
      </c>
      <c r="AQ1903" t="str">
        <f>IF(Audit_Data[[#This Row],[Z_CostContact]]=3,"Valid","Invalid")</f>
        <v>Valid</v>
      </c>
      <c r="AR1903" t="str">
        <f t="shared" si="387"/>
        <v>Valid</v>
      </c>
      <c r="AS1903" t="str">
        <f t="shared" si="388"/>
        <v>Valid</v>
      </c>
    </row>
    <row r="1904" spans="1:45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 t="str">
        <f t="shared" si="377"/>
        <v>Ok</v>
      </c>
      <c r="AE1904" t="str">
        <f>IF(AND(Audit_Data[[#This Row],[Year_Birth]]&gt;=1900,Audit_Data[[#This Row],[Year_Birth]]&lt;=2010),"OK","Invalid")</f>
        <v>OK</v>
      </c>
      <c r="AF1904" t="str">
        <f t="shared" si="378"/>
        <v>Valid</v>
      </c>
      <c r="AG1904" t="str">
        <f t="shared" si="379"/>
        <v>Valid</v>
      </c>
      <c r="AH1904" t="str">
        <f t="shared" si="380"/>
        <v>Valid</v>
      </c>
      <c r="AI1904" t="str">
        <f t="shared" si="381"/>
        <v>Valid</v>
      </c>
      <c r="AJ1904" t="str">
        <f t="shared" si="382"/>
        <v>Valid</v>
      </c>
      <c r="AK1904" t="str">
        <f t="shared" si="389"/>
        <v xml:space="preserve">Valid </v>
      </c>
      <c r="AL1904" t="str">
        <f>IF(AND(Audit_Data[[#This Row],[Recency]]&gt;=0,Audit_Data[[#This Row],[Recency]]&lt;=100),"Valid","Invalid")</f>
        <v>Valid</v>
      </c>
      <c r="AM1904" t="str">
        <f t="shared" si="383"/>
        <v>Valid</v>
      </c>
      <c r="AN1904" t="str">
        <f t="shared" si="384"/>
        <v>Valid</v>
      </c>
      <c r="AO1904" t="str">
        <f t="shared" si="385"/>
        <v>Valid</v>
      </c>
      <c r="AP1904" t="str">
        <f t="shared" si="386"/>
        <v>Valid</v>
      </c>
      <c r="AQ1904" t="str">
        <f>IF(Audit_Data[[#This Row],[Z_CostContact]]=3,"Valid","Invalid")</f>
        <v>Valid</v>
      </c>
      <c r="AR1904" t="str">
        <f t="shared" si="387"/>
        <v>Valid</v>
      </c>
      <c r="AS1904" t="str">
        <f t="shared" si="388"/>
        <v>Valid</v>
      </c>
    </row>
    <row r="1905" spans="1:45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 t="str">
        <f t="shared" si="377"/>
        <v>Ok</v>
      </c>
      <c r="AE1905" t="str">
        <f>IF(AND(Audit_Data[[#This Row],[Year_Birth]]&gt;=1900,Audit_Data[[#This Row],[Year_Birth]]&lt;=2010),"OK","Invalid")</f>
        <v>OK</v>
      </c>
      <c r="AF1905" t="str">
        <f t="shared" si="378"/>
        <v>Valid</v>
      </c>
      <c r="AG1905" t="str">
        <f t="shared" si="379"/>
        <v>Valid</v>
      </c>
      <c r="AH1905" t="str">
        <f t="shared" si="380"/>
        <v>Valid</v>
      </c>
      <c r="AI1905" t="str">
        <f t="shared" si="381"/>
        <v>Valid</v>
      </c>
      <c r="AJ1905" t="str">
        <f t="shared" si="382"/>
        <v>Valid</v>
      </c>
      <c r="AK1905" t="str">
        <f t="shared" si="389"/>
        <v xml:space="preserve">Valid </v>
      </c>
      <c r="AL1905" t="str">
        <f>IF(AND(Audit_Data[[#This Row],[Recency]]&gt;=0,Audit_Data[[#This Row],[Recency]]&lt;=100),"Valid","Invalid")</f>
        <v>Valid</v>
      </c>
      <c r="AM1905" t="str">
        <f t="shared" si="383"/>
        <v>Valid</v>
      </c>
      <c r="AN1905" t="str">
        <f t="shared" si="384"/>
        <v>Valid</v>
      </c>
      <c r="AO1905" t="str">
        <f t="shared" si="385"/>
        <v>Valid</v>
      </c>
      <c r="AP1905" t="str">
        <f t="shared" si="386"/>
        <v>Valid</v>
      </c>
      <c r="AQ1905" t="str">
        <f>IF(Audit_Data[[#This Row],[Z_CostContact]]=3,"Valid","Invalid")</f>
        <v>Valid</v>
      </c>
      <c r="AR1905" t="str">
        <f t="shared" si="387"/>
        <v>Valid</v>
      </c>
      <c r="AS1905" t="str">
        <f t="shared" si="388"/>
        <v>Valid</v>
      </c>
    </row>
    <row r="1906" spans="1:45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 t="str">
        <f t="shared" si="377"/>
        <v>Ok</v>
      </c>
      <c r="AE1906" t="str">
        <f>IF(AND(Audit_Data[[#This Row],[Year_Birth]]&gt;=1900,Audit_Data[[#This Row],[Year_Birth]]&lt;=2010),"OK","Invalid")</f>
        <v>OK</v>
      </c>
      <c r="AF1906" t="str">
        <f t="shared" si="378"/>
        <v>Valid</v>
      </c>
      <c r="AG1906" t="str">
        <f t="shared" si="379"/>
        <v>Valid</v>
      </c>
      <c r="AH1906" t="str">
        <f t="shared" si="380"/>
        <v>Valid</v>
      </c>
      <c r="AI1906" t="str">
        <f t="shared" si="381"/>
        <v>Valid</v>
      </c>
      <c r="AJ1906" t="str">
        <f t="shared" si="382"/>
        <v>Valid</v>
      </c>
      <c r="AK1906" t="str">
        <f t="shared" si="389"/>
        <v xml:space="preserve">Valid </v>
      </c>
      <c r="AL1906" t="str">
        <f>IF(AND(Audit_Data[[#This Row],[Recency]]&gt;=0,Audit_Data[[#This Row],[Recency]]&lt;=100),"Valid","Invalid")</f>
        <v>Valid</v>
      </c>
      <c r="AM1906" t="str">
        <f t="shared" si="383"/>
        <v>Valid</v>
      </c>
      <c r="AN1906" t="str">
        <f t="shared" si="384"/>
        <v>Valid</v>
      </c>
      <c r="AO1906" t="str">
        <f t="shared" si="385"/>
        <v>Valid</v>
      </c>
      <c r="AP1906" t="str">
        <f t="shared" si="386"/>
        <v>Valid</v>
      </c>
      <c r="AQ1906" t="str">
        <f>IF(Audit_Data[[#This Row],[Z_CostContact]]=3,"Valid","Invalid")</f>
        <v>Valid</v>
      </c>
      <c r="AR1906" t="str">
        <f t="shared" si="387"/>
        <v>Valid</v>
      </c>
      <c r="AS1906" t="str">
        <f t="shared" si="388"/>
        <v>Valid</v>
      </c>
    </row>
    <row r="1907" spans="1:45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 t="str">
        <f t="shared" si="377"/>
        <v>Ok</v>
      </c>
      <c r="AE1907" t="str">
        <f>IF(AND(Audit_Data[[#This Row],[Year_Birth]]&gt;=1900,Audit_Data[[#This Row],[Year_Birth]]&lt;=2010),"OK","Invalid")</f>
        <v>OK</v>
      </c>
      <c r="AF1907" t="str">
        <f t="shared" si="378"/>
        <v>Valid</v>
      </c>
      <c r="AG1907" t="str">
        <f t="shared" si="379"/>
        <v>Valid</v>
      </c>
      <c r="AH1907" t="str">
        <f t="shared" si="380"/>
        <v>Valid</v>
      </c>
      <c r="AI1907" t="str">
        <f t="shared" si="381"/>
        <v>Valid</v>
      </c>
      <c r="AJ1907" t="str">
        <f t="shared" si="382"/>
        <v>Valid</v>
      </c>
      <c r="AK1907" t="str">
        <f t="shared" si="389"/>
        <v xml:space="preserve">Valid </v>
      </c>
      <c r="AL1907" t="str">
        <f>IF(AND(Audit_Data[[#This Row],[Recency]]&gt;=0,Audit_Data[[#This Row],[Recency]]&lt;=100),"Valid","Invalid")</f>
        <v>Valid</v>
      </c>
      <c r="AM1907" t="str">
        <f t="shared" si="383"/>
        <v>Valid</v>
      </c>
      <c r="AN1907" t="str">
        <f t="shared" si="384"/>
        <v>Valid</v>
      </c>
      <c r="AO1907" t="str">
        <f t="shared" si="385"/>
        <v>Valid</v>
      </c>
      <c r="AP1907" t="str">
        <f t="shared" si="386"/>
        <v>Valid</v>
      </c>
      <c r="AQ1907" t="str">
        <f>IF(Audit_Data[[#This Row],[Z_CostContact]]=3,"Valid","Invalid")</f>
        <v>Valid</v>
      </c>
      <c r="AR1907" t="str">
        <f t="shared" si="387"/>
        <v>Valid</v>
      </c>
      <c r="AS1907" t="str">
        <f t="shared" si="388"/>
        <v>Valid</v>
      </c>
    </row>
    <row r="1908" spans="1:45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 t="str">
        <f t="shared" si="377"/>
        <v>Ok</v>
      </c>
      <c r="AE1908" t="str">
        <f>IF(AND(Audit_Data[[#This Row],[Year_Birth]]&gt;=1900,Audit_Data[[#This Row],[Year_Birth]]&lt;=2010),"OK","Invalid")</f>
        <v>OK</v>
      </c>
      <c r="AF1908" t="str">
        <f t="shared" si="378"/>
        <v>Valid</v>
      </c>
      <c r="AG1908" t="str">
        <f t="shared" si="379"/>
        <v>Valid</v>
      </c>
      <c r="AH1908" t="str">
        <f t="shared" si="380"/>
        <v>Valid</v>
      </c>
      <c r="AI1908" t="str">
        <f t="shared" si="381"/>
        <v>Valid</v>
      </c>
      <c r="AJ1908" t="str">
        <f t="shared" si="382"/>
        <v>Valid</v>
      </c>
      <c r="AK1908" t="str">
        <f t="shared" si="389"/>
        <v xml:space="preserve">Valid </v>
      </c>
      <c r="AL1908" t="str">
        <f>IF(AND(Audit_Data[[#This Row],[Recency]]&gt;=0,Audit_Data[[#This Row],[Recency]]&lt;=100),"Valid","Invalid")</f>
        <v>Valid</v>
      </c>
      <c r="AM1908" t="str">
        <f t="shared" si="383"/>
        <v>Valid</v>
      </c>
      <c r="AN1908" t="str">
        <f t="shared" si="384"/>
        <v>Valid</v>
      </c>
      <c r="AO1908" t="str">
        <f t="shared" si="385"/>
        <v>Valid</v>
      </c>
      <c r="AP1908" t="str">
        <f t="shared" si="386"/>
        <v>Valid</v>
      </c>
      <c r="AQ1908" t="str">
        <f>IF(Audit_Data[[#This Row],[Z_CostContact]]=3,"Valid","Invalid")</f>
        <v>Valid</v>
      </c>
      <c r="AR1908" t="str">
        <f t="shared" si="387"/>
        <v>Valid</v>
      </c>
      <c r="AS1908" t="str">
        <f t="shared" si="388"/>
        <v>Valid</v>
      </c>
    </row>
    <row r="1909" spans="1:45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 t="str">
        <f t="shared" si="377"/>
        <v>Ok</v>
      </c>
      <c r="AE1909" t="str">
        <f>IF(AND(Audit_Data[[#This Row],[Year_Birth]]&gt;=1900,Audit_Data[[#This Row],[Year_Birth]]&lt;=2010),"OK","Invalid")</f>
        <v>OK</v>
      </c>
      <c r="AF1909" t="str">
        <f t="shared" si="378"/>
        <v>Valid</v>
      </c>
      <c r="AG1909" t="str">
        <f t="shared" si="379"/>
        <v>Valid</v>
      </c>
      <c r="AH1909" t="str">
        <f t="shared" si="380"/>
        <v>Valid</v>
      </c>
      <c r="AI1909" t="str">
        <f t="shared" si="381"/>
        <v>Valid</v>
      </c>
      <c r="AJ1909" t="str">
        <f t="shared" si="382"/>
        <v>Valid</v>
      </c>
      <c r="AK1909" t="str">
        <f t="shared" si="389"/>
        <v xml:space="preserve">Valid </v>
      </c>
      <c r="AL1909" t="str">
        <f>IF(AND(Audit_Data[[#This Row],[Recency]]&gt;=0,Audit_Data[[#This Row],[Recency]]&lt;=100),"Valid","Invalid")</f>
        <v>Valid</v>
      </c>
      <c r="AM1909" t="str">
        <f t="shared" si="383"/>
        <v>Valid</v>
      </c>
      <c r="AN1909" t="str">
        <f t="shared" si="384"/>
        <v>Valid</v>
      </c>
      <c r="AO1909" t="str">
        <f t="shared" si="385"/>
        <v>Valid</v>
      </c>
      <c r="AP1909" t="str">
        <f t="shared" si="386"/>
        <v>Valid</v>
      </c>
      <c r="AQ1909" t="str">
        <f>IF(Audit_Data[[#This Row],[Z_CostContact]]=3,"Valid","Invalid")</f>
        <v>Valid</v>
      </c>
      <c r="AR1909" t="str">
        <f t="shared" si="387"/>
        <v>Valid</v>
      </c>
      <c r="AS1909" t="str">
        <f t="shared" si="388"/>
        <v>Valid</v>
      </c>
    </row>
    <row r="1910" spans="1:45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 t="str">
        <f t="shared" si="377"/>
        <v>Ok</v>
      </c>
      <c r="AE1910" t="str">
        <f>IF(AND(Audit_Data[[#This Row],[Year_Birth]]&gt;=1900,Audit_Data[[#This Row],[Year_Birth]]&lt;=2010),"OK","Invalid")</f>
        <v>OK</v>
      </c>
      <c r="AF1910" t="str">
        <f t="shared" si="378"/>
        <v>Valid</v>
      </c>
      <c r="AG1910" t="str">
        <f t="shared" si="379"/>
        <v>Valid</v>
      </c>
      <c r="AH1910" t="str">
        <f t="shared" si="380"/>
        <v>Valid</v>
      </c>
      <c r="AI1910" t="str">
        <f t="shared" si="381"/>
        <v>Valid</v>
      </c>
      <c r="AJ1910" t="str">
        <f t="shared" si="382"/>
        <v>Valid</v>
      </c>
      <c r="AK1910" t="str">
        <f t="shared" si="389"/>
        <v xml:space="preserve">Valid </v>
      </c>
      <c r="AL1910" t="str">
        <f>IF(AND(Audit_Data[[#This Row],[Recency]]&gt;=0,Audit_Data[[#This Row],[Recency]]&lt;=100),"Valid","Invalid")</f>
        <v>Valid</v>
      </c>
      <c r="AM1910" t="str">
        <f t="shared" si="383"/>
        <v>Valid</v>
      </c>
      <c r="AN1910" t="str">
        <f t="shared" si="384"/>
        <v>Valid</v>
      </c>
      <c r="AO1910" t="str">
        <f t="shared" si="385"/>
        <v>Valid</v>
      </c>
      <c r="AP1910" t="str">
        <f t="shared" si="386"/>
        <v>Valid</v>
      </c>
      <c r="AQ1910" t="str">
        <f>IF(Audit_Data[[#This Row],[Z_CostContact]]=3,"Valid","Invalid")</f>
        <v>Valid</v>
      </c>
      <c r="AR1910" t="str">
        <f t="shared" si="387"/>
        <v>Valid</v>
      </c>
      <c r="AS1910" t="str">
        <f t="shared" si="388"/>
        <v>Valid</v>
      </c>
    </row>
    <row r="1911" spans="1:45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 t="str">
        <f t="shared" si="377"/>
        <v>Ok</v>
      </c>
      <c r="AE1911" t="str">
        <f>IF(AND(Audit_Data[[#This Row],[Year_Birth]]&gt;=1900,Audit_Data[[#This Row],[Year_Birth]]&lt;=2010),"OK","Invalid")</f>
        <v>OK</v>
      </c>
      <c r="AF1911" t="str">
        <f t="shared" si="378"/>
        <v>Valid</v>
      </c>
      <c r="AG1911" t="str">
        <f t="shared" si="379"/>
        <v>Valid</v>
      </c>
      <c r="AH1911" t="str">
        <f t="shared" si="380"/>
        <v>Valid</v>
      </c>
      <c r="AI1911" t="str">
        <f t="shared" si="381"/>
        <v>Valid</v>
      </c>
      <c r="AJ1911" t="str">
        <f t="shared" si="382"/>
        <v>Valid</v>
      </c>
      <c r="AK1911" t="str">
        <f t="shared" si="389"/>
        <v xml:space="preserve">Valid </v>
      </c>
      <c r="AL1911" t="str">
        <f>IF(AND(Audit_Data[[#This Row],[Recency]]&gt;=0,Audit_Data[[#This Row],[Recency]]&lt;=100),"Valid","Invalid")</f>
        <v>Valid</v>
      </c>
      <c r="AM1911" t="str">
        <f t="shared" si="383"/>
        <v>Valid</v>
      </c>
      <c r="AN1911" t="str">
        <f t="shared" si="384"/>
        <v>Valid</v>
      </c>
      <c r="AO1911" t="str">
        <f t="shared" si="385"/>
        <v>Valid</v>
      </c>
      <c r="AP1911" t="str">
        <f t="shared" si="386"/>
        <v>Valid</v>
      </c>
      <c r="AQ1911" t="str">
        <f>IF(Audit_Data[[#This Row],[Z_CostContact]]=3,"Valid","Invalid")</f>
        <v>Valid</v>
      </c>
      <c r="AR1911" t="str">
        <f t="shared" si="387"/>
        <v>Valid</v>
      </c>
      <c r="AS1911" t="str">
        <f t="shared" si="388"/>
        <v>Valid</v>
      </c>
    </row>
    <row r="1912" spans="1:45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 t="str">
        <f t="shared" si="377"/>
        <v>Ok</v>
      </c>
      <c r="AE1912" t="str">
        <f>IF(AND(Audit_Data[[#This Row],[Year_Birth]]&gt;=1900,Audit_Data[[#This Row],[Year_Birth]]&lt;=2010),"OK","Invalid")</f>
        <v>OK</v>
      </c>
      <c r="AF1912" t="str">
        <f t="shared" si="378"/>
        <v>Valid</v>
      </c>
      <c r="AG1912" t="str">
        <f t="shared" si="379"/>
        <v>Valid</v>
      </c>
      <c r="AH1912" t="str">
        <f t="shared" si="380"/>
        <v>Valid</v>
      </c>
      <c r="AI1912" t="str">
        <f t="shared" si="381"/>
        <v>Valid</v>
      </c>
      <c r="AJ1912" t="str">
        <f t="shared" si="382"/>
        <v>Valid</v>
      </c>
      <c r="AK1912" t="str">
        <f t="shared" si="389"/>
        <v xml:space="preserve">Valid </v>
      </c>
      <c r="AL1912" t="str">
        <f>IF(AND(Audit_Data[[#This Row],[Recency]]&gt;=0,Audit_Data[[#This Row],[Recency]]&lt;=100),"Valid","Invalid")</f>
        <v>Valid</v>
      </c>
      <c r="AM1912" t="str">
        <f t="shared" si="383"/>
        <v>Valid</v>
      </c>
      <c r="AN1912" t="str">
        <f t="shared" si="384"/>
        <v>Valid</v>
      </c>
      <c r="AO1912" t="str">
        <f t="shared" si="385"/>
        <v>Valid</v>
      </c>
      <c r="AP1912" t="str">
        <f t="shared" si="386"/>
        <v>Valid</v>
      </c>
      <c r="AQ1912" t="str">
        <f>IF(Audit_Data[[#This Row],[Z_CostContact]]=3,"Valid","Invalid")</f>
        <v>Valid</v>
      </c>
      <c r="AR1912" t="str">
        <f t="shared" si="387"/>
        <v>Valid</v>
      </c>
      <c r="AS1912" t="str">
        <f t="shared" si="388"/>
        <v>Valid</v>
      </c>
    </row>
    <row r="1913" spans="1:45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 t="str">
        <f t="shared" si="377"/>
        <v>Ok</v>
      </c>
      <c r="AE1913" t="str">
        <f>IF(AND(Audit_Data[[#This Row],[Year_Birth]]&gt;=1900,Audit_Data[[#This Row],[Year_Birth]]&lt;=2010),"OK","Invalid")</f>
        <v>OK</v>
      </c>
      <c r="AF1913" t="str">
        <f t="shared" si="378"/>
        <v>Valid</v>
      </c>
      <c r="AG1913" t="str">
        <f t="shared" si="379"/>
        <v>Valid</v>
      </c>
      <c r="AH1913" t="str">
        <f t="shared" si="380"/>
        <v>Valid</v>
      </c>
      <c r="AI1913" t="str">
        <f t="shared" si="381"/>
        <v>Valid</v>
      </c>
      <c r="AJ1913" t="str">
        <f t="shared" si="382"/>
        <v>Valid</v>
      </c>
      <c r="AK1913" t="str">
        <f t="shared" si="389"/>
        <v xml:space="preserve">Valid </v>
      </c>
      <c r="AL1913" t="str">
        <f>IF(AND(Audit_Data[[#This Row],[Recency]]&gt;=0,Audit_Data[[#This Row],[Recency]]&lt;=100),"Valid","Invalid")</f>
        <v>Valid</v>
      </c>
      <c r="AM1913" t="str">
        <f t="shared" si="383"/>
        <v>Valid</v>
      </c>
      <c r="AN1913" t="str">
        <f t="shared" si="384"/>
        <v>Valid</v>
      </c>
      <c r="AO1913" t="str">
        <f t="shared" si="385"/>
        <v>Valid</v>
      </c>
      <c r="AP1913" t="str">
        <f t="shared" si="386"/>
        <v>Valid</v>
      </c>
      <c r="AQ1913" t="str">
        <f>IF(Audit_Data[[#This Row],[Z_CostContact]]=3,"Valid","Invalid")</f>
        <v>Valid</v>
      </c>
      <c r="AR1913" t="str">
        <f t="shared" si="387"/>
        <v>Valid</v>
      </c>
      <c r="AS1913" t="str">
        <f t="shared" si="388"/>
        <v>Valid</v>
      </c>
    </row>
    <row r="1914" spans="1:45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 t="str">
        <f t="shared" si="377"/>
        <v>Ok</v>
      </c>
      <c r="AE1914" t="str">
        <f>IF(AND(Audit_Data[[#This Row],[Year_Birth]]&gt;=1900,Audit_Data[[#This Row],[Year_Birth]]&lt;=2010),"OK","Invalid")</f>
        <v>OK</v>
      </c>
      <c r="AF1914" t="str">
        <f t="shared" si="378"/>
        <v>Valid</v>
      </c>
      <c r="AG1914" t="str">
        <f t="shared" si="379"/>
        <v>Valid</v>
      </c>
      <c r="AH1914" t="str">
        <f t="shared" si="380"/>
        <v>Valid</v>
      </c>
      <c r="AI1914" t="str">
        <f t="shared" si="381"/>
        <v>Valid</v>
      </c>
      <c r="AJ1914" t="str">
        <f t="shared" si="382"/>
        <v>Valid</v>
      </c>
      <c r="AK1914" t="str">
        <f t="shared" si="389"/>
        <v xml:space="preserve">Valid </v>
      </c>
      <c r="AL1914" t="str">
        <f>IF(AND(Audit_Data[[#This Row],[Recency]]&gt;=0,Audit_Data[[#This Row],[Recency]]&lt;=100),"Valid","Invalid")</f>
        <v>Valid</v>
      </c>
      <c r="AM1914" t="str">
        <f t="shared" si="383"/>
        <v>Valid</v>
      </c>
      <c r="AN1914" t="str">
        <f t="shared" si="384"/>
        <v>Valid</v>
      </c>
      <c r="AO1914" t="str">
        <f t="shared" si="385"/>
        <v>Valid</v>
      </c>
      <c r="AP1914" t="str">
        <f t="shared" si="386"/>
        <v>Valid</v>
      </c>
      <c r="AQ1914" t="str">
        <f>IF(Audit_Data[[#This Row],[Z_CostContact]]=3,"Valid","Invalid")</f>
        <v>Valid</v>
      </c>
      <c r="AR1914" t="str">
        <f t="shared" si="387"/>
        <v>Valid</v>
      </c>
      <c r="AS1914" t="str">
        <f t="shared" si="388"/>
        <v>Valid</v>
      </c>
    </row>
    <row r="1915" spans="1:45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 t="str">
        <f t="shared" si="377"/>
        <v>Ok</v>
      </c>
      <c r="AE1915" t="str">
        <f>IF(AND(Audit_Data[[#This Row],[Year_Birth]]&gt;=1900,Audit_Data[[#This Row],[Year_Birth]]&lt;=2010),"OK","Invalid")</f>
        <v>OK</v>
      </c>
      <c r="AF1915" t="str">
        <f t="shared" si="378"/>
        <v>Valid</v>
      </c>
      <c r="AG1915" t="str">
        <f t="shared" si="379"/>
        <v>Valid</v>
      </c>
      <c r="AH1915" t="str">
        <f t="shared" si="380"/>
        <v>Valid</v>
      </c>
      <c r="AI1915" t="str">
        <f t="shared" si="381"/>
        <v>Valid</v>
      </c>
      <c r="AJ1915" t="str">
        <f t="shared" si="382"/>
        <v>Valid</v>
      </c>
      <c r="AK1915" t="str">
        <f t="shared" si="389"/>
        <v xml:space="preserve">Valid </v>
      </c>
      <c r="AL1915" t="str">
        <f>IF(AND(Audit_Data[[#This Row],[Recency]]&gt;=0,Audit_Data[[#This Row],[Recency]]&lt;=100),"Valid","Invalid")</f>
        <v>Valid</v>
      </c>
      <c r="AM1915" t="str">
        <f t="shared" si="383"/>
        <v>Valid</v>
      </c>
      <c r="AN1915" t="str">
        <f t="shared" si="384"/>
        <v>Valid</v>
      </c>
      <c r="AO1915" t="str">
        <f t="shared" si="385"/>
        <v>Valid</v>
      </c>
      <c r="AP1915" t="str">
        <f t="shared" si="386"/>
        <v>Valid</v>
      </c>
      <c r="AQ1915" t="str">
        <f>IF(Audit_Data[[#This Row],[Z_CostContact]]=3,"Valid","Invalid")</f>
        <v>Valid</v>
      </c>
      <c r="AR1915" t="str">
        <f t="shared" si="387"/>
        <v>Valid</v>
      </c>
      <c r="AS1915" t="str">
        <f t="shared" si="388"/>
        <v>Valid</v>
      </c>
    </row>
    <row r="1916" spans="1:45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 t="str">
        <f t="shared" si="377"/>
        <v>Ok</v>
      </c>
      <c r="AE1916" t="str">
        <f>IF(AND(Audit_Data[[#This Row],[Year_Birth]]&gt;=1900,Audit_Data[[#This Row],[Year_Birth]]&lt;=2010),"OK","Invalid")</f>
        <v>OK</v>
      </c>
      <c r="AF1916" t="str">
        <f t="shared" si="378"/>
        <v>Valid</v>
      </c>
      <c r="AG1916" t="str">
        <f t="shared" si="379"/>
        <v>Valid</v>
      </c>
      <c r="AH1916" t="str">
        <f t="shared" si="380"/>
        <v>Valid</v>
      </c>
      <c r="AI1916" t="str">
        <f t="shared" si="381"/>
        <v>Valid</v>
      </c>
      <c r="AJ1916" t="str">
        <f t="shared" si="382"/>
        <v>Valid</v>
      </c>
      <c r="AK1916" t="str">
        <f t="shared" si="389"/>
        <v xml:space="preserve">Valid </v>
      </c>
      <c r="AL1916" t="str">
        <f>IF(AND(Audit_Data[[#This Row],[Recency]]&gt;=0,Audit_Data[[#This Row],[Recency]]&lt;=100),"Valid","Invalid")</f>
        <v>Valid</v>
      </c>
      <c r="AM1916" t="str">
        <f t="shared" si="383"/>
        <v>Valid</v>
      </c>
      <c r="AN1916" t="str">
        <f t="shared" si="384"/>
        <v>Valid</v>
      </c>
      <c r="AO1916" t="str">
        <f t="shared" si="385"/>
        <v>Valid</v>
      </c>
      <c r="AP1916" t="str">
        <f t="shared" si="386"/>
        <v>Valid</v>
      </c>
      <c r="AQ1916" t="str">
        <f>IF(Audit_Data[[#This Row],[Z_CostContact]]=3,"Valid","Invalid")</f>
        <v>Valid</v>
      </c>
      <c r="AR1916" t="str">
        <f t="shared" si="387"/>
        <v>Valid</v>
      </c>
      <c r="AS1916" t="str">
        <f t="shared" si="388"/>
        <v>Valid</v>
      </c>
    </row>
    <row r="1917" spans="1:45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 t="str">
        <f t="shared" si="377"/>
        <v>Ok</v>
      </c>
      <c r="AE1917" t="str">
        <f>IF(AND(Audit_Data[[#This Row],[Year_Birth]]&gt;=1900,Audit_Data[[#This Row],[Year_Birth]]&lt;=2010),"OK","Invalid")</f>
        <v>OK</v>
      </c>
      <c r="AF1917" t="str">
        <f t="shared" si="378"/>
        <v>Valid</v>
      </c>
      <c r="AG1917" t="str">
        <f t="shared" si="379"/>
        <v>Valid</v>
      </c>
      <c r="AH1917" t="str">
        <f t="shared" si="380"/>
        <v>Valid</v>
      </c>
      <c r="AI1917" t="str">
        <f t="shared" si="381"/>
        <v>Valid</v>
      </c>
      <c r="AJ1917" t="str">
        <f t="shared" si="382"/>
        <v>Valid</v>
      </c>
      <c r="AK1917" t="str">
        <f t="shared" si="389"/>
        <v xml:space="preserve">Valid </v>
      </c>
      <c r="AL1917" t="str">
        <f>IF(AND(Audit_Data[[#This Row],[Recency]]&gt;=0,Audit_Data[[#This Row],[Recency]]&lt;=100),"Valid","Invalid")</f>
        <v>Valid</v>
      </c>
      <c r="AM1917" t="str">
        <f t="shared" si="383"/>
        <v>Valid</v>
      </c>
      <c r="AN1917" t="str">
        <f t="shared" si="384"/>
        <v>Valid</v>
      </c>
      <c r="AO1917" t="str">
        <f t="shared" si="385"/>
        <v>Valid</v>
      </c>
      <c r="AP1917" t="str">
        <f t="shared" si="386"/>
        <v>Valid</v>
      </c>
      <c r="AQ1917" t="str">
        <f>IF(Audit_Data[[#This Row],[Z_CostContact]]=3,"Valid","Invalid")</f>
        <v>Valid</v>
      </c>
      <c r="AR1917" t="str">
        <f t="shared" si="387"/>
        <v>Valid</v>
      </c>
      <c r="AS1917" t="str">
        <f t="shared" si="388"/>
        <v>Valid</v>
      </c>
    </row>
    <row r="1918" spans="1:45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 t="str">
        <f t="shared" si="377"/>
        <v>Ok</v>
      </c>
      <c r="AE1918" t="str">
        <f>IF(AND(Audit_Data[[#This Row],[Year_Birth]]&gt;=1900,Audit_Data[[#This Row],[Year_Birth]]&lt;=2010),"OK","Invalid")</f>
        <v>OK</v>
      </c>
      <c r="AF1918" t="str">
        <f t="shared" si="378"/>
        <v>Valid</v>
      </c>
      <c r="AG1918" t="str">
        <f t="shared" si="379"/>
        <v>Valid</v>
      </c>
      <c r="AH1918" t="str">
        <f t="shared" si="380"/>
        <v>Valid</v>
      </c>
      <c r="AI1918" t="str">
        <f t="shared" si="381"/>
        <v>Valid</v>
      </c>
      <c r="AJ1918" t="str">
        <f t="shared" si="382"/>
        <v>Valid</v>
      </c>
      <c r="AK1918" t="str">
        <f t="shared" si="389"/>
        <v xml:space="preserve">Valid </v>
      </c>
      <c r="AL1918" t="str">
        <f>IF(AND(Audit_Data[[#This Row],[Recency]]&gt;=0,Audit_Data[[#This Row],[Recency]]&lt;=100),"Valid","Invalid")</f>
        <v>Valid</v>
      </c>
      <c r="AM1918" t="str">
        <f t="shared" si="383"/>
        <v>Valid</v>
      </c>
      <c r="AN1918" t="str">
        <f t="shared" si="384"/>
        <v>Valid</v>
      </c>
      <c r="AO1918" t="str">
        <f t="shared" si="385"/>
        <v>Valid</v>
      </c>
      <c r="AP1918" t="str">
        <f t="shared" si="386"/>
        <v>Valid</v>
      </c>
      <c r="AQ1918" t="str">
        <f>IF(Audit_Data[[#This Row],[Z_CostContact]]=3,"Valid","Invalid")</f>
        <v>Valid</v>
      </c>
      <c r="AR1918" t="str">
        <f t="shared" si="387"/>
        <v>Valid</v>
      </c>
      <c r="AS1918" t="str">
        <f t="shared" si="388"/>
        <v>Valid</v>
      </c>
    </row>
    <row r="1919" spans="1:45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 t="str">
        <f t="shared" si="377"/>
        <v>Ok</v>
      </c>
      <c r="AE1919" t="str">
        <f>IF(AND(Audit_Data[[#This Row],[Year_Birth]]&gt;=1900,Audit_Data[[#This Row],[Year_Birth]]&lt;=2010),"OK","Invalid")</f>
        <v>OK</v>
      </c>
      <c r="AF1919" t="str">
        <f t="shared" si="378"/>
        <v>Valid</v>
      </c>
      <c r="AG1919" t="str">
        <f t="shared" si="379"/>
        <v>Valid</v>
      </c>
      <c r="AH1919" t="str">
        <f t="shared" si="380"/>
        <v>Valid</v>
      </c>
      <c r="AI1919" t="str">
        <f t="shared" si="381"/>
        <v>Valid</v>
      </c>
      <c r="AJ1919" t="str">
        <f t="shared" si="382"/>
        <v>Valid</v>
      </c>
      <c r="AK1919" t="str">
        <f t="shared" si="389"/>
        <v xml:space="preserve">Valid </v>
      </c>
      <c r="AL1919" t="str">
        <f>IF(AND(Audit_Data[[#This Row],[Recency]]&gt;=0,Audit_Data[[#This Row],[Recency]]&lt;=100),"Valid","Invalid")</f>
        <v>Valid</v>
      </c>
      <c r="AM1919" t="str">
        <f t="shared" si="383"/>
        <v>Valid</v>
      </c>
      <c r="AN1919" t="str">
        <f t="shared" si="384"/>
        <v>Valid</v>
      </c>
      <c r="AO1919" t="str">
        <f t="shared" si="385"/>
        <v>Valid</v>
      </c>
      <c r="AP1919" t="str">
        <f t="shared" si="386"/>
        <v>Valid</v>
      </c>
      <c r="AQ1919" t="str">
        <f>IF(Audit_Data[[#This Row],[Z_CostContact]]=3,"Valid","Invalid")</f>
        <v>Valid</v>
      </c>
      <c r="AR1919" t="str">
        <f t="shared" si="387"/>
        <v>Valid</v>
      </c>
      <c r="AS1919" t="str">
        <f t="shared" si="388"/>
        <v>Valid</v>
      </c>
    </row>
    <row r="1920" spans="1:45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 t="str">
        <f t="shared" si="377"/>
        <v>Ok</v>
      </c>
      <c r="AE1920" t="str">
        <f>IF(AND(Audit_Data[[#This Row],[Year_Birth]]&gt;=1900,Audit_Data[[#This Row],[Year_Birth]]&lt;=2010),"OK","Invalid")</f>
        <v>OK</v>
      </c>
      <c r="AF1920" t="str">
        <f t="shared" si="378"/>
        <v>Valid</v>
      </c>
      <c r="AG1920" t="str">
        <f t="shared" si="379"/>
        <v>Valid</v>
      </c>
      <c r="AH1920" t="str">
        <f t="shared" si="380"/>
        <v>Valid</v>
      </c>
      <c r="AI1920" t="str">
        <f t="shared" si="381"/>
        <v>Valid</v>
      </c>
      <c r="AJ1920" t="str">
        <f t="shared" si="382"/>
        <v>Valid</v>
      </c>
      <c r="AK1920" t="str">
        <f t="shared" si="389"/>
        <v xml:space="preserve">Valid </v>
      </c>
      <c r="AL1920" t="str">
        <f>IF(AND(Audit_Data[[#This Row],[Recency]]&gt;=0,Audit_Data[[#This Row],[Recency]]&lt;=100),"Valid","Invalid")</f>
        <v>Valid</v>
      </c>
      <c r="AM1920" t="str">
        <f t="shared" si="383"/>
        <v>Valid</v>
      </c>
      <c r="AN1920" t="str">
        <f t="shared" si="384"/>
        <v>Valid</v>
      </c>
      <c r="AO1920" t="str">
        <f t="shared" si="385"/>
        <v>Valid</v>
      </c>
      <c r="AP1920" t="str">
        <f t="shared" si="386"/>
        <v>Valid</v>
      </c>
      <c r="AQ1920" t="str">
        <f>IF(Audit_Data[[#This Row],[Z_CostContact]]=3,"Valid","Invalid")</f>
        <v>Valid</v>
      </c>
      <c r="AR1920" t="str">
        <f t="shared" si="387"/>
        <v>Valid</v>
      </c>
      <c r="AS1920" t="str">
        <f t="shared" si="388"/>
        <v>Valid</v>
      </c>
    </row>
    <row r="1921" spans="1:45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 t="str">
        <f t="shared" si="377"/>
        <v>Ok</v>
      </c>
      <c r="AE1921" t="str">
        <f>IF(AND(Audit_Data[[#This Row],[Year_Birth]]&gt;=1900,Audit_Data[[#This Row],[Year_Birth]]&lt;=2010),"OK","Invalid")</f>
        <v>OK</v>
      </c>
      <c r="AF1921" t="str">
        <f t="shared" si="378"/>
        <v>Valid</v>
      </c>
      <c r="AG1921" t="str">
        <f t="shared" si="379"/>
        <v>Valid</v>
      </c>
      <c r="AH1921" t="str">
        <f t="shared" si="380"/>
        <v>Valid</v>
      </c>
      <c r="AI1921" t="str">
        <f t="shared" si="381"/>
        <v>Valid</v>
      </c>
      <c r="AJ1921" t="str">
        <f t="shared" si="382"/>
        <v>Valid</v>
      </c>
      <c r="AK1921" t="str">
        <f t="shared" si="389"/>
        <v xml:space="preserve">Valid </v>
      </c>
      <c r="AL1921" t="str">
        <f>IF(AND(Audit_Data[[#This Row],[Recency]]&gt;=0,Audit_Data[[#This Row],[Recency]]&lt;=100),"Valid","Invalid")</f>
        <v>Valid</v>
      </c>
      <c r="AM1921" t="str">
        <f t="shared" si="383"/>
        <v>Valid</v>
      </c>
      <c r="AN1921" t="str">
        <f t="shared" si="384"/>
        <v>Valid</v>
      </c>
      <c r="AO1921" t="str">
        <f t="shared" si="385"/>
        <v>Valid</v>
      </c>
      <c r="AP1921" t="str">
        <f t="shared" si="386"/>
        <v>Valid</v>
      </c>
      <c r="AQ1921" t="str">
        <f>IF(Audit_Data[[#This Row],[Z_CostContact]]=3,"Valid","Invalid")</f>
        <v>Valid</v>
      </c>
      <c r="AR1921" t="str">
        <f t="shared" si="387"/>
        <v>Valid</v>
      </c>
      <c r="AS1921" t="str">
        <f t="shared" si="388"/>
        <v>Valid</v>
      </c>
    </row>
    <row r="1922" spans="1:45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 t="str">
        <f t="shared" ref="AD1922:AD1985" si="390">IF(COUNTIF(A:A,A1922)&gt;1,"Duplicate","Ok")</f>
        <v>Ok</v>
      </c>
      <c r="AE1922" t="str">
        <f>IF(AND(Audit_Data[[#This Row],[Year_Birth]]&gt;=1900,Audit_Data[[#This Row],[Year_Birth]]&lt;=2010),"OK","Invalid")</f>
        <v>OK</v>
      </c>
      <c r="AF1922" t="str">
        <f t="shared" ref="AF1922:AF1985" si="391">IF(OR(C1922="Graduation",C1922="phD",C1922="Master",C1922="Basic",C1922="2n Cycle"),"Valid","Invalid")</f>
        <v>Valid</v>
      </c>
      <c r="AG1922" t="str">
        <f t="shared" ref="AG1922:AG1985" si="392">IF(OR(D1922="Single",D1922="Married",D1922="Divorced",D1922="Together",D1922="Widow",D1922="Alone"),"Valid","Invalid")</f>
        <v>Valid</v>
      </c>
      <c r="AH1922" t="str">
        <f t="shared" ref="AH1922:AH1985" si="393">IF(AND(ISNUMBER(E1922),E1922&lt;&gt;""),"Valid","Invalid")</f>
        <v>Valid</v>
      </c>
      <c r="AI1922" t="str">
        <f t="shared" ref="AI1922:AI1985" si="394">IF(AND(F1922&gt;=0,F1922&lt;=2),"Valid","Invalid")</f>
        <v>Valid</v>
      </c>
      <c r="AJ1922" t="str">
        <f t="shared" ref="AJ1922:AJ1985" si="395">IF(AND(G1922&gt;=0,G1922&lt;=2),"Valid","Invalid")</f>
        <v>Valid</v>
      </c>
      <c r="AK1922" t="str">
        <f t="shared" si="389"/>
        <v xml:space="preserve">Valid </v>
      </c>
      <c r="AL1922" t="str">
        <f>IF(AND(Audit_Data[[#This Row],[Recency]]&gt;=0,Audit_Data[[#This Row],[Recency]]&lt;=100),"Valid","Invalid")</f>
        <v>Valid</v>
      </c>
      <c r="AM1922" t="str">
        <f t="shared" ref="AM1922:AM1985" si="396">IF(AND(ISNUMBER(J1922),J1922&gt;=0,ISNUMBER(K1922),K1922&gt;=0,ISNUMBER(L1922),L1922&gt;=0,ISNUMBER(M1922),M1922&gt;=0,ISNUMBER(N1922),N1922&gt;=0,ISNUMBER(O1922),O1922&gt;=0),"Valid","Invalid")</f>
        <v>Valid</v>
      </c>
      <c r="AN1922" t="str">
        <f t="shared" ref="AN1922:AN1985" si="397">IF(AND(ISNUMBER(P1922),P1922&gt;=0,ISNUMBER(Q1922),Q1922&gt;=0,ISNUMBER(R1922),R1922&gt;=0,ISNUMBER(S1922),S1922&gt;=0,ISNUMBER(T1922),T1922&gt;=0),"Valid","Invalid")</f>
        <v>Valid</v>
      </c>
      <c r="AO1922" t="str">
        <f t="shared" ref="AO1922:AO1985" si="398">IF(AND(U1922&lt;=1,V1922&lt;=1,W1922&lt;=1,X1922&lt;=1,Y1922&lt;=1),"Valid","Invalid")</f>
        <v>Valid</v>
      </c>
      <c r="AP1922" t="str">
        <f t="shared" ref="AP1922:AP1985" si="399">IF(OR(Z1922=0,Z1922=1),"Valid","Invalid")</f>
        <v>Valid</v>
      </c>
      <c r="AQ1922" t="str">
        <f>IF(Audit_Data[[#This Row],[Z_CostContact]]=3,"Valid","Invalid")</f>
        <v>Valid</v>
      </c>
      <c r="AR1922" t="str">
        <f t="shared" ref="AR1922:AR1985" si="400">IF(AB1922=11,"Valid","Invalid")</f>
        <v>Valid</v>
      </c>
      <c r="AS1922" t="str">
        <f t="shared" ref="AS1922:AS1985" si="401">IF(OR(AC1922=0,AC1922=1),"Valid","Invalid")</f>
        <v>Valid</v>
      </c>
    </row>
    <row r="1923" spans="1:45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 t="str">
        <f t="shared" si="390"/>
        <v>Ok</v>
      </c>
      <c r="AE1923" t="str">
        <f>IF(AND(Audit_Data[[#This Row],[Year_Birth]]&gt;=1900,Audit_Data[[#This Row],[Year_Birth]]&lt;=2010),"OK","Invalid")</f>
        <v>OK</v>
      </c>
      <c r="AF1923" t="str">
        <f t="shared" si="391"/>
        <v>Valid</v>
      </c>
      <c r="AG1923" t="str">
        <f t="shared" si="392"/>
        <v>Valid</v>
      </c>
      <c r="AH1923" t="str">
        <f t="shared" si="393"/>
        <v>Valid</v>
      </c>
      <c r="AI1923" t="str">
        <f t="shared" si="394"/>
        <v>Valid</v>
      </c>
      <c r="AJ1923" t="str">
        <f t="shared" si="395"/>
        <v>Valid</v>
      </c>
      <c r="AK1923" t="str">
        <f t="shared" ref="AK1923:AK1986" si="402">IF(AND(ISNUMBER(H1923),H1923&gt;=DATE(2012,1,1),H1923&lt;=DATE(2014,12,31)),"Valid ","Invalid")</f>
        <v xml:space="preserve">Valid </v>
      </c>
      <c r="AL1923" t="str">
        <f>IF(AND(Audit_Data[[#This Row],[Recency]]&gt;=0,Audit_Data[[#This Row],[Recency]]&lt;=100),"Valid","Invalid")</f>
        <v>Valid</v>
      </c>
      <c r="AM1923" t="str">
        <f t="shared" si="396"/>
        <v>Valid</v>
      </c>
      <c r="AN1923" t="str">
        <f t="shared" si="397"/>
        <v>Valid</v>
      </c>
      <c r="AO1923" t="str">
        <f t="shared" si="398"/>
        <v>Valid</v>
      </c>
      <c r="AP1923" t="str">
        <f t="shared" si="399"/>
        <v>Valid</v>
      </c>
      <c r="AQ1923" t="str">
        <f>IF(Audit_Data[[#This Row],[Z_CostContact]]=3,"Valid","Invalid")</f>
        <v>Valid</v>
      </c>
      <c r="AR1923" t="str">
        <f t="shared" si="400"/>
        <v>Valid</v>
      </c>
      <c r="AS1923" t="str">
        <f t="shared" si="401"/>
        <v>Valid</v>
      </c>
    </row>
    <row r="1924" spans="1:45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 t="str">
        <f t="shared" si="390"/>
        <v>Ok</v>
      </c>
      <c r="AE1924" t="str">
        <f>IF(AND(Audit_Data[[#This Row],[Year_Birth]]&gt;=1900,Audit_Data[[#This Row],[Year_Birth]]&lt;=2010),"OK","Invalid")</f>
        <v>OK</v>
      </c>
      <c r="AF1924" t="str">
        <f t="shared" si="391"/>
        <v>Valid</v>
      </c>
      <c r="AG1924" t="str">
        <f t="shared" si="392"/>
        <v>Valid</v>
      </c>
      <c r="AH1924" t="str">
        <f t="shared" si="393"/>
        <v>Valid</v>
      </c>
      <c r="AI1924" t="str">
        <f t="shared" si="394"/>
        <v>Valid</v>
      </c>
      <c r="AJ1924" t="str">
        <f t="shared" si="395"/>
        <v>Valid</v>
      </c>
      <c r="AK1924" t="str">
        <f t="shared" si="402"/>
        <v xml:space="preserve">Valid </v>
      </c>
      <c r="AL1924" t="str">
        <f>IF(AND(Audit_Data[[#This Row],[Recency]]&gt;=0,Audit_Data[[#This Row],[Recency]]&lt;=100),"Valid","Invalid")</f>
        <v>Valid</v>
      </c>
      <c r="AM1924" t="str">
        <f t="shared" si="396"/>
        <v>Valid</v>
      </c>
      <c r="AN1924" t="str">
        <f t="shared" si="397"/>
        <v>Valid</v>
      </c>
      <c r="AO1924" t="str">
        <f t="shared" si="398"/>
        <v>Valid</v>
      </c>
      <c r="AP1924" t="str">
        <f t="shared" si="399"/>
        <v>Valid</v>
      </c>
      <c r="AQ1924" t="str">
        <f>IF(Audit_Data[[#This Row],[Z_CostContact]]=3,"Valid","Invalid")</f>
        <v>Valid</v>
      </c>
      <c r="AR1924" t="str">
        <f t="shared" si="400"/>
        <v>Valid</v>
      </c>
      <c r="AS1924" t="str">
        <f t="shared" si="401"/>
        <v>Valid</v>
      </c>
    </row>
    <row r="1925" spans="1:45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 t="str">
        <f t="shared" si="390"/>
        <v>Ok</v>
      </c>
      <c r="AE1925" t="str">
        <f>IF(AND(Audit_Data[[#This Row],[Year_Birth]]&gt;=1900,Audit_Data[[#This Row],[Year_Birth]]&lt;=2010),"OK","Invalid")</f>
        <v>OK</v>
      </c>
      <c r="AF1925" t="str">
        <f t="shared" si="391"/>
        <v>Valid</v>
      </c>
      <c r="AG1925" t="str">
        <f t="shared" si="392"/>
        <v>Valid</v>
      </c>
      <c r="AH1925" t="str">
        <f t="shared" si="393"/>
        <v>Valid</v>
      </c>
      <c r="AI1925" t="str">
        <f t="shared" si="394"/>
        <v>Valid</v>
      </c>
      <c r="AJ1925" t="str">
        <f t="shared" si="395"/>
        <v>Valid</v>
      </c>
      <c r="AK1925" t="str">
        <f t="shared" si="402"/>
        <v xml:space="preserve">Valid </v>
      </c>
      <c r="AL1925" t="str">
        <f>IF(AND(Audit_Data[[#This Row],[Recency]]&gt;=0,Audit_Data[[#This Row],[Recency]]&lt;=100),"Valid","Invalid")</f>
        <v>Valid</v>
      </c>
      <c r="AM1925" t="str">
        <f t="shared" si="396"/>
        <v>Valid</v>
      </c>
      <c r="AN1925" t="str">
        <f t="shared" si="397"/>
        <v>Valid</v>
      </c>
      <c r="AO1925" t="str">
        <f t="shared" si="398"/>
        <v>Valid</v>
      </c>
      <c r="AP1925" t="str">
        <f t="shared" si="399"/>
        <v>Valid</v>
      </c>
      <c r="AQ1925" t="str">
        <f>IF(Audit_Data[[#This Row],[Z_CostContact]]=3,"Valid","Invalid")</f>
        <v>Valid</v>
      </c>
      <c r="AR1925" t="str">
        <f t="shared" si="400"/>
        <v>Valid</v>
      </c>
      <c r="AS1925" t="str">
        <f t="shared" si="401"/>
        <v>Valid</v>
      </c>
    </row>
    <row r="1926" spans="1:45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 t="str">
        <f t="shared" si="390"/>
        <v>Ok</v>
      </c>
      <c r="AE1926" t="str">
        <f>IF(AND(Audit_Data[[#This Row],[Year_Birth]]&gt;=1900,Audit_Data[[#This Row],[Year_Birth]]&lt;=2010),"OK","Invalid")</f>
        <v>OK</v>
      </c>
      <c r="AF1926" t="str">
        <f t="shared" si="391"/>
        <v>Valid</v>
      </c>
      <c r="AG1926" t="str">
        <f t="shared" si="392"/>
        <v>Valid</v>
      </c>
      <c r="AH1926" t="str">
        <f t="shared" si="393"/>
        <v>Valid</v>
      </c>
      <c r="AI1926" t="str">
        <f t="shared" si="394"/>
        <v>Valid</v>
      </c>
      <c r="AJ1926" t="str">
        <f t="shared" si="395"/>
        <v>Valid</v>
      </c>
      <c r="AK1926" t="str">
        <f t="shared" si="402"/>
        <v xml:space="preserve">Valid </v>
      </c>
      <c r="AL1926" t="str">
        <f>IF(AND(Audit_Data[[#This Row],[Recency]]&gt;=0,Audit_Data[[#This Row],[Recency]]&lt;=100),"Valid","Invalid")</f>
        <v>Valid</v>
      </c>
      <c r="AM1926" t="str">
        <f t="shared" si="396"/>
        <v>Valid</v>
      </c>
      <c r="AN1926" t="str">
        <f t="shared" si="397"/>
        <v>Valid</v>
      </c>
      <c r="AO1926" t="str">
        <f t="shared" si="398"/>
        <v>Valid</v>
      </c>
      <c r="AP1926" t="str">
        <f t="shared" si="399"/>
        <v>Valid</v>
      </c>
      <c r="AQ1926" t="str">
        <f>IF(Audit_Data[[#This Row],[Z_CostContact]]=3,"Valid","Invalid")</f>
        <v>Valid</v>
      </c>
      <c r="AR1926" t="str">
        <f t="shared" si="400"/>
        <v>Valid</v>
      </c>
      <c r="AS1926" t="str">
        <f t="shared" si="401"/>
        <v>Valid</v>
      </c>
    </row>
    <row r="1927" spans="1:45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 t="str">
        <f t="shared" si="390"/>
        <v>Ok</v>
      </c>
      <c r="AE1927" t="str">
        <f>IF(AND(Audit_Data[[#This Row],[Year_Birth]]&gt;=1900,Audit_Data[[#This Row],[Year_Birth]]&lt;=2010),"OK","Invalid")</f>
        <v>OK</v>
      </c>
      <c r="AF1927" t="str">
        <f t="shared" si="391"/>
        <v>Valid</v>
      </c>
      <c r="AG1927" t="str">
        <f t="shared" si="392"/>
        <v>Valid</v>
      </c>
      <c r="AH1927" t="str">
        <f t="shared" si="393"/>
        <v>Valid</v>
      </c>
      <c r="AI1927" t="str">
        <f t="shared" si="394"/>
        <v>Valid</v>
      </c>
      <c r="AJ1927" t="str">
        <f t="shared" si="395"/>
        <v>Valid</v>
      </c>
      <c r="AK1927" t="str">
        <f t="shared" si="402"/>
        <v xml:space="preserve">Valid </v>
      </c>
      <c r="AL1927" t="str">
        <f>IF(AND(Audit_Data[[#This Row],[Recency]]&gt;=0,Audit_Data[[#This Row],[Recency]]&lt;=100),"Valid","Invalid")</f>
        <v>Valid</v>
      </c>
      <c r="AM1927" t="str">
        <f t="shared" si="396"/>
        <v>Valid</v>
      </c>
      <c r="AN1927" t="str">
        <f t="shared" si="397"/>
        <v>Valid</v>
      </c>
      <c r="AO1927" t="str">
        <f t="shared" si="398"/>
        <v>Valid</v>
      </c>
      <c r="AP1927" t="str">
        <f t="shared" si="399"/>
        <v>Valid</v>
      </c>
      <c r="AQ1927" t="str">
        <f>IF(Audit_Data[[#This Row],[Z_CostContact]]=3,"Valid","Invalid")</f>
        <v>Valid</v>
      </c>
      <c r="AR1927" t="str">
        <f t="shared" si="400"/>
        <v>Valid</v>
      </c>
      <c r="AS1927" t="str">
        <f t="shared" si="401"/>
        <v>Valid</v>
      </c>
    </row>
    <row r="1928" spans="1:45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 t="str">
        <f t="shared" si="390"/>
        <v>Ok</v>
      </c>
      <c r="AE1928" t="str">
        <f>IF(AND(Audit_Data[[#This Row],[Year_Birth]]&gt;=1900,Audit_Data[[#This Row],[Year_Birth]]&lt;=2010),"OK","Invalid")</f>
        <v>OK</v>
      </c>
      <c r="AF1928" t="str">
        <f t="shared" si="391"/>
        <v>Valid</v>
      </c>
      <c r="AG1928" t="str">
        <f t="shared" si="392"/>
        <v>Valid</v>
      </c>
      <c r="AH1928" t="str">
        <f t="shared" si="393"/>
        <v>Valid</v>
      </c>
      <c r="AI1928" t="str">
        <f t="shared" si="394"/>
        <v>Valid</v>
      </c>
      <c r="AJ1928" t="str">
        <f t="shared" si="395"/>
        <v>Valid</v>
      </c>
      <c r="AK1928" t="str">
        <f t="shared" si="402"/>
        <v xml:space="preserve">Valid </v>
      </c>
      <c r="AL1928" t="str">
        <f>IF(AND(Audit_Data[[#This Row],[Recency]]&gt;=0,Audit_Data[[#This Row],[Recency]]&lt;=100),"Valid","Invalid")</f>
        <v>Valid</v>
      </c>
      <c r="AM1928" t="str">
        <f t="shared" si="396"/>
        <v>Valid</v>
      </c>
      <c r="AN1928" t="str">
        <f t="shared" si="397"/>
        <v>Valid</v>
      </c>
      <c r="AO1928" t="str">
        <f t="shared" si="398"/>
        <v>Valid</v>
      </c>
      <c r="AP1928" t="str">
        <f t="shared" si="399"/>
        <v>Valid</v>
      </c>
      <c r="AQ1928" t="str">
        <f>IF(Audit_Data[[#This Row],[Z_CostContact]]=3,"Valid","Invalid")</f>
        <v>Valid</v>
      </c>
      <c r="AR1928" t="str">
        <f t="shared" si="400"/>
        <v>Valid</v>
      </c>
      <c r="AS1928" t="str">
        <f t="shared" si="401"/>
        <v>Valid</v>
      </c>
    </row>
    <row r="1929" spans="1:45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 t="str">
        <f t="shared" si="390"/>
        <v>Ok</v>
      </c>
      <c r="AE1929" t="str">
        <f>IF(AND(Audit_Data[[#This Row],[Year_Birth]]&gt;=1900,Audit_Data[[#This Row],[Year_Birth]]&lt;=2010),"OK","Invalid")</f>
        <v>OK</v>
      </c>
      <c r="AF1929" t="str">
        <f t="shared" si="391"/>
        <v>Valid</v>
      </c>
      <c r="AG1929" t="str">
        <f t="shared" si="392"/>
        <v>Valid</v>
      </c>
      <c r="AH1929" t="str">
        <f t="shared" si="393"/>
        <v>Valid</v>
      </c>
      <c r="AI1929" t="str">
        <f t="shared" si="394"/>
        <v>Valid</v>
      </c>
      <c r="AJ1929" t="str">
        <f t="shared" si="395"/>
        <v>Valid</v>
      </c>
      <c r="AK1929" t="str">
        <f t="shared" si="402"/>
        <v xml:space="preserve">Valid </v>
      </c>
      <c r="AL1929" t="str">
        <f>IF(AND(Audit_Data[[#This Row],[Recency]]&gt;=0,Audit_Data[[#This Row],[Recency]]&lt;=100),"Valid","Invalid")</f>
        <v>Valid</v>
      </c>
      <c r="AM1929" t="str">
        <f t="shared" si="396"/>
        <v>Valid</v>
      </c>
      <c r="AN1929" t="str">
        <f t="shared" si="397"/>
        <v>Valid</v>
      </c>
      <c r="AO1929" t="str">
        <f t="shared" si="398"/>
        <v>Valid</v>
      </c>
      <c r="AP1929" t="str">
        <f t="shared" si="399"/>
        <v>Valid</v>
      </c>
      <c r="AQ1929" t="str">
        <f>IF(Audit_Data[[#This Row],[Z_CostContact]]=3,"Valid","Invalid")</f>
        <v>Valid</v>
      </c>
      <c r="AR1929" t="str">
        <f t="shared" si="400"/>
        <v>Valid</v>
      </c>
      <c r="AS1929" t="str">
        <f t="shared" si="401"/>
        <v>Valid</v>
      </c>
    </row>
    <row r="1930" spans="1:45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 t="str">
        <f t="shared" si="390"/>
        <v>Ok</v>
      </c>
      <c r="AE1930" t="str">
        <f>IF(AND(Audit_Data[[#This Row],[Year_Birth]]&gt;=1900,Audit_Data[[#This Row],[Year_Birth]]&lt;=2010),"OK","Invalid")</f>
        <v>OK</v>
      </c>
      <c r="AF1930" t="str">
        <f t="shared" si="391"/>
        <v>Valid</v>
      </c>
      <c r="AG1930" t="str">
        <f t="shared" si="392"/>
        <v>Valid</v>
      </c>
      <c r="AH1930" t="str">
        <f t="shared" si="393"/>
        <v>Valid</v>
      </c>
      <c r="AI1930" t="str">
        <f t="shared" si="394"/>
        <v>Valid</v>
      </c>
      <c r="AJ1930" t="str">
        <f t="shared" si="395"/>
        <v>Valid</v>
      </c>
      <c r="AK1930" t="str">
        <f t="shared" si="402"/>
        <v xml:space="preserve">Valid </v>
      </c>
      <c r="AL1930" t="str">
        <f>IF(AND(Audit_Data[[#This Row],[Recency]]&gt;=0,Audit_Data[[#This Row],[Recency]]&lt;=100),"Valid","Invalid")</f>
        <v>Valid</v>
      </c>
      <c r="AM1930" t="str">
        <f t="shared" si="396"/>
        <v>Valid</v>
      </c>
      <c r="AN1930" t="str">
        <f t="shared" si="397"/>
        <v>Valid</v>
      </c>
      <c r="AO1930" t="str">
        <f t="shared" si="398"/>
        <v>Valid</v>
      </c>
      <c r="AP1930" t="str">
        <f t="shared" si="399"/>
        <v>Valid</v>
      </c>
      <c r="AQ1930" t="str">
        <f>IF(Audit_Data[[#This Row],[Z_CostContact]]=3,"Valid","Invalid")</f>
        <v>Valid</v>
      </c>
      <c r="AR1930" t="str">
        <f t="shared" si="400"/>
        <v>Valid</v>
      </c>
      <c r="AS1930" t="str">
        <f t="shared" si="401"/>
        <v>Valid</v>
      </c>
    </row>
    <row r="1931" spans="1:45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 t="str">
        <f t="shared" si="390"/>
        <v>Ok</v>
      </c>
      <c r="AE1931" t="str">
        <f>IF(AND(Audit_Data[[#This Row],[Year_Birth]]&gt;=1900,Audit_Data[[#This Row],[Year_Birth]]&lt;=2010),"OK","Invalid")</f>
        <v>OK</v>
      </c>
      <c r="AF1931" t="str">
        <f t="shared" si="391"/>
        <v>Valid</v>
      </c>
      <c r="AG1931" t="str">
        <f t="shared" si="392"/>
        <v>Valid</v>
      </c>
      <c r="AH1931" t="str">
        <f t="shared" si="393"/>
        <v>Valid</v>
      </c>
      <c r="AI1931" t="str">
        <f t="shared" si="394"/>
        <v>Valid</v>
      </c>
      <c r="AJ1931" t="str">
        <f t="shared" si="395"/>
        <v>Valid</v>
      </c>
      <c r="AK1931" t="str">
        <f t="shared" si="402"/>
        <v xml:space="preserve">Valid </v>
      </c>
      <c r="AL1931" t="str">
        <f>IF(AND(Audit_Data[[#This Row],[Recency]]&gt;=0,Audit_Data[[#This Row],[Recency]]&lt;=100),"Valid","Invalid")</f>
        <v>Valid</v>
      </c>
      <c r="AM1931" t="str">
        <f t="shared" si="396"/>
        <v>Valid</v>
      </c>
      <c r="AN1931" t="str">
        <f t="shared" si="397"/>
        <v>Valid</v>
      </c>
      <c r="AO1931" t="str">
        <f t="shared" si="398"/>
        <v>Valid</v>
      </c>
      <c r="AP1931" t="str">
        <f t="shared" si="399"/>
        <v>Valid</v>
      </c>
      <c r="AQ1931" t="str">
        <f>IF(Audit_Data[[#This Row],[Z_CostContact]]=3,"Valid","Invalid")</f>
        <v>Valid</v>
      </c>
      <c r="AR1931" t="str">
        <f t="shared" si="400"/>
        <v>Valid</v>
      </c>
      <c r="AS1931" t="str">
        <f t="shared" si="401"/>
        <v>Valid</v>
      </c>
    </row>
    <row r="1932" spans="1:45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 t="str">
        <f t="shared" si="390"/>
        <v>Ok</v>
      </c>
      <c r="AE1932" t="str">
        <f>IF(AND(Audit_Data[[#This Row],[Year_Birth]]&gt;=1900,Audit_Data[[#This Row],[Year_Birth]]&lt;=2010),"OK","Invalid")</f>
        <v>OK</v>
      </c>
      <c r="AF1932" t="str">
        <f t="shared" si="391"/>
        <v>Valid</v>
      </c>
      <c r="AG1932" t="str">
        <f t="shared" si="392"/>
        <v>Valid</v>
      </c>
      <c r="AH1932" t="str">
        <f t="shared" si="393"/>
        <v>Valid</v>
      </c>
      <c r="AI1932" t="str">
        <f t="shared" si="394"/>
        <v>Valid</v>
      </c>
      <c r="AJ1932" t="str">
        <f t="shared" si="395"/>
        <v>Valid</v>
      </c>
      <c r="AK1932" t="str">
        <f t="shared" si="402"/>
        <v xml:space="preserve">Valid </v>
      </c>
      <c r="AL1932" t="str">
        <f>IF(AND(Audit_Data[[#This Row],[Recency]]&gt;=0,Audit_Data[[#This Row],[Recency]]&lt;=100),"Valid","Invalid")</f>
        <v>Valid</v>
      </c>
      <c r="AM1932" t="str">
        <f t="shared" si="396"/>
        <v>Valid</v>
      </c>
      <c r="AN1932" t="str">
        <f t="shared" si="397"/>
        <v>Valid</v>
      </c>
      <c r="AO1932" t="str">
        <f t="shared" si="398"/>
        <v>Valid</v>
      </c>
      <c r="AP1932" t="str">
        <f t="shared" si="399"/>
        <v>Valid</v>
      </c>
      <c r="AQ1932" t="str">
        <f>IF(Audit_Data[[#This Row],[Z_CostContact]]=3,"Valid","Invalid")</f>
        <v>Valid</v>
      </c>
      <c r="AR1932" t="str">
        <f t="shared" si="400"/>
        <v>Valid</v>
      </c>
      <c r="AS1932" t="str">
        <f t="shared" si="401"/>
        <v>Valid</v>
      </c>
    </row>
    <row r="1933" spans="1:45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 t="str">
        <f t="shared" si="390"/>
        <v>Ok</v>
      </c>
      <c r="AE1933" t="str">
        <f>IF(AND(Audit_Data[[#This Row],[Year_Birth]]&gt;=1900,Audit_Data[[#This Row],[Year_Birth]]&lt;=2010),"OK","Invalid")</f>
        <v>OK</v>
      </c>
      <c r="AF1933" t="str">
        <f t="shared" si="391"/>
        <v>Valid</v>
      </c>
      <c r="AG1933" t="str">
        <f t="shared" si="392"/>
        <v>Valid</v>
      </c>
      <c r="AH1933" t="str">
        <f t="shared" si="393"/>
        <v>Valid</v>
      </c>
      <c r="AI1933" t="str">
        <f t="shared" si="394"/>
        <v>Valid</v>
      </c>
      <c r="AJ1933" t="str">
        <f t="shared" si="395"/>
        <v>Valid</v>
      </c>
      <c r="AK1933" t="str">
        <f t="shared" si="402"/>
        <v xml:space="preserve">Valid </v>
      </c>
      <c r="AL1933" t="str">
        <f>IF(AND(Audit_Data[[#This Row],[Recency]]&gt;=0,Audit_Data[[#This Row],[Recency]]&lt;=100),"Valid","Invalid")</f>
        <v>Valid</v>
      </c>
      <c r="AM1933" t="str">
        <f t="shared" si="396"/>
        <v>Valid</v>
      </c>
      <c r="AN1933" t="str">
        <f t="shared" si="397"/>
        <v>Valid</v>
      </c>
      <c r="AO1933" t="str">
        <f t="shared" si="398"/>
        <v>Valid</v>
      </c>
      <c r="AP1933" t="str">
        <f t="shared" si="399"/>
        <v>Valid</v>
      </c>
      <c r="AQ1933" t="str">
        <f>IF(Audit_Data[[#This Row],[Z_CostContact]]=3,"Valid","Invalid")</f>
        <v>Valid</v>
      </c>
      <c r="AR1933" t="str">
        <f t="shared" si="400"/>
        <v>Valid</v>
      </c>
      <c r="AS1933" t="str">
        <f t="shared" si="401"/>
        <v>Valid</v>
      </c>
    </row>
    <row r="1934" spans="1:45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 t="str">
        <f t="shared" si="390"/>
        <v>Ok</v>
      </c>
      <c r="AE1934" t="str">
        <f>IF(AND(Audit_Data[[#This Row],[Year_Birth]]&gt;=1900,Audit_Data[[#This Row],[Year_Birth]]&lt;=2010),"OK","Invalid")</f>
        <v>OK</v>
      </c>
      <c r="AF1934" t="str">
        <f t="shared" si="391"/>
        <v>Valid</v>
      </c>
      <c r="AG1934" t="str">
        <f t="shared" si="392"/>
        <v>Valid</v>
      </c>
      <c r="AH1934" t="str">
        <f t="shared" si="393"/>
        <v>Valid</v>
      </c>
      <c r="AI1934" t="str">
        <f t="shared" si="394"/>
        <v>Valid</v>
      </c>
      <c r="AJ1934" t="str">
        <f t="shared" si="395"/>
        <v>Valid</v>
      </c>
      <c r="AK1934" t="str">
        <f t="shared" si="402"/>
        <v xml:space="preserve">Valid </v>
      </c>
      <c r="AL1934" t="str">
        <f>IF(AND(Audit_Data[[#This Row],[Recency]]&gt;=0,Audit_Data[[#This Row],[Recency]]&lt;=100),"Valid","Invalid")</f>
        <v>Valid</v>
      </c>
      <c r="AM1934" t="str">
        <f t="shared" si="396"/>
        <v>Valid</v>
      </c>
      <c r="AN1934" t="str">
        <f t="shared" si="397"/>
        <v>Valid</v>
      </c>
      <c r="AO1934" t="str">
        <f t="shared" si="398"/>
        <v>Valid</v>
      </c>
      <c r="AP1934" t="str">
        <f t="shared" si="399"/>
        <v>Valid</v>
      </c>
      <c r="AQ1934" t="str">
        <f>IF(Audit_Data[[#This Row],[Z_CostContact]]=3,"Valid","Invalid")</f>
        <v>Valid</v>
      </c>
      <c r="AR1934" t="str">
        <f t="shared" si="400"/>
        <v>Valid</v>
      </c>
      <c r="AS1934" t="str">
        <f t="shared" si="401"/>
        <v>Valid</v>
      </c>
    </row>
    <row r="1935" spans="1:45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 t="str">
        <f t="shared" si="390"/>
        <v>Ok</v>
      </c>
      <c r="AE1935" t="str">
        <f>IF(AND(Audit_Data[[#This Row],[Year_Birth]]&gt;=1900,Audit_Data[[#This Row],[Year_Birth]]&lt;=2010),"OK","Invalid")</f>
        <v>OK</v>
      </c>
      <c r="AF1935" t="str">
        <f t="shared" si="391"/>
        <v>Valid</v>
      </c>
      <c r="AG1935" t="str">
        <f t="shared" si="392"/>
        <v>Valid</v>
      </c>
      <c r="AH1935" t="str">
        <f t="shared" si="393"/>
        <v>Valid</v>
      </c>
      <c r="AI1935" t="str">
        <f t="shared" si="394"/>
        <v>Valid</v>
      </c>
      <c r="AJ1935" t="str">
        <f t="shared" si="395"/>
        <v>Valid</v>
      </c>
      <c r="AK1935" t="str">
        <f t="shared" si="402"/>
        <v xml:space="preserve">Valid </v>
      </c>
      <c r="AL1935" t="str">
        <f>IF(AND(Audit_Data[[#This Row],[Recency]]&gt;=0,Audit_Data[[#This Row],[Recency]]&lt;=100),"Valid","Invalid")</f>
        <v>Valid</v>
      </c>
      <c r="AM1935" t="str">
        <f t="shared" si="396"/>
        <v>Valid</v>
      </c>
      <c r="AN1935" t="str">
        <f t="shared" si="397"/>
        <v>Valid</v>
      </c>
      <c r="AO1935" t="str">
        <f t="shared" si="398"/>
        <v>Valid</v>
      </c>
      <c r="AP1935" t="str">
        <f t="shared" si="399"/>
        <v>Valid</v>
      </c>
      <c r="AQ1935" t="str">
        <f>IF(Audit_Data[[#This Row],[Z_CostContact]]=3,"Valid","Invalid")</f>
        <v>Valid</v>
      </c>
      <c r="AR1935" t="str">
        <f t="shared" si="400"/>
        <v>Valid</v>
      </c>
      <c r="AS1935" t="str">
        <f t="shared" si="401"/>
        <v>Valid</v>
      </c>
    </row>
    <row r="1936" spans="1:45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 t="str">
        <f t="shared" si="390"/>
        <v>Ok</v>
      </c>
      <c r="AE1936" t="str">
        <f>IF(AND(Audit_Data[[#This Row],[Year_Birth]]&gt;=1900,Audit_Data[[#This Row],[Year_Birth]]&lt;=2010),"OK","Invalid")</f>
        <v>OK</v>
      </c>
      <c r="AF1936" t="str">
        <f t="shared" si="391"/>
        <v>Valid</v>
      </c>
      <c r="AG1936" t="str">
        <f t="shared" si="392"/>
        <v>Valid</v>
      </c>
      <c r="AH1936" t="str">
        <f t="shared" si="393"/>
        <v>Valid</v>
      </c>
      <c r="AI1936" t="str">
        <f t="shared" si="394"/>
        <v>Valid</v>
      </c>
      <c r="AJ1936" t="str">
        <f t="shared" si="395"/>
        <v>Valid</v>
      </c>
      <c r="AK1936" t="str">
        <f t="shared" si="402"/>
        <v xml:space="preserve">Valid </v>
      </c>
      <c r="AL1936" t="str">
        <f>IF(AND(Audit_Data[[#This Row],[Recency]]&gt;=0,Audit_Data[[#This Row],[Recency]]&lt;=100),"Valid","Invalid")</f>
        <v>Valid</v>
      </c>
      <c r="AM1936" t="str">
        <f t="shared" si="396"/>
        <v>Valid</v>
      </c>
      <c r="AN1936" t="str">
        <f t="shared" si="397"/>
        <v>Valid</v>
      </c>
      <c r="AO1936" t="str">
        <f t="shared" si="398"/>
        <v>Valid</v>
      </c>
      <c r="AP1936" t="str">
        <f t="shared" si="399"/>
        <v>Valid</v>
      </c>
      <c r="AQ1936" t="str">
        <f>IF(Audit_Data[[#This Row],[Z_CostContact]]=3,"Valid","Invalid")</f>
        <v>Valid</v>
      </c>
      <c r="AR1936" t="str">
        <f t="shared" si="400"/>
        <v>Valid</v>
      </c>
      <c r="AS1936" t="str">
        <f t="shared" si="401"/>
        <v>Valid</v>
      </c>
    </row>
    <row r="1937" spans="1:45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 t="str">
        <f t="shared" si="390"/>
        <v>Ok</v>
      </c>
      <c r="AE1937" t="str">
        <f>IF(AND(Audit_Data[[#This Row],[Year_Birth]]&gt;=1900,Audit_Data[[#This Row],[Year_Birth]]&lt;=2010),"OK","Invalid")</f>
        <v>OK</v>
      </c>
      <c r="AF1937" t="str">
        <f t="shared" si="391"/>
        <v>Valid</v>
      </c>
      <c r="AG1937" t="str">
        <f t="shared" si="392"/>
        <v>Valid</v>
      </c>
      <c r="AH1937" t="str">
        <f t="shared" si="393"/>
        <v>Valid</v>
      </c>
      <c r="AI1937" t="str">
        <f t="shared" si="394"/>
        <v>Valid</v>
      </c>
      <c r="AJ1937" t="str">
        <f t="shared" si="395"/>
        <v>Valid</v>
      </c>
      <c r="AK1937" t="str">
        <f t="shared" si="402"/>
        <v xml:space="preserve">Valid </v>
      </c>
      <c r="AL1937" t="str">
        <f>IF(AND(Audit_Data[[#This Row],[Recency]]&gt;=0,Audit_Data[[#This Row],[Recency]]&lt;=100),"Valid","Invalid")</f>
        <v>Valid</v>
      </c>
      <c r="AM1937" t="str">
        <f t="shared" si="396"/>
        <v>Valid</v>
      </c>
      <c r="AN1937" t="str">
        <f t="shared" si="397"/>
        <v>Valid</v>
      </c>
      <c r="AO1937" t="str">
        <f t="shared" si="398"/>
        <v>Valid</v>
      </c>
      <c r="AP1937" t="str">
        <f t="shared" si="399"/>
        <v>Valid</v>
      </c>
      <c r="AQ1937" t="str">
        <f>IF(Audit_Data[[#This Row],[Z_CostContact]]=3,"Valid","Invalid")</f>
        <v>Valid</v>
      </c>
      <c r="AR1937" t="str">
        <f t="shared" si="400"/>
        <v>Valid</v>
      </c>
      <c r="AS1937" t="str">
        <f t="shared" si="401"/>
        <v>Valid</v>
      </c>
    </row>
    <row r="1938" spans="1:45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 t="str">
        <f t="shared" si="390"/>
        <v>Ok</v>
      </c>
      <c r="AE1938" t="str">
        <f>IF(AND(Audit_Data[[#This Row],[Year_Birth]]&gt;=1900,Audit_Data[[#This Row],[Year_Birth]]&lt;=2010),"OK","Invalid")</f>
        <v>OK</v>
      </c>
      <c r="AF1938" t="str">
        <f t="shared" si="391"/>
        <v>Valid</v>
      </c>
      <c r="AG1938" t="str">
        <f t="shared" si="392"/>
        <v>Valid</v>
      </c>
      <c r="AH1938" t="str">
        <f t="shared" si="393"/>
        <v>Valid</v>
      </c>
      <c r="AI1938" t="str">
        <f t="shared" si="394"/>
        <v>Valid</v>
      </c>
      <c r="AJ1938" t="str">
        <f t="shared" si="395"/>
        <v>Valid</v>
      </c>
      <c r="AK1938" t="str">
        <f t="shared" si="402"/>
        <v xml:space="preserve">Valid </v>
      </c>
      <c r="AL1938" t="str">
        <f>IF(AND(Audit_Data[[#This Row],[Recency]]&gt;=0,Audit_Data[[#This Row],[Recency]]&lt;=100),"Valid","Invalid")</f>
        <v>Valid</v>
      </c>
      <c r="AM1938" t="str">
        <f t="shared" si="396"/>
        <v>Valid</v>
      </c>
      <c r="AN1938" t="str">
        <f t="shared" si="397"/>
        <v>Valid</v>
      </c>
      <c r="AO1938" t="str">
        <f t="shared" si="398"/>
        <v>Valid</v>
      </c>
      <c r="AP1938" t="str">
        <f t="shared" si="399"/>
        <v>Valid</v>
      </c>
      <c r="AQ1938" t="str">
        <f>IF(Audit_Data[[#This Row],[Z_CostContact]]=3,"Valid","Invalid")</f>
        <v>Valid</v>
      </c>
      <c r="AR1938" t="str">
        <f t="shared" si="400"/>
        <v>Valid</v>
      </c>
      <c r="AS1938" t="str">
        <f t="shared" si="401"/>
        <v>Valid</v>
      </c>
    </row>
    <row r="1939" spans="1:45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 t="str">
        <f t="shared" si="390"/>
        <v>Ok</v>
      </c>
      <c r="AE1939" t="str">
        <f>IF(AND(Audit_Data[[#This Row],[Year_Birth]]&gt;=1900,Audit_Data[[#This Row],[Year_Birth]]&lt;=2010),"OK","Invalid")</f>
        <v>OK</v>
      </c>
      <c r="AF1939" t="str">
        <f t="shared" si="391"/>
        <v>Valid</v>
      </c>
      <c r="AG1939" t="str">
        <f t="shared" si="392"/>
        <v>Valid</v>
      </c>
      <c r="AH1939" t="str">
        <f t="shared" si="393"/>
        <v>Valid</v>
      </c>
      <c r="AI1939" t="str">
        <f t="shared" si="394"/>
        <v>Valid</v>
      </c>
      <c r="AJ1939" t="str">
        <f t="shared" si="395"/>
        <v>Valid</v>
      </c>
      <c r="AK1939" t="str">
        <f t="shared" si="402"/>
        <v xml:space="preserve">Valid </v>
      </c>
      <c r="AL1939" t="str">
        <f>IF(AND(Audit_Data[[#This Row],[Recency]]&gt;=0,Audit_Data[[#This Row],[Recency]]&lt;=100),"Valid","Invalid")</f>
        <v>Valid</v>
      </c>
      <c r="AM1939" t="str">
        <f t="shared" si="396"/>
        <v>Valid</v>
      </c>
      <c r="AN1939" t="str">
        <f t="shared" si="397"/>
        <v>Valid</v>
      </c>
      <c r="AO1939" t="str">
        <f t="shared" si="398"/>
        <v>Valid</v>
      </c>
      <c r="AP1939" t="str">
        <f t="shared" si="399"/>
        <v>Valid</v>
      </c>
      <c r="AQ1939" t="str">
        <f>IF(Audit_Data[[#This Row],[Z_CostContact]]=3,"Valid","Invalid")</f>
        <v>Valid</v>
      </c>
      <c r="AR1939" t="str">
        <f t="shared" si="400"/>
        <v>Valid</v>
      </c>
      <c r="AS1939" t="str">
        <f t="shared" si="401"/>
        <v>Valid</v>
      </c>
    </row>
    <row r="1940" spans="1:45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 t="str">
        <f t="shared" si="390"/>
        <v>Ok</v>
      </c>
      <c r="AE1940" t="str">
        <f>IF(AND(Audit_Data[[#This Row],[Year_Birth]]&gt;=1900,Audit_Data[[#This Row],[Year_Birth]]&lt;=2010),"OK","Invalid")</f>
        <v>OK</v>
      </c>
      <c r="AF1940" t="str">
        <f t="shared" si="391"/>
        <v>Valid</v>
      </c>
      <c r="AG1940" t="str">
        <f t="shared" si="392"/>
        <v>Valid</v>
      </c>
      <c r="AH1940" t="str">
        <f t="shared" si="393"/>
        <v>Valid</v>
      </c>
      <c r="AI1940" t="str">
        <f t="shared" si="394"/>
        <v>Valid</v>
      </c>
      <c r="AJ1940" t="str">
        <f t="shared" si="395"/>
        <v>Valid</v>
      </c>
      <c r="AK1940" t="str">
        <f t="shared" si="402"/>
        <v xml:space="preserve">Valid </v>
      </c>
      <c r="AL1940" t="str">
        <f>IF(AND(Audit_Data[[#This Row],[Recency]]&gt;=0,Audit_Data[[#This Row],[Recency]]&lt;=100),"Valid","Invalid")</f>
        <v>Valid</v>
      </c>
      <c r="AM1940" t="str">
        <f t="shared" si="396"/>
        <v>Valid</v>
      </c>
      <c r="AN1940" t="str">
        <f t="shared" si="397"/>
        <v>Valid</v>
      </c>
      <c r="AO1940" t="str">
        <f t="shared" si="398"/>
        <v>Valid</v>
      </c>
      <c r="AP1940" t="str">
        <f t="shared" si="399"/>
        <v>Valid</v>
      </c>
      <c r="AQ1940" t="str">
        <f>IF(Audit_Data[[#This Row],[Z_CostContact]]=3,"Valid","Invalid")</f>
        <v>Valid</v>
      </c>
      <c r="AR1940" t="str">
        <f t="shared" si="400"/>
        <v>Valid</v>
      </c>
      <c r="AS1940" t="str">
        <f t="shared" si="401"/>
        <v>Valid</v>
      </c>
    </row>
    <row r="1941" spans="1:45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 t="str">
        <f t="shared" si="390"/>
        <v>Ok</v>
      </c>
      <c r="AE1941" t="str">
        <f>IF(AND(Audit_Data[[#This Row],[Year_Birth]]&gt;=1900,Audit_Data[[#This Row],[Year_Birth]]&lt;=2010),"OK","Invalid")</f>
        <v>OK</v>
      </c>
      <c r="AF1941" t="str">
        <f t="shared" si="391"/>
        <v>Valid</v>
      </c>
      <c r="AG1941" t="str">
        <f t="shared" si="392"/>
        <v>Valid</v>
      </c>
      <c r="AH1941" t="str">
        <f t="shared" si="393"/>
        <v>Valid</v>
      </c>
      <c r="AI1941" t="str">
        <f t="shared" si="394"/>
        <v>Valid</v>
      </c>
      <c r="AJ1941" t="str">
        <f t="shared" si="395"/>
        <v>Valid</v>
      </c>
      <c r="AK1941" t="str">
        <f t="shared" si="402"/>
        <v xml:space="preserve">Valid </v>
      </c>
      <c r="AL1941" t="str">
        <f>IF(AND(Audit_Data[[#This Row],[Recency]]&gt;=0,Audit_Data[[#This Row],[Recency]]&lt;=100),"Valid","Invalid")</f>
        <v>Valid</v>
      </c>
      <c r="AM1941" t="str">
        <f t="shared" si="396"/>
        <v>Valid</v>
      </c>
      <c r="AN1941" t="str">
        <f t="shared" si="397"/>
        <v>Valid</v>
      </c>
      <c r="AO1941" t="str">
        <f t="shared" si="398"/>
        <v>Valid</v>
      </c>
      <c r="AP1941" t="str">
        <f t="shared" si="399"/>
        <v>Valid</v>
      </c>
      <c r="AQ1941" t="str">
        <f>IF(Audit_Data[[#This Row],[Z_CostContact]]=3,"Valid","Invalid")</f>
        <v>Valid</v>
      </c>
      <c r="AR1941" t="str">
        <f t="shared" si="400"/>
        <v>Valid</v>
      </c>
      <c r="AS1941" t="str">
        <f t="shared" si="401"/>
        <v>Valid</v>
      </c>
    </row>
    <row r="1942" spans="1:45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 t="str">
        <f t="shared" si="390"/>
        <v>Ok</v>
      </c>
      <c r="AE1942" t="str">
        <f>IF(AND(Audit_Data[[#This Row],[Year_Birth]]&gt;=1900,Audit_Data[[#This Row],[Year_Birth]]&lt;=2010),"OK","Invalid")</f>
        <v>OK</v>
      </c>
      <c r="AF1942" t="str">
        <f t="shared" si="391"/>
        <v>Valid</v>
      </c>
      <c r="AG1942" t="str">
        <f t="shared" si="392"/>
        <v>Valid</v>
      </c>
      <c r="AH1942" t="str">
        <f t="shared" si="393"/>
        <v>Valid</v>
      </c>
      <c r="AI1942" t="str">
        <f t="shared" si="394"/>
        <v>Valid</v>
      </c>
      <c r="AJ1942" t="str">
        <f t="shared" si="395"/>
        <v>Valid</v>
      </c>
      <c r="AK1942" t="str">
        <f t="shared" si="402"/>
        <v xml:space="preserve">Valid </v>
      </c>
      <c r="AL1942" t="str">
        <f>IF(AND(Audit_Data[[#This Row],[Recency]]&gt;=0,Audit_Data[[#This Row],[Recency]]&lt;=100),"Valid","Invalid")</f>
        <v>Valid</v>
      </c>
      <c r="AM1942" t="str">
        <f t="shared" si="396"/>
        <v>Valid</v>
      </c>
      <c r="AN1942" t="str">
        <f t="shared" si="397"/>
        <v>Valid</v>
      </c>
      <c r="AO1942" t="str">
        <f t="shared" si="398"/>
        <v>Valid</v>
      </c>
      <c r="AP1942" t="str">
        <f t="shared" si="399"/>
        <v>Valid</v>
      </c>
      <c r="AQ1942" t="str">
        <f>IF(Audit_Data[[#This Row],[Z_CostContact]]=3,"Valid","Invalid")</f>
        <v>Valid</v>
      </c>
      <c r="AR1942" t="str">
        <f t="shared" si="400"/>
        <v>Valid</v>
      </c>
      <c r="AS1942" t="str">
        <f t="shared" si="401"/>
        <v>Valid</v>
      </c>
    </row>
    <row r="1943" spans="1:45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 t="str">
        <f t="shared" si="390"/>
        <v>Ok</v>
      </c>
      <c r="AE1943" t="str">
        <f>IF(AND(Audit_Data[[#This Row],[Year_Birth]]&gt;=1900,Audit_Data[[#This Row],[Year_Birth]]&lt;=2010),"OK","Invalid")</f>
        <v>OK</v>
      </c>
      <c r="AF1943" t="str">
        <f t="shared" si="391"/>
        <v>Valid</v>
      </c>
      <c r="AG1943" t="str">
        <f t="shared" si="392"/>
        <v>Valid</v>
      </c>
      <c r="AH1943" t="str">
        <f t="shared" si="393"/>
        <v>Valid</v>
      </c>
      <c r="AI1943" t="str">
        <f t="shared" si="394"/>
        <v>Valid</v>
      </c>
      <c r="AJ1943" t="str">
        <f t="shared" si="395"/>
        <v>Valid</v>
      </c>
      <c r="AK1943" t="str">
        <f t="shared" si="402"/>
        <v xml:space="preserve">Valid </v>
      </c>
      <c r="AL1943" t="str">
        <f>IF(AND(Audit_Data[[#This Row],[Recency]]&gt;=0,Audit_Data[[#This Row],[Recency]]&lt;=100),"Valid","Invalid")</f>
        <v>Valid</v>
      </c>
      <c r="AM1943" t="str">
        <f t="shared" si="396"/>
        <v>Valid</v>
      </c>
      <c r="AN1943" t="str">
        <f t="shared" si="397"/>
        <v>Valid</v>
      </c>
      <c r="AO1943" t="str">
        <f t="shared" si="398"/>
        <v>Valid</v>
      </c>
      <c r="AP1943" t="str">
        <f t="shared" si="399"/>
        <v>Valid</v>
      </c>
      <c r="AQ1943" t="str">
        <f>IF(Audit_Data[[#This Row],[Z_CostContact]]=3,"Valid","Invalid")</f>
        <v>Valid</v>
      </c>
      <c r="AR1943" t="str">
        <f t="shared" si="400"/>
        <v>Valid</v>
      </c>
      <c r="AS1943" t="str">
        <f t="shared" si="401"/>
        <v>Valid</v>
      </c>
    </row>
    <row r="1944" spans="1:45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 t="str">
        <f t="shared" si="390"/>
        <v>Ok</v>
      </c>
      <c r="AE1944" t="str">
        <f>IF(AND(Audit_Data[[#This Row],[Year_Birth]]&gt;=1900,Audit_Data[[#This Row],[Year_Birth]]&lt;=2010),"OK","Invalid")</f>
        <v>OK</v>
      </c>
      <c r="AF1944" t="str">
        <f t="shared" si="391"/>
        <v>Valid</v>
      </c>
      <c r="AG1944" t="str">
        <f t="shared" si="392"/>
        <v>Valid</v>
      </c>
      <c r="AH1944" t="str">
        <f t="shared" si="393"/>
        <v>Valid</v>
      </c>
      <c r="AI1944" t="str">
        <f t="shared" si="394"/>
        <v>Valid</v>
      </c>
      <c r="AJ1944" t="str">
        <f t="shared" si="395"/>
        <v>Valid</v>
      </c>
      <c r="AK1944" t="str">
        <f t="shared" si="402"/>
        <v xml:space="preserve">Valid </v>
      </c>
      <c r="AL1944" t="str">
        <f>IF(AND(Audit_Data[[#This Row],[Recency]]&gt;=0,Audit_Data[[#This Row],[Recency]]&lt;=100),"Valid","Invalid")</f>
        <v>Valid</v>
      </c>
      <c r="AM1944" t="str">
        <f t="shared" si="396"/>
        <v>Valid</v>
      </c>
      <c r="AN1944" t="str">
        <f t="shared" si="397"/>
        <v>Valid</v>
      </c>
      <c r="AO1944" t="str">
        <f t="shared" si="398"/>
        <v>Valid</v>
      </c>
      <c r="AP1944" t="str">
        <f t="shared" si="399"/>
        <v>Valid</v>
      </c>
      <c r="AQ1944" t="str">
        <f>IF(Audit_Data[[#This Row],[Z_CostContact]]=3,"Valid","Invalid")</f>
        <v>Valid</v>
      </c>
      <c r="AR1944" t="str">
        <f t="shared" si="400"/>
        <v>Valid</v>
      </c>
      <c r="AS1944" t="str">
        <f t="shared" si="401"/>
        <v>Valid</v>
      </c>
    </row>
    <row r="1945" spans="1:45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 t="str">
        <f t="shared" si="390"/>
        <v>Ok</v>
      </c>
      <c r="AE1945" t="str">
        <f>IF(AND(Audit_Data[[#This Row],[Year_Birth]]&gt;=1900,Audit_Data[[#This Row],[Year_Birth]]&lt;=2010),"OK","Invalid")</f>
        <v>OK</v>
      </c>
      <c r="AF1945" t="str">
        <f t="shared" si="391"/>
        <v>Valid</v>
      </c>
      <c r="AG1945" t="str">
        <f t="shared" si="392"/>
        <v>Valid</v>
      </c>
      <c r="AH1945" t="str">
        <f t="shared" si="393"/>
        <v>Valid</v>
      </c>
      <c r="AI1945" t="str">
        <f t="shared" si="394"/>
        <v>Valid</v>
      </c>
      <c r="AJ1945" t="str">
        <f t="shared" si="395"/>
        <v>Valid</v>
      </c>
      <c r="AK1945" t="str">
        <f t="shared" si="402"/>
        <v xml:space="preserve">Valid </v>
      </c>
      <c r="AL1945" t="str">
        <f>IF(AND(Audit_Data[[#This Row],[Recency]]&gt;=0,Audit_Data[[#This Row],[Recency]]&lt;=100),"Valid","Invalid")</f>
        <v>Valid</v>
      </c>
      <c r="AM1945" t="str">
        <f t="shared" si="396"/>
        <v>Valid</v>
      </c>
      <c r="AN1945" t="str">
        <f t="shared" si="397"/>
        <v>Valid</v>
      </c>
      <c r="AO1945" t="str">
        <f t="shared" si="398"/>
        <v>Valid</v>
      </c>
      <c r="AP1945" t="str">
        <f t="shared" si="399"/>
        <v>Valid</v>
      </c>
      <c r="AQ1945" t="str">
        <f>IF(Audit_Data[[#This Row],[Z_CostContact]]=3,"Valid","Invalid")</f>
        <v>Valid</v>
      </c>
      <c r="AR1945" t="str">
        <f t="shared" si="400"/>
        <v>Valid</v>
      </c>
      <c r="AS1945" t="str">
        <f t="shared" si="401"/>
        <v>Valid</v>
      </c>
    </row>
    <row r="1946" spans="1:45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 t="str">
        <f t="shared" si="390"/>
        <v>Ok</v>
      </c>
      <c r="AE1946" t="str">
        <f>IF(AND(Audit_Data[[#This Row],[Year_Birth]]&gt;=1900,Audit_Data[[#This Row],[Year_Birth]]&lt;=2010),"OK","Invalid")</f>
        <v>OK</v>
      </c>
      <c r="AF1946" t="str">
        <f t="shared" si="391"/>
        <v>Valid</v>
      </c>
      <c r="AG1946" t="str">
        <f t="shared" si="392"/>
        <v>Valid</v>
      </c>
      <c r="AH1946" t="str">
        <f t="shared" si="393"/>
        <v>Valid</v>
      </c>
      <c r="AI1946" t="str">
        <f t="shared" si="394"/>
        <v>Valid</v>
      </c>
      <c r="AJ1946" t="str">
        <f t="shared" si="395"/>
        <v>Valid</v>
      </c>
      <c r="AK1946" t="str">
        <f t="shared" si="402"/>
        <v xml:space="preserve">Valid </v>
      </c>
      <c r="AL1946" t="str">
        <f>IF(AND(Audit_Data[[#This Row],[Recency]]&gt;=0,Audit_Data[[#This Row],[Recency]]&lt;=100),"Valid","Invalid")</f>
        <v>Valid</v>
      </c>
      <c r="AM1946" t="str">
        <f t="shared" si="396"/>
        <v>Valid</v>
      </c>
      <c r="AN1946" t="str">
        <f t="shared" si="397"/>
        <v>Valid</v>
      </c>
      <c r="AO1946" t="str">
        <f t="shared" si="398"/>
        <v>Valid</v>
      </c>
      <c r="AP1946" t="str">
        <f t="shared" si="399"/>
        <v>Valid</v>
      </c>
      <c r="AQ1946" t="str">
        <f>IF(Audit_Data[[#This Row],[Z_CostContact]]=3,"Valid","Invalid")</f>
        <v>Valid</v>
      </c>
      <c r="AR1946" t="str">
        <f t="shared" si="400"/>
        <v>Valid</v>
      </c>
      <c r="AS1946" t="str">
        <f t="shared" si="401"/>
        <v>Valid</v>
      </c>
    </row>
    <row r="1947" spans="1:45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 t="str">
        <f t="shared" si="390"/>
        <v>Ok</v>
      </c>
      <c r="AE1947" t="str">
        <f>IF(AND(Audit_Data[[#This Row],[Year_Birth]]&gt;=1900,Audit_Data[[#This Row],[Year_Birth]]&lt;=2010),"OK","Invalid")</f>
        <v>OK</v>
      </c>
      <c r="AF1947" t="str">
        <f t="shared" si="391"/>
        <v>Valid</v>
      </c>
      <c r="AG1947" t="str">
        <f t="shared" si="392"/>
        <v>Valid</v>
      </c>
      <c r="AH1947" t="str">
        <f t="shared" si="393"/>
        <v>Valid</v>
      </c>
      <c r="AI1947" t="str">
        <f t="shared" si="394"/>
        <v>Valid</v>
      </c>
      <c r="AJ1947" t="str">
        <f t="shared" si="395"/>
        <v>Valid</v>
      </c>
      <c r="AK1947" t="str">
        <f t="shared" si="402"/>
        <v xml:space="preserve">Valid </v>
      </c>
      <c r="AL1947" t="str">
        <f>IF(AND(Audit_Data[[#This Row],[Recency]]&gt;=0,Audit_Data[[#This Row],[Recency]]&lt;=100),"Valid","Invalid")</f>
        <v>Valid</v>
      </c>
      <c r="AM1947" t="str">
        <f t="shared" si="396"/>
        <v>Valid</v>
      </c>
      <c r="AN1947" t="str">
        <f t="shared" si="397"/>
        <v>Valid</v>
      </c>
      <c r="AO1947" t="str">
        <f t="shared" si="398"/>
        <v>Valid</v>
      </c>
      <c r="AP1947" t="str">
        <f t="shared" si="399"/>
        <v>Valid</v>
      </c>
      <c r="AQ1947" t="str">
        <f>IF(Audit_Data[[#This Row],[Z_CostContact]]=3,"Valid","Invalid")</f>
        <v>Valid</v>
      </c>
      <c r="AR1947" t="str">
        <f t="shared" si="400"/>
        <v>Valid</v>
      </c>
      <c r="AS1947" t="str">
        <f t="shared" si="401"/>
        <v>Valid</v>
      </c>
    </row>
    <row r="1948" spans="1:45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 t="str">
        <f t="shared" si="390"/>
        <v>Ok</v>
      </c>
      <c r="AE1948" t="str">
        <f>IF(AND(Audit_Data[[#This Row],[Year_Birth]]&gt;=1900,Audit_Data[[#This Row],[Year_Birth]]&lt;=2010),"OK","Invalid")</f>
        <v>OK</v>
      </c>
      <c r="AF1948" t="str">
        <f t="shared" si="391"/>
        <v>Valid</v>
      </c>
      <c r="AG1948" t="str">
        <f t="shared" si="392"/>
        <v>Valid</v>
      </c>
      <c r="AH1948" t="str">
        <f t="shared" si="393"/>
        <v>Valid</v>
      </c>
      <c r="AI1948" t="str">
        <f t="shared" si="394"/>
        <v>Valid</v>
      </c>
      <c r="AJ1948" t="str">
        <f t="shared" si="395"/>
        <v>Valid</v>
      </c>
      <c r="AK1948" t="str">
        <f t="shared" si="402"/>
        <v xml:space="preserve">Valid </v>
      </c>
      <c r="AL1948" t="str">
        <f>IF(AND(Audit_Data[[#This Row],[Recency]]&gt;=0,Audit_Data[[#This Row],[Recency]]&lt;=100),"Valid","Invalid")</f>
        <v>Valid</v>
      </c>
      <c r="AM1948" t="str">
        <f t="shared" si="396"/>
        <v>Valid</v>
      </c>
      <c r="AN1948" t="str">
        <f t="shared" si="397"/>
        <v>Valid</v>
      </c>
      <c r="AO1948" t="str">
        <f t="shared" si="398"/>
        <v>Valid</v>
      </c>
      <c r="AP1948" t="str">
        <f t="shared" si="399"/>
        <v>Valid</v>
      </c>
      <c r="AQ1948" t="str">
        <f>IF(Audit_Data[[#This Row],[Z_CostContact]]=3,"Valid","Invalid")</f>
        <v>Valid</v>
      </c>
      <c r="AR1948" t="str">
        <f t="shared" si="400"/>
        <v>Valid</v>
      </c>
      <c r="AS1948" t="str">
        <f t="shared" si="401"/>
        <v>Valid</v>
      </c>
    </row>
    <row r="1949" spans="1:45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 t="str">
        <f t="shared" si="390"/>
        <v>Ok</v>
      </c>
      <c r="AE1949" t="str">
        <f>IF(AND(Audit_Data[[#This Row],[Year_Birth]]&gt;=1900,Audit_Data[[#This Row],[Year_Birth]]&lt;=2010),"OK","Invalid")</f>
        <v>OK</v>
      </c>
      <c r="AF1949" t="str">
        <f t="shared" si="391"/>
        <v>Valid</v>
      </c>
      <c r="AG1949" t="str">
        <f t="shared" si="392"/>
        <v>Valid</v>
      </c>
      <c r="AH1949" t="str">
        <f t="shared" si="393"/>
        <v>Valid</v>
      </c>
      <c r="AI1949" t="str">
        <f t="shared" si="394"/>
        <v>Valid</v>
      </c>
      <c r="AJ1949" t="str">
        <f t="shared" si="395"/>
        <v>Valid</v>
      </c>
      <c r="AK1949" t="str">
        <f t="shared" si="402"/>
        <v xml:space="preserve">Valid </v>
      </c>
      <c r="AL1949" t="str">
        <f>IF(AND(Audit_Data[[#This Row],[Recency]]&gt;=0,Audit_Data[[#This Row],[Recency]]&lt;=100),"Valid","Invalid")</f>
        <v>Valid</v>
      </c>
      <c r="AM1949" t="str">
        <f t="shared" si="396"/>
        <v>Valid</v>
      </c>
      <c r="AN1949" t="str">
        <f t="shared" si="397"/>
        <v>Valid</v>
      </c>
      <c r="AO1949" t="str">
        <f t="shared" si="398"/>
        <v>Valid</v>
      </c>
      <c r="AP1949" t="str">
        <f t="shared" si="399"/>
        <v>Valid</v>
      </c>
      <c r="AQ1949" t="str">
        <f>IF(Audit_Data[[#This Row],[Z_CostContact]]=3,"Valid","Invalid")</f>
        <v>Valid</v>
      </c>
      <c r="AR1949" t="str">
        <f t="shared" si="400"/>
        <v>Valid</v>
      </c>
      <c r="AS1949" t="str">
        <f t="shared" si="401"/>
        <v>Valid</v>
      </c>
    </row>
    <row r="1950" spans="1:45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 t="str">
        <f t="shared" si="390"/>
        <v>Ok</v>
      </c>
      <c r="AE1950" t="str">
        <f>IF(AND(Audit_Data[[#This Row],[Year_Birth]]&gt;=1900,Audit_Data[[#This Row],[Year_Birth]]&lt;=2010),"OK","Invalid")</f>
        <v>OK</v>
      </c>
      <c r="AF1950" t="str">
        <f t="shared" si="391"/>
        <v>Valid</v>
      </c>
      <c r="AG1950" t="str">
        <f t="shared" si="392"/>
        <v>Valid</v>
      </c>
      <c r="AH1950" t="str">
        <f t="shared" si="393"/>
        <v>Valid</v>
      </c>
      <c r="AI1950" t="str">
        <f t="shared" si="394"/>
        <v>Valid</v>
      </c>
      <c r="AJ1950" t="str">
        <f t="shared" si="395"/>
        <v>Valid</v>
      </c>
      <c r="AK1950" t="str">
        <f t="shared" si="402"/>
        <v xml:space="preserve">Valid </v>
      </c>
      <c r="AL1950" t="str">
        <f>IF(AND(Audit_Data[[#This Row],[Recency]]&gt;=0,Audit_Data[[#This Row],[Recency]]&lt;=100),"Valid","Invalid")</f>
        <v>Valid</v>
      </c>
      <c r="AM1950" t="str">
        <f t="shared" si="396"/>
        <v>Valid</v>
      </c>
      <c r="AN1950" t="str">
        <f t="shared" si="397"/>
        <v>Valid</v>
      </c>
      <c r="AO1950" t="str">
        <f t="shared" si="398"/>
        <v>Valid</v>
      </c>
      <c r="AP1950" t="str">
        <f t="shared" si="399"/>
        <v>Valid</v>
      </c>
      <c r="AQ1950" t="str">
        <f>IF(Audit_Data[[#This Row],[Z_CostContact]]=3,"Valid","Invalid")</f>
        <v>Valid</v>
      </c>
      <c r="AR1950" t="str">
        <f t="shared" si="400"/>
        <v>Valid</v>
      </c>
      <c r="AS1950" t="str">
        <f t="shared" si="401"/>
        <v>Valid</v>
      </c>
    </row>
    <row r="1951" spans="1:45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 t="str">
        <f t="shared" si="390"/>
        <v>Ok</v>
      </c>
      <c r="AE1951" t="str">
        <f>IF(AND(Audit_Data[[#This Row],[Year_Birth]]&gt;=1900,Audit_Data[[#This Row],[Year_Birth]]&lt;=2010),"OK","Invalid")</f>
        <v>OK</v>
      </c>
      <c r="AF1951" t="str">
        <f t="shared" si="391"/>
        <v>Valid</v>
      </c>
      <c r="AG1951" t="str">
        <f t="shared" si="392"/>
        <v>Valid</v>
      </c>
      <c r="AH1951" t="str">
        <f t="shared" si="393"/>
        <v>Valid</v>
      </c>
      <c r="AI1951" t="str">
        <f t="shared" si="394"/>
        <v>Valid</v>
      </c>
      <c r="AJ1951" t="str">
        <f t="shared" si="395"/>
        <v>Valid</v>
      </c>
      <c r="AK1951" t="str">
        <f t="shared" si="402"/>
        <v xml:space="preserve">Valid </v>
      </c>
      <c r="AL1951" t="str">
        <f>IF(AND(Audit_Data[[#This Row],[Recency]]&gt;=0,Audit_Data[[#This Row],[Recency]]&lt;=100),"Valid","Invalid")</f>
        <v>Valid</v>
      </c>
      <c r="AM1951" t="str">
        <f t="shared" si="396"/>
        <v>Valid</v>
      </c>
      <c r="AN1951" t="str">
        <f t="shared" si="397"/>
        <v>Valid</v>
      </c>
      <c r="AO1951" t="str">
        <f t="shared" si="398"/>
        <v>Valid</v>
      </c>
      <c r="AP1951" t="str">
        <f t="shared" si="399"/>
        <v>Valid</v>
      </c>
      <c r="AQ1951" t="str">
        <f>IF(Audit_Data[[#This Row],[Z_CostContact]]=3,"Valid","Invalid")</f>
        <v>Valid</v>
      </c>
      <c r="AR1951" t="str">
        <f t="shared" si="400"/>
        <v>Valid</v>
      </c>
      <c r="AS1951" t="str">
        <f t="shared" si="401"/>
        <v>Valid</v>
      </c>
    </row>
    <row r="1952" spans="1:45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 t="str">
        <f t="shared" si="390"/>
        <v>Ok</v>
      </c>
      <c r="AE1952" t="str">
        <f>IF(AND(Audit_Data[[#This Row],[Year_Birth]]&gt;=1900,Audit_Data[[#This Row],[Year_Birth]]&lt;=2010),"OK","Invalid")</f>
        <v>OK</v>
      </c>
      <c r="AF1952" t="str">
        <f t="shared" si="391"/>
        <v>Valid</v>
      </c>
      <c r="AG1952" t="str">
        <f t="shared" si="392"/>
        <v>Valid</v>
      </c>
      <c r="AH1952" t="str">
        <f t="shared" si="393"/>
        <v>Valid</v>
      </c>
      <c r="AI1952" t="str">
        <f t="shared" si="394"/>
        <v>Valid</v>
      </c>
      <c r="AJ1952" t="str">
        <f t="shared" si="395"/>
        <v>Valid</v>
      </c>
      <c r="AK1952" t="str">
        <f t="shared" si="402"/>
        <v xml:space="preserve">Valid </v>
      </c>
      <c r="AL1952" t="str">
        <f>IF(AND(Audit_Data[[#This Row],[Recency]]&gt;=0,Audit_Data[[#This Row],[Recency]]&lt;=100),"Valid","Invalid")</f>
        <v>Valid</v>
      </c>
      <c r="AM1952" t="str">
        <f t="shared" si="396"/>
        <v>Valid</v>
      </c>
      <c r="AN1952" t="str">
        <f t="shared" si="397"/>
        <v>Valid</v>
      </c>
      <c r="AO1952" t="str">
        <f t="shared" si="398"/>
        <v>Valid</v>
      </c>
      <c r="AP1952" t="str">
        <f t="shared" si="399"/>
        <v>Valid</v>
      </c>
      <c r="AQ1952" t="str">
        <f>IF(Audit_Data[[#This Row],[Z_CostContact]]=3,"Valid","Invalid")</f>
        <v>Valid</v>
      </c>
      <c r="AR1952" t="str">
        <f t="shared" si="400"/>
        <v>Valid</v>
      </c>
      <c r="AS1952" t="str">
        <f t="shared" si="401"/>
        <v>Valid</v>
      </c>
    </row>
    <row r="1953" spans="1:45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 t="str">
        <f t="shared" si="390"/>
        <v>Ok</v>
      </c>
      <c r="AE1953" t="str">
        <f>IF(AND(Audit_Data[[#This Row],[Year_Birth]]&gt;=1900,Audit_Data[[#This Row],[Year_Birth]]&lt;=2010),"OK","Invalid")</f>
        <v>OK</v>
      </c>
      <c r="AF1953" t="str">
        <f t="shared" si="391"/>
        <v>Valid</v>
      </c>
      <c r="AG1953" t="str">
        <f t="shared" si="392"/>
        <v>Valid</v>
      </c>
      <c r="AH1953" t="str">
        <f t="shared" si="393"/>
        <v>Valid</v>
      </c>
      <c r="AI1953" t="str">
        <f t="shared" si="394"/>
        <v>Valid</v>
      </c>
      <c r="AJ1953" t="str">
        <f t="shared" si="395"/>
        <v>Valid</v>
      </c>
      <c r="AK1953" t="str">
        <f t="shared" si="402"/>
        <v xml:space="preserve">Valid </v>
      </c>
      <c r="AL1953" t="str">
        <f>IF(AND(Audit_Data[[#This Row],[Recency]]&gt;=0,Audit_Data[[#This Row],[Recency]]&lt;=100),"Valid","Invalid")</f>
        <v>Valid</v>
      </c>
      <c r="AM1953" t="str">
        <f t="shared" si="396"/>
        <v>Valid</v>
      </c>
      <c r="AN1953" t="str">
        <f t="shared" si="397"/>
        <v>Valid</v>
      </c>
      <c r="AO1953" t="str">
        <f t="shared" si="398"/>
        <v>Valid</v>
      </c>
      <c r="AP1953" t="str">
        <f t="shared" si="399"/>
        <v>Valid</v>
      </c>
      <c r="AQ1953" t="str">
        <f>IF(Audit_Data[[#This Row],[Z_CostContact]]=3,"Valid","Invalid")</f>
        <v>Valid</v>
      </c>
      <c r="AR1953" t="str">
        <f t="shared" si="400"/>
        <v>Valid</v>
      </c>
      <c r="AS1953" t="str">
        <f t="shared" si="401"/>
        <v>Valid</v>
      </c>
    </row>
    <row r="1954" spans="1:45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 t="str">
        <f t="shared" si="390"/>
        <v>Ok</v>
      </c>
      <c r="AE1954" t="str">
        <f>IF(AND(Audit_Data[[#This Row],[Year_Birth]]&gt;=1900,Audit_Data[[#This Row],[Year_Birth]]&lt;=2010),"OK","Invalid")</f>
        <v>OK</v>
      </c>
      <c r="AF1954" t="str">
        <f t="shared" si="391"/>
        <v>Valid</v>
      </c>
      <c r="AG1954" t="str">
        <f t="shared" si="392"/>
        <v>Valid</v>
      </c>
      <c r="AH1954" t="str">
        <f t="shared" si="393"/>
        <v>Valid</v>
      </c>
      <c r="AI1954" t="str">
        <f t="shared" si="394"/>
        <v>Valid</v>
      </c>
      <c r="AJ1954" t="str">
        <f t="shared" si="395"/>
        <v>Valid</v>
      </c>
      <c r="AK1954" t="str">
        <f t="shared" si="402"/>
        <v xml:space="preserve">Valid </v>
      </c>
      <c r="AL1954" t="str">
        <f>IF(AND(Audit_Data[[#This Row],[Recency]]&gt;=0,Audit_Data[[#This Row],[Recency]]&lt;=100),"Valid","Invalid")</f>
        <v>Valid</v>
      </c>
      <c r="AM1954" t="str">
        <f t="shared" si="396"/>
        <v>Valid</v>
      </c>
      <c r="AN1954" t="str">
        <f t="shared" si="397"/>
        <v>Valid</v>
      </c>
      <c r="AO1954" t="str">
        <f t="shared" si="398"/>
        <v>Valid</v>
      </c>
      <c r="AP1954" t="str">
        <f t="shared" si="399"/>
        <v>Valid</v>
      </c>
      <c r="AQ1954" t="str">
        <f>IF(Audit_Data[[#This Row],[Z_CostContact]]=3,"Valid","Invalid")</f>
        <v>Valid</v>
      </c>
      <c r="AR1954" t="str">
        <f t="shared" si="400"/>
        <v>Valid</v>
      </c>
      <c r="AS1954" t="str">
        <f t="shared" si="401"/>
        <v>Valid</v>
      </c>
    </row>
    <row r="1955" spans="1:45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 t="str">
        <f t="shared" si="390"/>
        <v>Ok</v>
      </c>
      <c r="AE1955" t="str">
        <f>IF(AND(Audit_Data[[#This Row],[Year_Birth]]&gt;=1900,Audit_Data[[#This Row],[Year_Birth]]&lt;=2010),"OK","Invalid")</f>
        <v>OK</v>
      </c>
      <c r="AF1955" t="str">
        <f t="shared" si="391"/>
        <v>Valid</v>
      </c>
      <c r="AG1955" t="str">
        <f t="shared" si="392"/>
        <v>Valid</v>
      </c>
      <c r="AH1955" t="str">
        <f t="shared" si="393"/>
        <v>Valid</v>
      </c>
      <c r="AI1955" t="str">
        <f t="shared" si="394"/>
        <v>Valid</v>
      </c>
      <c r="AJ1955" t="str">
        <f t="shared" si="395"/>
        <v>Valid</v>
      </c>
      <c r="AK1955" t="str">
        <f t="shared" si="402"/>
        <v xml:space="preserve">Valid </v>
      </c>
      <c r="AL1955" t="str">
        <f>IF(AND(Audit_Data[[#This Row],[Recency]]&gt;=0,Audit_Data[[#This Row],[Recency]]&lt;=100),"Valid","Invalid")</f>
        <v>Valid</v>
      </c>
      <c r="AM1955" t="str">
        <f t="shared" si="396"/>
        <v>Valid</v>
      </c>
      <c r="AN1955" t="str">
        <f t="shared" si="397"/>
        <v>Valid</v>
      </c>
      <c r="AO1955" t="str">
        <f t="shared" si="398"/>
        <v>Valid</v>
      </c>
      <c r="AP1955" t="str">
        <f t="shared" si="399"/>
        <v>Valid</v>
      </c>
      <c r="AQ1955" t="str">
        <f>IF(Audit_Data[[#This Row],[Z_CostContact]]=3,"Valid","Invalid")</f>
        <v>Valid</v>
      </c>
      <c r="AR1955" t="str">
        <f t="shared" si="400"/>
        <v>Valid</v>
      </c>
      <c r="AS1955" t="str">
        <f t="shared" si="401"/>
        <v>Valid</v>
      </c>
    </row>
    <row r="1956" spans="1:45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 t="str">
        <f t="shared" si="390"/>
        <v>Ok</v>
      </c>
      <c r="AE1956" t="str">
        <f>IF(AND(Audit_Data[[#This Row],[Year_Birth]]&gt;=1900,Audit_Data[[#This Row],[Year_Birth]]&lt;=2010),"OK","Invalid")</f>
        <v>OK</v>
      </c>
      <c r="AF1956" t="str">
        <f t="shared" si="391"/>
        <v>Valid</v>
      </c>
      <c r="AG1956" t="str">
        <f t="shared" si="392"/>
        <v>Valid</v>
      </c>
      <c r="AH1956" t="str">
        <f t="shared" si="393"/>
        <v>Valid</v>
      </c>
      <c r="AI1956" t="str">
        <f t="shared" si="394"/>
        <v>Valid</v>
      </c>
      <c r="AJ1956" t="str">
        <f t="shared" si="395"/>
        <v>Valid</v>
      </c>
      <c r="AK1956" t="str">
        <f t="shared" si="402"/>
        <v xml:space="preserve">Valid </v>
      </c>
      <c r="AL1956" t="str">
        <f>IF(AND(Audit_Data[[#This Row],[Recency]]&gt;=0,Audit_Data[[#This Row],[Recency]]&lt;=100),"Valid","Invalid")</f>
        <v>Valid</v>
      </c>
      <c r="AM1956" t="str">
        <f t="shared" si="396"/>
        <v>Valid</v>
      </c>
      <c r="AN1956" t="str">
        <f t="shared" si="397"/>
        <v>Valid</v>
      </c>
      <c r="AO1956" t="str">
        <f t="shared" si="398"/>
        <v>Valid</v>
      </c>
      <c r="AP1956" t="str">
        <f t="shared" si="399"/>
        <v>Valid</v>
      </c>
      <c r="AQ1956" t="str">
        <f>IF(Audit_Data[[#This Row],[Z_CostContact]]=3,"Valid","Invalid")</f>
        <v>Valid</v>
      </c>
      <c r="AR1956" t="str">
        <f t="shared" si="400"/>
        <v>Valid</v>
      </c>
      <c r="AS1956" t="str">
        <f t="shared" si="401"/>
        <v>Valid</v>
      </c>
    </row>
    <row r="1957" spans="1:45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 t="str">
        <f t="shared" si="390"/>
        <v>Ok</v>
      </c>
      <c r="AE1957" t="str">
        <f>IF(AND(Audit_Data[[#This Row],[Year_Birth]]&gt;=1900,Audit_Data[[#This Row],[Year_Birth]]&lt;=2010),"OK","Invalid")</f>
        <v>OK</v>
      </c>
      <c r="AF1957" t="str">
        <f t="shared" si="391"/>
        <v>Valid</v>
      </c>
      <c r="AG1957" t="str">
        <f t="shared" si="392"/>
        <v>Valid</v>
      </c>
      <c r="AH1957" t="str">
        <f t="shared" si="393"/>
        <v>Valid</v>
      </c>
      <c r="AI1957" t="str">
        <f t="shared" si="394"/>
        <v>Valid</v>
      </c>
      <c r="AJ1957" t="str">
        <f t="shared" si="395"/>
        <v>Valid</v>
      </c>
      <c r="AK1957" t="str">
        <f t="shared" si="402"/>
        <v xml:space="preserve">Valid </v>
      </c>
      <c r="AL1957" t="str">
        <f>IF(AND(Audit_Data[[#This Row],[Recency]]&gt;=0,Audit_Data[[#This Row],[Recency]]&lt;=100),"Valid","Invalid")</f>
        <v>Valid</v>
      </c>
      <c r="AM1957" t="str">
        <f t="shared" si="396"/>
        <v>Valid</v>
      </c>
      <c r="AN1957" t="str">
        <f t="shared" si="397"/>
        <v>Valid</v>
      </c>
      <c r="AO1957" t="str">
        <f t="shared" si="398"/>
        <v>Valid</v>
      </c>
      <c r="AP1957" t="str">
        <f t="shared" si="399"/>
        <v>Valid</v>
      </c>
      <c r="AQ1957" t="str">
        <f>IF(Audit_Data[[#This Row],[Z_CostContact]]=3,"Valid","Invalid")</f>
        <v>Valid</v>
      </c>
      <c r="AR1957" t="str">
        <f t="shared" si="400"/>
        <v>Valid</v>
      </c>
      <c r="AS1957" t="str">
        <f t="shared" si="401"/>
        <v>Valid</v>
      </c>
    </row>
    <row r="1958" spans="1:45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 t="str">
        <f t="shared" si="390"/>
        <v>Ok</v>
      </c>
      <c r="AE1958" t="str">
        <f>IF(AND(Audit_Data[[#This Row],[Year_Birth]]&gt;=1900,Audit_Data[[#This Row],[Year_Birth]]&lt;=2010),"OK","Invalid")</f>
        <v>OK</v>
      </c>
      <c r="AF1958" t="str">
        <f t="shared" si="391"/>
        <v>Valid</v>
      </c>
      <c r="AG1958" t="str">
        <f t="shared" si="392"/>
        <v>Valid</v>
      </c>
      <c r="AH1958" t="str">
        <f t="shared" si="393"/>
        <v>Valid</v>
      </c>
      <c r="AI1958" t="str">
        <f t="shared" si="394"/>
        <v>Valid</v>
      </c>
      <c r="AJ1958" t="str">
        <f t="shared" si="395"/>
        <v>Valid</v>
      </c>
      <c r="AK1958" t="str">
        <f t="shared" si="402"/>
        <v xml:space="preserve">Valid </v>
      </c>
      <c r="AL1958" t="str">
        <f>IF(AND(Audit_Data[[#This Row],[Recency]]&gt;=0,Audit_Data[[#This Row],[Recency]]&lt;=100),"Valid","Invalid")</f>
        <v>Valid</v>
      </c>
      <c r="AM1958" t="str">
        <f t="shared" si="396"/>
        <v>Valid</v>
      </c>
      <c r="AN1958" t="str">
        <f t="shared" si="397"/>
        <v>Valid</v>
      </c>
      <c r="AO1958" t="str">
        <f t="shared" si="398"/>
        <v>Valid</v>
      </c>
      <c r="AP1958" t="str">
        <f t="shared" si="399"/>
        <v>Valid</v>
      </c>
      <c r="AQ1958" t="str">
        <f>IF(Audit_Data[[#This Row],[Z_CostContact]]=3,"Valid","Invalid")</f>
        <v>Valid</v>
      </c>
      <c r="AR1958" t="str">
        <f t="shared" si="400"/>
        <v>Valid</v>
      </c>
      <c r="AS1958" t="str">
        <f t="shared" si="401"/>
        <v>Valid</v>
      </c>
    </row>
    <row r="1959" spans="1:45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 t="str">
        <f t="shared" si="390"/>
        <v>Ok</v>
      </c>
      <c r="AE1959" t="str">
        <f>IF(AND(Audit_Data[[#This Row],[Year_Birth]]&gt;=1900,Audit_Data[[#This Row],[Year_Birth]]&lt;=2010),"OK","Invalid")</f>
        <v>OK</v>
      </c>
      <c r="AF1959" t="str">
        <f t="shared" si="391"/>
        <v>Valid</v>
      </c>
      <c r="AG1959" t="str">
        <f t="shared" si="392"/>
        <v>Valid</v>
      </c>
      <c r="AH1959" t="str">
        <f t="shared" si="393"/>
        <v>Valid</v>
      </c>
      <c r="AI1959" t="str">
        <f t="shared" si="394"/>
        <v>Valid</v>
      </c>
      <c r="AJ1959" t="str">
        <f t="shared" si="395"/>
        <v>Valid</v>
      </c>
      <c r="AK1959" t="str">
        <f t="shared" si="402"/>
        <v xml:space="preserve">Valid </v>
      </c>
      <c r="AL1959" t="str">
        <f>IF(AND(Audit_Data[[#This Row],[Recency]]&gt;=0,Audit_Data[[#This Row],[Recency]]&lt;=100),"Valid","Invalid")</f>
        <v>Valid</v>
      </c>
      <c r="AM1959" t="str">
        <f t="shared" si="396"/>
        <v>Valid</v>
      </c>
      <c r="AN1959" t="str">
        <f t="shared" si="397"/>
        <v>Valid</v>
      </c>
      <c r="AO1959" t="str">
        <f t="shared" si="398"/>
        <v>Valid</v>
      </c>
      <c r="AP1959" t="str">
        <f t="shared" si="399"/>
        <v>Valid</v>
      </c>
      <c r="AQ1959" t="str">
        <f>IF(Audit_Data[[#This Row],[Z_CostContact]]=3,"Valid","Invalid")</f>
        <v>Valid</v>
      </c>
      <c r="AR1959" t="str">
        <f t="shared" si="400"/>
        <v>Valid</v>
      </c>
      <c r="AS1959" t="str">
        <f t="shared" si="401"/>
        <v>Valid</v>
      </c>
    </row>
    <row r="1960" spans="1:45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 t="str">
        <f t="shared" si="390"/>
        <v>Ok</v>
      </c>
      <c r="AE1960" t="str">
        <f>IF(AND(Audit_Data[[#This Row],[Year_Birth]]&gt;=1900,Audit_Data[[#This Row],[Year_Birth]]&lt;=2010),"OK","Invalid")</f>
        <v>OK</v>
      </c>
      <c r="AF1960" t="str">
        <f t="shared" si="391"/>
        <v>Valid</v>
      </c>
      <c r="AG1960" t="str">
        <f t="shared" si="392"/>
        <v>Valid</v>
      </c>
      <c r="AH1960" t="str">
        <f t="shared" si="393"/>
        <v>Valid</v>
      </c>
      <c r="AI1960" t="str">
        <f t="shared" si="394"/>
        <v>Valid</v>
      </c>
      <c r="AJ1960" t="str">
        <f t="shared" si="395"/>
        <v>Valid</v>
      </c>
      <c r="AK1960" t="str">
        <f t="shared" si="402"/>
        <v xml:space="preserve">Valid </v>
      </c>
      <c r="AL1960" t="str">
        <f>IF(AND(Audit_Data[[#This Row],[Recency]]&gt;=0,Audit_Data[[#This Row],[Recency]]&lt;=100),"Valid","Invalid")</f>
        <v>Valid</v>
      </c>
      <c r="AM1960" t="str">
        <f t="shared" si="396"/>
        <v>Valid</v>
      </c>
      <c r="AN1960" t="str">
        <f t="shared" si="397"/>
        <v>Valid</v>
      </c>
      <c r="AO1960" t="str">
        <f t="shared" si="398"/>
        <v>Valid</v>
      </c>
      <c r="AP1960" t="str">
        <f t="shared" si="399"/>
        <v>Valid</v>
      </c>
      <c r="AQ1960" t="str">
        <f>IF(Audit_Data[[#This Row],[Z_CostContact]]=3,"Valid","Invalid")</f>
        <v>Valid</v>
      </c>
      <c r="AR1960" t="str">
        <f t="shared" si="400"/>
        <v>Valid</v>
      </c>
      <c r="AS1960" t="str">
        <f t="shared" si="401"/>
        <v>Valid</v>
      </c>
    </row>
    <row r="1961" spans="1:45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 t="str">
        <f t="shared" si="390"/>
        <v>Ok</v>
      </c>
      <c r="AE1961" t="str">
        <f>IF(AND(Audit_Data[[#This Row],[Year_Birth]]&gt;=1900,Audit_Data[[#This Row],[Year_Birth]]&lt;=2010),"OK","Invalid")</f>
        <v>OK</v>
      </c>
      <c r="AF1961" t="str">
        <f t="shared" si="391"/>
        <v>Valid</v>
      </c>
      <c r="AG1961" t="str">
        <f t="shared" si="392"/>
        <v>Valid</v>
      </c>
      <c r="AH1961" t="str">
        <f t="shared" si="393"/>
        <v>Valid</v>
      </c>
      <c r="AI1961" t="str">
        <f t="shared" si="394"/>
        <v>Valid</v>
      </c>
      <c r="AJ1961" t="str">
        <f t="shared" si="395"/>
        <v>Valid</v>
      </c>
      <c r="AK1961" t="str">
        <f t="shared" si="402"/>
        <v xml:space="preserve">Valid </v>
      </c>
      <c r="AL1961" t="str">
        <f>IF(AND(Audit_Data[[#This Row],[Recency]]&gt;=0,Audit_Data[[#This Row],[Recency]]&lt;=100),"Valid","Invalid")</f>
        <v>Valid</v>
      </c>
      <c r="AM1961" t="str">
        <f t="shared" si="396"/>
        <v>Valid</v>
      </c>
      <c r="AN1961" t="str">
        <f t="shared" si="397"/>
        <v>Valid</v>
      </c>
      <c r="AO1961" t="str">
        <f t="shared" si="398"/>
        <v>Valid</v>
      </c>
      <c r="AP1961" t="str">
        <f t="shared" si="399"/>
        <v>Valid</v>
      </c>
      <c r="AQ1961" t="str">
        <f>IF(Audit_Data[[#This Row],[Z_CostContact]]=3,"Valid","Invalid")</f>
        <v>Valid</v>
      </c>
      <c r="AR1961" t="str">
        <f t="shared" si="400"/>
        <v>Valid</v>
      </c>
      <c r="AS1961" t="str">
        <f t="shared" si="401"/>
        <v>Valid</v>
      </c>
    </row>
    <row r="1962" spans="1:45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 t="str">
        <f t="shared" si="390"/>
        <v>Ok</v>
      </c>
      <c r="AE1962" t="str">
        <f>IF(AND(Audit_Data[[#This Row],[Year_Birth]]&gt;=1900,Audit_Data[[#This Row],[Year_Birth]]&lt;=2010),"OK","Invalid")</f>
        <v>OK</v>
      </c>
      <c r="AF1962" t="str">
        <f t="shared" si="391"/>
        <v>Valid</v>
      </c>
      <c r="AG1962" t="str">
        <f t="shared" si="392"/>
        <v>Valid</v>
      </c>
      <c r="AH1962" t="str">
        <f t="shared" si="393"/>
        <v>Valid</v>
      </c>
      <c r="AI1962" t="str">
        <f t="shared" si="394"/>
        <v>Valid</v>
      </c>
      <c r="AJ1962" t="str">
        <f t="shared" si="395"/>
        <v>Valid</v>
      </c>
      <c r="AK1962" t="str">
        <f t="shared" si="402"/>
        <v xml:space="preserve">Valid </v>
      </c>
      <c r="AL1962" t="str">
        <f>IF(AND(Audit_Data[[#This Row],[Recency]]&gt;=0,Audit_Data[[#This Row],[Recency]]&lt;=100),"Valid","Invalid")</f>
        <v>Valid</v>
      </c>
      <c r="AM1962" t="str">
        <f t="shared" si="396"/>
        <v>Valid</v>
      </c>
      <c r="AN1962" t="str">
        <f t="shared" si="397"/>
        <v>Valid</v>
      </c>
      <c r="AO1962" t="str">
        <f t="shared" si="398"/>
        <v>Valid</v>
      </c>
      <c r="AP1962" t="str">
        <f t="shared" si="399"/>
        <v>Valid</v>
      </c>
      <c r="AQ1962" t="str">
        <f>IF(Audit_Data[[#This Row],[Z_CostContact]]=3,"Valid","Invalid")</f>
        <v>Valid</v>
      </c>
      <c r="AR1962" t="str">
        <f t="shared" si="400"/>
        <v>Valid</v>
      </c>
      <c r="AS1962" t="str">
        <f t="shared" si="401"/>
        <v>Valid</v>
      </c>
    </row>
    <row r="1963" spans="1:45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 t="str">
        <f t="shared" si="390"/>
        <v>Ok</v>
      </c>
      <c r="AE1963" t="str">
        <f>IF(AND(Audit_Data[[#This Row],[Year_Birth]]&gt;=1900,Audit_Data[[#This Row],[Year_Birth]]&lt;=2010),"OK","Invalid")</f>
        <v>OK</v>
      </c>
      <c r="AF1963" t="str">
        <f t="shared" si="391"/>
        <v>Valid</v>
      </c>
      <c r="AG1963" t="str">
        <f t="shared" si="392"/>
        <v>Valid</v>
      </c>
      <c r="AH1963" t="str">
        <f t="shared" si="393"/>
        <v>Valid</v>
      </c>
      <c r="AI1963" t="str">
        <f t="shared" si="394"/>
        <v>Valid</v>
      </c>
      <c r="AJ1963" t="str">
        <f t="shared" si="395"/>
        <v>Valid</v>
      </c>
      <c r="AK1963" t="str">
        <f t="shared" si="402"/>
        <v xml:space="preserve">Valid </v>
      </c>
      <c r="AL1963" t="str">
        <f>IF(AND(Audit_Data[[#This Row],[Recency]]&gt;=0,Audit_Data[[#This Row],[Recency]]&lt;=100),"Valid","Invalid")</f>
        <v>Valid</v>
      </c>
      <c r="AM1963" t="str">
        <f t="shared" si="396"/>
        <v>Valid</v>
      </c>
      <c r="AN1963" t="str">
        <f t="shared" si="397"/>
        <v>Valid</v>
      </c>
      <c r="AO1963" t="str">
        <f t="shared" si="398"/>
        <v>Valid</v>
      </c>
      <c r="AP1963" t="str">
        <f t="shared" si="399"/>
        <v>Valid</v>
      </c>
      <c r="AQ1963" t="str">
        <f>IF(Audit_Data[[#This Row],[Z_CostContact]]=3,"Valid","Invalid")</f>
        <v>Valid</v>
      </c>
      <c r="AR1963" t="str">
        <f t="shared" si="400"/>
        <v>Valid</v>
      </c>
      <c r="AS1963" t="str">
        <f t="shared" si="401"/>
        <v>Valid</v>
      </c>
    </row>
    <row r="1964" spans="1:45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 t="str">
        <f t="shared" si="390"/>
        <v>Ok</v>
      </c>
      <c r="AE1964" t="str">
        <f>IF(AND(Audit_Data[[#This Row],[Year_Birth]]&gt;=1900,Audit_Data[[#This Row],[Year_Birth]]&lt;=2010),"OK","Invalid")</f>
        <v>OK</v>
      </c>
      <c r="AF1964" t="str">
        <f t="shared" si="391"/>
        <v>Valid</v>
      </c>
      <c r="AG1964" t="str">
        <f t="shared" si="392"/>
        <v>Valid</v>
      </c>
      <c r="AH1964" t="str">
        <f t="shared" si="393"/>
        <v>Valid</v>
      </c>
      <c r="AI1964" t="str">
        <f t="shared" si="394"/>
        <v>Valid</v>
      </c>
      <c r="AJ1964" t="str">
        <f t="shared" si="395"/>
        <v>Valid</v>
      </c>
      <c r="AK1964" t="str">
        <f t="shared" si="402"/>
        <v xml:space="preserve">Valid </v>
      </c>
      <c r="AL1964" t="str">
        <f>IF(AND(Audit_Data[[#This Row],[Recency]]&gt;=0,Audit_Data[[#This Row],[Recency]]&lt;=100),"Valid","Invalid")</f>
        <v>Valid</v>
      </c>
      <c r="AM1964" t="str">
        <f t="shared" si="396"/>
        <v>Valid</v>
      </c>
      <c r="AN1964" t="str">
        <f t="shared" si="397"/>
        <v>Valid</v>
      </c>
      <c r="AO1964" t="str">
        <f t="shared" si="398"/>
        <v>Valid</v>
      </c>
      <c r="AP1964" t="str">
        <f t="shared" si="399"/>
        <v>Valid</v>
      </c>
      <c r="AQ1964" t="str">
        <f>IF(Audit_Data[[#This Row],[Z_CostContact]]=3,"Valid","Invalid")</f>
        <v>Valid</v>
      </c>
      <c r="AR1964" t="str">
        <f t="shared" si="400"/>
        <v>Valid</v>
      </c>
      <c r="AS1964" t="str">
        <f t="shared" si="401"/>
        <v>Valid</v>
      </c>
    </row>
    <row r="1965" spans="1:45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 t="str">
        <f t="shared" si="390"/>
        <v>Ok</v>
      </c>
      <c r="AE1965" t="str">
        <f>IF(AND(Audit_Data[[#This Row],[Year_Birth]]&gt;=1900,Audit_Data[[#This Row],[Year_Birth]]&lt;=2010),"OK","Invalid")</f>
        <v>OK</v>
      </c>
      <c r="AF1965" t="str">
        <f t="shared" si="391"/>
        <v>Valid</v>
      </c>
      <c r="AG1965" t="str">
        <f t="shared" si="392"/>
        <v>Valid</v>
      </c>
      <c r="AH1965" t="str">
        <f t="shared" si="393"/>
        <v>Valid</v>
      </c>
      <c r="AI1965" t="str">
        <f t="shared" si="394"/>
        <v>Valid</v>
      </c>
      <c r="AJ1965" t="str">
        <f t="shared" si="395"/>
        <v>Valid</v>
      </c>
      <c r="AK1965" t="str">
        <f t="shared" si="402"/>
        <v xml:space="preserve">Valid </v>
      </c>
      <c r="AL1965" t="str">
        <f>IF(AND(Audit_Data[[#This Row],[Recency]]&gt;=0,Audit_Data[[#This Row],[Recency]]&lt;=100),"Valid","Invalid")</f>
        <v>Valid</v>
      </c>
      <c r="AM1965" t="str">
        <f t="shared" si="396"/>
        <v>Valid</v>
      </c>
      <c r="AN1965" t="str">
        <f t="shared" si="397"/>
        <v>Valid</v>
      </c>
      <c r="AO1965" t="str">
        <f t="shared" si="398"/>
        <v>Valid</v>
      </c>
      <c r="AP1965" t="str">
        <f t="shared" si="399"/>
        <v>Valid</v>
      </c>
      <c r="AQ1965" t="str">
        <f>IF(Audit_Data[[#This Row],[Z_CostContact]]=3,"Valid","Invalid")</f>
        <v>Valid</v>
      </c>
      <c r="AR1965" t="str">
        <f t="shared" si="400"/>
        <v>Valid</v>
      </c>
      <c r="AS1965" t="str">
        <f t="shared" si="401"/>
        <v>Valid</v>
      </c>
    </row>
    <row r="1966" spans="1:45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 t="str">
        <f t="shared" si="390"/>
        <v>Ok</v>
      </c>
      <c r="AE1966" t="str">
        <f>IF(AND(Audit_Data[[#This Row],[Year_Birth]]&gt;=1900,Audit_Data[[#This Row],[Year_Birth]]&lt;=2010),"OK","Invalid")</f>
        <v>OK</v>
      </c>
      <c r="AF1966" t="str">
        <f t="shared" si="391"/>
        <v>Valid</v>
      </c>
      <c r="AG1966" t="str">
        <f t="shared" si="392"/>
        <v>Valid</v>
      </c>
      <c r="AH1966" t="str">
        <f t="shared" si="393"/>
        <v>Valid</v>
      </c>
      <c r="AI1966" t="str">
        <f t="shared" si="394"/>
        <v>Valid</v>
      </c>
      <c r="AJ1966" t="str">
        <f t="shared" si="395"/>
        <v>Valid</v>
      </c>
      <c r="AK1966" t="str">
        <f t="shared" si="402"/>
        <v xml:space="preserve">Valid </v>
      </c>
      <c r="AL1966" t="str">
        <f>IF(AND(Audit_Data[[#This Row],[Recency]]&gt;=0,Audit_Data[[#This Row],[Recency]]&lt;=100),"Valid","Invalid")</f>
        <v>Valid</v>
      </c>
      <c r="AM1966" t="str">
        <f t="shared" si="396"/>
        <v>Valid</v>
      </c>
      <c r="AN1966" t="str">
        <f t="shared" si="397"/>
        <v>Valid</v>
      </c>
      <c r="AO1966" t="str">
        <f t="shared" si="398"/>
        <v>Valid</v>
      </c>
      <c r="AP1966" t="str">
        <f t="shared" si="399"/>
        <v>Valid</v>
      </c>
      <c r="AQ1966" t="str">
        <f>IF(Audit_Data[[#This Row],[Z_CostContact]]=3,"Valid","Invalid")</f>
        <v>Valid</v>
      </c>
      <c r="AR1966" t="str">
        <f t="shared" si="400"/>
        <v>Valid</v>
      </c>
      <c r="AS1966" t="str">
        <f t="shared" si="401"/>
        <v>Valid</v>
      </c>
    </row>
    <row r="1967" spans="1:45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 t="str">
        <f t="shared" si="390"/>
        <v>Ok</v>
      </c>
      <c r="AE1967" t="str">
        <f>IF(AND(Audit_Data[[#This Row],[Year_Birth]]&gt;=1900,Audit_Data[[#This Row],[Year_Birth]]&lt;=2010),"OK","Invalid")</f>
        <v>OK</v>
      </c>
      <c r="AF1967" t="str">
        <f t="shared" si="391"/>
        <v>Valid</v>
      </c>
      <c r="AG1967" t="str">
        <f t="shared" si="392"/>
        <v>Valid</v>
      </c>
      <c r="AH1967" t="str">
        <f t="shared" si="393"/>
        <v>Valid</v>
      </c>
      <c r="AI1967" t="str">
        <f t="shared" si="394"/>
        <v>Valid</v>
      </c>
      <c r="AJ1967" t="str">
        <f t="shared" si="395"/>
        <v>Valid</v>
      </c>
      <c r="AK1967" t="str">
        <f t="shared" si="402"/>
        <v xml:space="preserve">Valid </v>
      </c>
      <c r="AL1967" t="str">
        <f>IF(AND(Audit_Data[[#This Row],[Recency]]&gt;=0,Audit_Data[[#This Row],[Recency]]&lt;=100),"Valid","Invalid")</f>
        <v>Valid</v>
      </c>
      <c r="AM1967" t="str">
        <f t="shared" si="396"/>
        <v>Valid</v>
      </c>
      <c r="AN1967" t="str">
        <f t="shared" si="397"/>
        <v>Valid</v>
      </c>
      <c r="AO1967" t="str">
        <f t="shared" si="398"/>
        <v>Valid</v>
      </c>
      <c r="AP1967" t="str">
        <f t="shared" si="399"/>
        <v>Valid</v>
      </c>
      <c r="AQ1967" t="str">
        <f>IF(Audit_Data[[#This Row],[Z_CostContact]]=3,"Valid","Invalid")</f>
        <v>Valid</v>
      </c>
      <c r="AR1967" t="str">
        <f t="shared" si="400"/>
        <v>Valid</v>
      </c>
      <c r="AS1967" t="str">
        <f t="shared" si="401"/>
        <v>Valid</v>
      </c>
    </row>
    <row r="1968" spans="1:45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 t="str">
        <f t="shared" si="390"/>
        <v>Ok</v>
      </c>
      <c r="AE1968" t="str">
        <f>IF(AND(Audit_Data[[#This Row],[Year_Birth]]&gt;=1900,Audit_Data[[#This Row],[Year_Birth]]&lt;=2010),"OK","Invalid")</f>
        <v>OK</v>
      </c>
      <c r="AF1968" t="str">
        <f t="shared" si="391"/>
        <v>Valid</v>
      </c>
      <c r="AG1968" t="str">
        <f t="shared" si="392"/>
        <v>Valid</v>
      </c>
      <c r="AH1968" t="str">
        <f t="shared" si="393"/>
        <v>Valid</v>
      </c>
      <c r="AI1968" t="str">
        <f t="shared" si="394"/>
        <v>Valid</v>
      </c>
      <c r="AJ1968" t="str">
        <f t="shared" si="395"/>
        <v>Valid</v>
      </c>
      <c r="AK1968" t="str">
        <f t="shared" si="402"/>
        <v xml:space="preserve">Valid </v>
      </c>
      <c r="AL1968" t="str">
        <f>IF(AND(Audit_Data[[#This Row],[Recency]]&gt;=0,Audit_Data[[#This Row],[Recency]]&lt;=100),"Valid","Invalid")</f>
        <v>Valid</v>
      </c>
      <c r="AM1968" t="str">
        <f t="shared" si="396"/>
        <v>Valid</v>
      </c>
      <c r="AN1968" t="str">
        <f t="shared" si="397"/>
        <v>Valid</v>
      </c>
      <c r="AO1968" t="str">
        <f t="shared" si="398"/>
        <v>Valid</v>
      </c>
      <c r="AP1968" t="str">
        <f t="shared" si="399"/>
        <v>Valid</v>
      </c>
      <c r="AQ1968" t="str">
        <f>IF(Audit_Data[[#This Row],[Z_CostContact]]=3,"Valid","Invalid")</f>
        <v>Valid</v>
      </c>
      <c r="AR1968" t="str">
        <f t="shared" si="400"/>
        <v>Valid</v>
      </c>
      <c r="AS1968" t="str">
        <f t="shared" si="401"/>
        <v>Valid</v>
      </c>
    </row>
    <row r="1969" spans="1:45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 t="str">
        <f t="shared" si="390"/>
        <v>Ok</v>
      </c>
      <c r="AE1969" t="str">
        <f>IF(AND(Audit_Data[[#This Row],[Year_Birth]]&gt;=1900,Audit_Data[[#This Row],[Year_Birth]]&lt;=2010),"OK","Invalid")</f>
        <v>OK</v>
      </c>
      <c r="AF1969" t="str">
        <f t="shared" si="391"/>
        <v>Valid</v>
      </c>
      <c r="AG1969" t="str">
        <f t="shared" si="392"/>
        <v>Valid</v>
      </c>
      <c r="AH1969" t="str">
        <f t="shared" si="393"/>
        <v>Valid</v>
      </c>
      <c r="AI1969" t="str">
        <f t="shared" si="394"/>
        <v>Valid</v>
      </c>
      <c r="AJ1969" t="str">
        <f t="shared" si="395"/>
        <v>Valid</v>
      </c>
      <c r="AK1969" t="str">
        <f t="shared" si="402"/>
        <v xml:space="preserve">Valid </v>
      </c>
      <c r="AL1969" t="str">
        <f>IF(AND(Audit_Data[[#This Row],[Recency]]&gt;=0,Audit_Data[[#This Row],[Recency]]&lt;=100),"Valid","Invalid")</f>
        <v>Valid</v>
      </c>
      <c r="AM1969" t="str">
        <f t="shared" si="396"/>
        <v>Valid</v>
      </c>
      <c r="AN1969" t="str">
        <f t="shared" si="397"/>
        <v>Valid</v>
      </c>
      <c r="AO1969" t="str">
        <f t="shared" si="398"/>
        <v>Valid</v>
      </c>
      <c r="AP1969" t="str">
        <f t="shared" si="399"/>
        <v>Valid</v>
      </c>
      <c r="AQ1969" t="str">
        <f>IF(Audit_Data[[#This Row],[Z_CostContact]]=3,"Valid","Invalid")</f>
        <v>Valid</v>
      </c>
      <c r="AR1969" t="str">
        <f t="shared" si="400"/>
        <v>Valid</v>
      </c>
      <c r="AS1969" t="str">
        <f t="shared" si="401"/>
        <v>Valid</v>
      </c>
    </row>
    <row r="1970" spans="1:45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 t="str">
        <f t="shared" si="390"/>
        <v>Ok</v>
      </c>
      <c r="AE1970" t="str">
        <f>IF(AND(Audit_Data[[#This Row],[Year_Birth]]&gt;=1900,Audit_Data[[#This Row],[Year_Birth]]&lt;=2010),"OK","Invalid")</f>
        <v>OK</v>
      </c>
      <c r="AF1970" t="str">
        <f t="shared" si="391"/>
        <v>Valid</v>
      </c>
      <c r="AG1970" t="str">
        <f t="shared" si="392"/>
        <v>Valid</v>
      </c>
      <c r="AH1970" t="str">
        <f t="shared" si="393"/>
        <v>Valid</v>
      </c>
      <c r="AI1970" t="str">
        <f t="shared" si="394"/>
        <v>Valid</v>
      </c>
      <c r="AJ1970" t="str">
        <f t="shared" si="395"/>
        <v>Valid</v>
      </c>
      <c r="AK1970" t="str">
        <f t="shared" si="402"/>
        <v xml:space="preserve">Valid </v>
      </c>
      <c r="AL1970" t="str">
        <f>IF(AND(Audit_Data[[#This Row],[Recency]]&gt;=0,Audit_Data[[#This Row],[Recency]]&lt;=100),"Valid","Invalid")</f>
        <v>Valid</v>
      </c>
      <c r="AM1970" t="str">
        <f t="shared" si="396"/>
        <v>Valid</v>
      </c>
      <c r="AN1970" t="str">
        <f t="shared" si="397"/>
        <v>Valid</v>
      </c>
      <c r="AO1970" t="str">
        <f t="shared" si="398"/>
        <v>Valid</v>
      </c>
      <c r="AP1970" t="str">
        <f t="shared" si="399"/>
        <v>Valid</v>
      </c>
      <c r="AQ1970" t="str">
        <f>IF(Audit_Data[[#This Row],[Z_CostContact]]=3,"Valid","Invalid")</f>
        <v>Valid</v>
      </c>
      <c r="AR1970" t="str">
        <f t="shared" si="400"/>
        <v>Valid</v>
      </c>
      <c r="AS1970" t="str">
        <f t="shared" si="401"/>
        <v>Valid</v>
      </c>
    </row>
    <row r="1971" spans="1:45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 t="str">
        <f t="shared" si="390"/>
        <v>Ok</v>
      </c>
      <c r="AE1971" t="str">
        <f>IF(AND(Audit_Data[[#This Row],[Year_Birth]]&gt;=1900,Audit_Data[[#This Row],[Year_Birth]]&lt;=2010),"OK","Invalid")</f>
        <v>OK</v>
      </c>
      <c r="AF1971" t="str">
        <f t="shared" si="391"/>
        <v>Valid</v>
      </c>
      <c r="AG1971" t="str">
        <f t="shared" si="392"/>
        <v>Valid</v>
      </c>
      <c r="AH1971" t="str">
        <f t="shared" si="393"/>
        <v>Valid</v>
      </c>
      <c r="AI1971" t="str">
        <f t="shared" si="394"/>
        <v>Valid</v>
      </c>
      <c r="AJ1971" t="str">
        <f t="shared" si="395"/>
        <v>Valid</v>
      </c>
      <c r="AK1971" t="str">
        <f t="shared" si="402"/>
        <v xml:space="preserve">Valid </v>
      </c>
      <c r="AL1971" t="str">
        <f>IF(AND(Audit_Data[[#This Row],[Recency]]&gt;=0,Audit_Data[[#This Row],[Recency]]&lt;=100),"Valid","Invalid")</f>
        <v>Valid</v>
      </c>
      <c r="AM1971" t="str">
        <f t="shared" si="396"/>
        <v>Valid</v>
      </c>
      <c r="AN1971" t="str">
        <f t="shared" si="397"/>
        <v>Valid</v>
      </c>
      <c r="AO1971" t="str">
        <f t="shared" si="398"/>
        <v>Valid</v>
      </c>
      <c r="AP1971" t="str">
        <f t="shared" si="399"/>
        <v>Valid</v>
      </c>
      <c r="AQ1971" t="str">
        <f>IF(Audit_Data[[#This Row],[Z_CostContact]]=3,"Valid","Invalid")</f>
        <v>Valid</v>
      </c>
      <c r="AR1971" t="str">
        <f t="shared" si="400"/>
        <v>Valid</v>
      </c>
      <c r="AS1971" t="str">
        <f t="shared" si="401"/>
        <v>Valid</v>
      </c>
    </row>
    <row r="1972" spans="1:45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 t="str">
        <f t="shared" si="390"/>
        <v>Ok</v>
      </c>
      <c r="AE1972" t="str">
        <f>IF(AND(Audit_Data[[#This Row],[Year_Birth]]&gt;=1900,Audit_Data[[#This Row],[Year_Birth]]&lt;=2010),"OK","Invalid")</f>
        <v>OK</v>
      </c>
      <c r="AF1972" t="str">
        <f t="shared" si="391"/>
        <v>Valid</v>
      </c>
      <c r="AG1972" t="str">
        <f t="shared" si="392"/>
        <v>Valid</v>
      </c>
      <c r="AH1972" t="str">
        <f t="shared" si="393"/>
        <v>Valid</v>
      </c>
      <c r="AI1972" t="str">
        <f t="shared" si="394"/>
        <v>Valid</v>
      </c>
      <c r="AJ1972" t="str">
        <f t="shared" si="395"/>
        <v>Valid</v>
      </c>
      <c r="AK1972" t="str">
        <f t="shared" si="402"/>
        <v xml:space="preserve">Valid </v>
      </c>
      <c r="AL1972" t="str">
        <f>IF(AND(Audit_Data[[#This Row],[Recency]]&gt;=0,Audit_Data[[#This Row],[Recency]]&lt;=100),"Valid","Invalid")</f>
        <v>Valid</v>
      </c>
      <c r="AM1972" t="str">
        <f t="shared" si="396"/>
        <v>Valid</v>
      </c>
      <c r="AN1972" t="str">
        <f t="shared" si="397"/>
        <v>Valid</v>
      </c>
      <c r="AO1972" t="str">
        <f t="shared" si="398"/>
        <v>Valid</v>
      </c>
      <c r="AP1972" t="str">
        <f t="shared" si="399"/>
        <v>Valid</v>
      </c>
      <c r="AQ1972" t="str">
        <f>IF(Audit_Data[[#This Row],[Z_CostContact]]=3,"Valid","Invalid")</f>
        <v>Valid</v>
      </c>
      <c r="AR1972" t="str">
        <f t="shared" si="400"/>
        <v>Valid</v>
      </c>
      <c r="AS1972" t="str">
        <f t="shared" si="401"/>
        <v>Valid</v>
      </c>
    </row>
    <row r="1973" spans="1:45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 t="str">
        <f t="shared" si="390"/>
        <v>Ok</v>
      </c>
      <c r="AE1973" t="str">
        <f>IF(AND(Audit_Data[[#This Row],[Year_Birth]]&gt;=1900,Audit_Data[[#This Row],[Year_Birth]]&lt;=2010),"OK","Invalid")</f>
        <v>OK</v>
      </c>
      <c r="AF1973" t="str">
        <f t="shared" si="391"/>
        <v>Valid</v>
      </c>
      <c r="AG1973" t="str">
        <f t="shared" si="392"/>
        <v>Valid</v>
      </c>
      <c r="AH1973" t="str">
        <f t="shared" si="393"/>
        <v>Valid</v>
      </c>
      <c r="AI1973" t="str">
        <f t="shared" si="394"/>
        <v>Valid</v>
      </c>
      <c r="AJ1973" t="str">
        <f t="shared" si="395"/>
        <v>Valid</v>
      </c>
      <c r="AK1973" t="str">
        <f t="shared" si="402"/>
        <v xml:space="preserve">Valid </v>
      </c>
      <c r="AL1973" t="str">
        <f>IF(AND(Audit_Data[[#This Row],[Recency]]&gt;=0,Audit_Data[[#This Row],[Recency]]&lt;=100),"Valid","Invalid")</f>
        <v>Valid</v>
      </c>
      <c r="AM1973" t="str">
        <f t="shared" si="396"/>
        <v>Valid</v>
      </c>
      <c r="AN1973" t="str">
        <f t="shared" si="397"/>
        <v>Valid</v>
      </c>
      <c r="AO1973" t="str">
        <f t="shared" si="398"/>
        <v>Valid</v>
      </c>
      <c r="AP1973" t="str">
        <f t="shared" si="399"/>
        <v>Valid</v>
      </c>
      <c r="AQ1973" t="str">
        <f>IF(Audit_Data[[#This Row],[Z_CostContact]]=3,"Valid","Invalid")</f>
        <v>Valid</v>
      </c>
      <c r="AR1973" t="str">
        <f t="shared" si="400"/>
        <v>Valid</v>
      </c>
      <c r="AS1973" t="str">
        <f t="shared" si="401"/>
        <v>Valid</v>
      </c>
    </row>
    <row r="1974" spans="1:45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 t="str">
        <f t="shared" si="390"/>
        <v>Ok</v>
      </c>
      <c r="AE1974" t="str">
        <f>IF(AND(Audit_Data[[#This Row],[Year_Birth]]&gt;=1900,Audit_Data[[#This Row],[Year_Birth]]&lt;=2010),"OK","Invalid")</f>
        <v>OK</v>
      </c>
      <c r="AF1974" t="str">
        <f t="shared" si="391"/>
        <v>Valid</v>
      </c>
      <c r="AG1974" t="str">
        <f t="shared" si="392"/>
        <v>Valid</v>
      </c>
      <c r="AH1974" t="str">
        <f t="shared" si="393"/>
        <v>Valid</v>
      </c>
      <c r="AI1974" t="str">
        <f t="shared" si="394"/>
        <v>Valid</v>
      </c>
      <c r="AJ1974" t="str">
        <f t="shared" si="395"/>
        <v>Valid</v>
      </c>
      <c r="AK1974" t="str">
        <f t="shared" si="402"/>
        <v xml:space="preserve">Valid </v>
      </c>
      <c r="AL1974" t="str">
        <f>IF(AND(Audit_Data[[#This Row],[Recency]]&gt;=0,Audit_Data[[#This Row],[Recency]]&lt;=100),"Valid","Invalid")</f>
        <v>Valid</v>
      </c>
      <c r="AM1974" t="str">
        <f t="shared" si="396"/>
        <v>Valid</v>
      </c>
      <c r="AN1974" t="str">
        <f t="shared" si="397"/>
        <v>Valid</v>
      </c>
      <c r="AO1974" t="str">
        <f t="shared" si="398"/>
        <v>Valid</v>
      </c>
      <c r="AP1974" t="str">
        <f t="shared" si="399"/>
        <v>Valid</v>
      </c>
      <c r="AQ1974" t="str">
        <f>IF(Audit_Data[[#This Row],[Z_CostContact]]=3,"Valid","Invalid")</f>
        <v>Valid</v>
      </c>
      <c r="AR1974" t="str">
        <f t="shared" si="400"/>
        <v>Valid</v>
      </c>
      <c r="AS1974" t="str">
        <f t="shared" si="401"/>
        <v>Valid</v>
      </c>
    </row>
    <row r="1975" spans="1:45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 t="str">
        <f t="shared" si="390"/>
        <v>Ok</v>
      </c>
      <c r="AE1975" t="str">
        <f>IF(AND(Audit_Data[[#This Row],[Year_Birth]]&gt;=1900,Audit_Data[[#This Row],[Year_Birth]]&lt;=2010),"OK","Invalid")</f>
        <v>OK</v>
      </c>
      <c r="AF1975" t="str">
        <f t="shared" si="391"/>
        <v>Valid</v>
      </c>
      <c r="AG1975" t="str">
        <f t="shared" si="392"/>
        <v>Valid</v>
      </c>
      <c r="AH1975" t="str">
        <f t="shared" si="393"/>
        <v>Valid</v>
      </c>
      <c r="AI1975" t="str">
        <f t="shared" si="394"/>
        <v>Valid</v>
      </c>
      <c r="AJ1975" t="str">
        <f t="shared" si="395"/>
        <v>Valid</v>
      </c>
      <c r="AK1975" t="str">
        <f t="shared" si="402"/>
        <v xml:space="preserve">Valid </v>
      </c>
      <c r="AL1975" t="str">
        <f>IF(AND(Audit_Data[[#This Row],[Recency]]&gt;=0,Audit_Data[[#This Row],[Recency]]&lt;=100),"Valid","Invalid")</f>
        <v>Valid</v>
      </c>
      <c r="AM1975" t="str">
        <f t="shared" si="396"/>
        <v>Valid</v>
      </c>
      <c r="AN1975" t="str">
        <f t="shared" si="397"/>
        <v>Valid</v>
      </c>
      <c r="AO1975" t="str">
        <f t="shared" si="398"/>
        <v>Valid</v>
      </c>
      <c r="AP1975" t="str">
        <f t="shared" si="399"/>
        <v>Valid</v>
      </c>
      <c r="AQ1975" t="str">
        <f>IF(Audit_Data[[#This Row],[Z_CostContact]]=3,"Valid","Invalid")</f>
        <v>Valid</v>
      </c>
      <c r="AR1975" t="str">
        <f t="shared" si="400"/>
        <v>Valid</v>
      </c>
      <c r="AS1975" t="str">
        <f t="shared" si="401"/>
        <v>Valid</v>
      </c>
    </row>
    <row r="1976" spans="1:45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 t="str">
        <f t="shared" si="390"/>
        <v>Ok</v>
      </c>
      <c r="AE1976" t="str">
        <f>IF(AND(Audit_Data[[#This Row],[Year_Birth]]&gt;=1900,Audit_Data[[#This Row],[Year_Birth]]&lt;=2010),"OK","Invalid")</f>
        <v>OK</v>
      </c>
      <c r="AF1976" t="str">
        <f t="shared" si="391"/>
        <v>Valid</v>
      </c>
      <c r="AG1976" t="str">
        <f t="shared" si="392"/>
        <v>Valid</v>
      </c>
      <c r="AH1976" t="str">
        <f t="shared" si="393"/>
        <v>Valid</v>
      </c>
      <c r="AI1976" t="str">
        <f t="shared" si="394"/>
        <v>Valid</v>
      </c>
      <c r="AJ1976" t="str">
        <f t="shared" si="395"/>
        <v>Valid</v>
      </c>
      <c r="AK1976" t="str">
        <f t="shared" si="402"/>
        <v xml:space="preserve">Valid </v>
      </c>
      <c r="AL1976" t="str">
        <f>IF(AND(Audit_Data[[#This Row],[Recency]]&gt;=0,Audit_Data[[#This Row],[Recency]]&lt;=100),"Valid","Invalid")</f>
        <v>Valid</v>
      </c>
      <c r="AM1976" t="str">
        <f t="shared" si="396"/>
        <v>Valid</v>
      </c>
      <c r="AN1976" t="str">
        <f t="shared" si="397"/>
        <v>Valid</v>
      </c>
      <c r="AO1976" t="str">
        <f t="shared" si="398"/>
        <v>Valid</v>
      </c>
      <c r="AP1976" t="str">
        <f t="shared" si="399"/>
        <v>Valid</v>
      </c>
      <c r="AQ1976" t="str">
        <f>IF(Audit_Data[[#This Row],[Z_CostContact]]=3,"Valid","Invalid")</f>
        <v>Valid</v>
      </c>
      <c r="AR1976" t="str">
        <f t="shared" si="400"/>
        <v>Valid</v>
      </c>
      <c r="AS1976" t="str">
        <f t="shared" si="401"/>
        <v>Valid</v>
      </c>
    </row>
    <row r="1977" spans="1:45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 t="str">
        <f t="shared" si="390"/>
        <v>Ok</v>
      </c>
      <c r="AE1977" t="str">
        <f>IF(AND(Audit_Data[[#This Row],[Year_Birth]]&gt;=1900,Audit_Data[[#This Row],[Year_Birth]]&lt;=2010),"OK","Invalid")</f>
        <v>OK</v>
      </c>
      <c r="AF1977" t="str">
        <f t="shared" si="391"/>
        <v>Valid</v>
      </c>
      <c r="AG1977" t="str">
        <f t="shared" si="392"/>
        <v>Valid</v>
      </c>
      <c r="AH1977" t="str">
        <f t="shared" si="393"/>
        <v>Valid</v>
      </c>
      <c r="AI1977" t="str">
        <f t="shared" si="394"/>
        <v>Valid</v>
      </c>
      <c r="AJ1977" t="str">
        <f t="shared" si="395"/>
        <v>Valid</v>
      </c>
      <c r="AK1977" t="str">
        <f t="shared" si="402"/>
        <v xml:space="preserve">Valid </v>
      </c>
      <c r="AL1977" t="str">
        <f>IF(AND(Audit_Data[[#This Row],[Recency]]&gt;=0,Audit_Data[[#This Row],[Recency]]&lt;=100),"Valid","Invalid")</f>
        <v>Valid</v>
      </c>
      <c r="AM1977" t="str">
        <f t="shared" si="396"/>
        <v>Valid</v>
      </c>
      <c r="AN1977" t="str">
        <f t="shared" si="397"/>
        <v>Valid</v>
      </c>
      <c r="AO1977" t="str">
        <f t="shared" si="398"/>
        <v>Valid</v>
      </c>
      <c r="AP1977" t="str">
        <f t="shared" si="399"/>
        <v>Valid</v>
      </c>
      <c r="AQ1977" t="str">
        <f>IF(Audit_Data[[#This Row],[Z_CostContact]]=3,"Valid","Invalid")</f>
        <v>Valid</v>
      </c>
      <c r="AR1977" t="str">
        <f t="shared" si="400"/>
        <v>Valid</v>
      </c>
      <c r="AS1977" t="str">
        <f t="shared" si="401"/>
        <v>Valid</v>
      </c>
    </row>
    <row r="1978" spans="1:45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 t="str">
        <f t="shared" si="390"/>
        <v>Ok</v>
      </c>
      <c r="AE1978" t="str">
        <f>IF(AND(Audit_Data[[#This Row],[Year_Birth]]&gt;=1900,Audit_Data[[#This Row],[Year_Birth]]&lt;=2010),"OK","Invalid")</f>
        <v>OK</v>
      </c>
      <c r="AF1978" t="str">
        <f t="shared" si="391"/>
        <v>Valid</v>
      </c>
      <c r="AG1978" t="str">
        <f t="shared" si="392"/>
        <v>Valid</v>
      </c>
      <c r="AH1978" t="str">
        <f t="shared" si="393"/>
        <v>Valid</v>
      </c>
      <c r="AI1978" t="str">
        <f t="shared" si="394"/>
        <v>Valid</v>
      </c>
      <c r="AJ1978" t="str">
        <f t="shared" si="395"/>
        <v>Valid</v>
      </c>
      <c r="AK1978" t="str">
        <f t="shared" si="402"/>
        <v xml:space="preserve">Valid </v>
      </c>
      <c r="AL1978" t="str">
        <f>IF(AND(Audit_Data[[#This Row],[Recency]]&gt;=0,Audit_Data[[#This Row],[Recency]]&lt;=100),"Valid","Invalid")</f>
        <v>Valid</v>
      </c>
      <c r="AM1978" t="str">
        <f t="shared" si="396"/>
        <v>Valid</v>
      </c>
      <c r="AN1978" t="str">
        <f t="shared" si="397"/>
        <v>Valid</v>
      </c>
      <c r="AO1978" t="str">
        <f t="shared" si="398"/>
        <v>Valid</v>
      </c>
      <c r="AP1978" t="str">
        <f t="shared" si="399"/>
        <v>Valid</v>
      </c>
      <c r="AQ1978" t="str">
        <f>IF(Audit_Data[[#This Row],[Z_CostContact]]=3,"Valid","Invalid")</f>
        <v>Valid</v>
      </c>
      <c r="AR1978" t="str">
        <f t="shared" si="400"/>
        <v>Valid</v>
      </c>
      <c r="AS1978" t="str">
        <f t="shared" si="401"/>
        <v>Valid</v>
      </c>
    </row>
    <row r="1979" spans="1:45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 t="str">
        <f t="shared" si="390"/>
        <v>Ok</v>
      </c>
      <c r="AE1979" t="str">
        <f>IF(AND(Audit_Data[[#This Row],[Year_Birth]]&gt;=1900,Audit_Data[[#This Row],[Year_Birth]]&lt;=2010),"OK","Invalid")</f>
        <v>OK</v>
      </c>
      <c r="AF1979" t="str">
        <f t="shared" si="391"/>
        <v>Valid</v>
      </c>
      <c r="AG1979" t="str">
        <f t="shared" si="392"/>
        <v>Valid</v>
      </c>
      <c r="AH1979" t="str">
        <f t="shared" si="393"/>
        <v>Valid</v>
      </c>
      <c r="AI1979" t="str">
        <f t="shared" si="394"/>
        <v>Valid</v>
      </c>
      <c r="AJ1979" t="str">
        <f t="shared" si="395"/>
        <v>Valid</v>
      </c>
      <c r="AK1979" t="str">
        <f t="shared" si="402"/>
        <v xml:space="preserve">Valid </v>
      </c>
      <c r="AL1979" t="str">
        <f>IF(AND(Audit_Data[[#This Row],[Recency]]&gt;=0,Audit_Data[[#This Row],[Recency]]&lt;=100),"Valid","Invalid")</f>
        <v>Valid</v>
      </c>
      <c r="AM1979" t="str">
        <f t="shared" si="396"/>
        <v>Valid</v>
      </c>
      <c r="AN1979" t="str">
        <f t="shared" si="397"/>
        <v>Valid</v>
      </c>
      <c r="AO1979" t="str">
        <f t="shared" si="398"/>
        <v>Valid</v>
      </c>
      <c r="AP1979" t="str">
        <f t="shared" si="399"/>
        <v>Valid</v>
      </c>
      <c r="AQ1979" t="str">
        <f>IF(Audit_Data[[#This Row],[Z_CostContact]]=3,"Valid","Invalid")</f>
        <v>Valid</v>
      </c>
      <c r="AR1979" t="str">
        <f t="shared" si="400"/>
        <v>Valid</v>
      </c>
      <c r="AS1979" t="str">
        <f t="shared" si="401"/>
        <v>Valid</v>
      </c>
    </row>
    <row r="1980" spans="1:45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 t="str">
        <f t="shared" si="390"/>
        <v>Ok</v>
      </c>
      <c r="AE1980" t="str">
        <f>IF(AND(Audit_Data[[#This Row],[Year_Birth]]&gt;=1900,Audit_Data[[#This Row],[Year_Birth]]&lt;=2010),"OK","Invalid")</f>
        <v>OK</v>
      </c>
      <c r="AF1980" t="str">
        <f t="shared" si="391"/>
        <v>Valid</v>
      </c>
      <c r="AG1980" t="str">
        <f t="shared" si="392"/>
        <v>Valid</v>
      </c>
      <c r="AH1980" t="str">
        <f t="shared" si="393"/>
        <v>Valid</v>
      </c>
      <c r="AI1980" t="str">
        <f t="shared" si="394"/>
        <v>Valid</v>
      </c>
      <c r="AJ1980" t="str">
        <f t="shared" si="395"/>
        <v>Valid</v>
      </c>
      <c r="AK1980" t="str">
        <f t="shared" si="402"/>
        <v xml:space="preserve">Valid </v>
      </c>
      <c r="AL1980" t="str">
        <f>IF(AND(Audit_Data[[#This Row],[Recency]]&gt;=0,Audit_Data[[#This Row],[Recency]]&lt;=100),"Valid","Invalid")</f>
        <v>Valid</v>
      </c>
      <c r="AM1980" t="str">
        <f t="shared" si="396"/>
        <v>Valid</v>
      </c>
      <c r="AN1980" t="str">
        <f t="shared" si="397"/>
        <v>Valid</v>
      </c>
      <c r="AO1980" t="str">
        <f t="shared" si="398"/>
        <v>Valid</v>
      </c>
      <c r="AP1980" t="str">
        <f t="shared" si="399"/>
        <v>Valid</v>
      </c>
      <c r="AQ1980" t="str">
        <f>IF(Audit_Data[[#This Row],[Z_CostContact]]=3,"Valid","Invalid")</f>
        <v>Valid</v>
      </c>
      <c r="AR1980" t="str">
        <f t="shared" si="400"/>
        <v>Valid</v>
      </c>
      <c r="AS1980" t="str">
        <f t="shared" si="401"/>
        <v>Valid</v>
      </c>
    </row>
    <row r="1981" spans="1:45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 t="str">
        <f t="shared" si="390"/>
        <v>Ok</v>
      </c>
      <c r="AE1981" t="str">
        <f>IF(AND(Audit_Data[[#This Row],[Year_Birth]]&gt;=1900,Audit_Data[[#This Row],[Year_Birth]]&lt;=2010),"OK","Invalid")</f>
        <v>OK</v>
      </c>
      <c r="AF1981" t="str">
        <f t="shared" si="391"/>
        <v>Valid</v>
      </c>
      <c r="AG1981" t="str">
        <f t="shared" si="392"/>
        <v>Valid</v>
      </c>
      <c r="AH1981" t="str">
        <f t="shared" si="393"/>
        <v>Valid</v>
      </c>
      <c r="AI1981" t="str">
        <f t="shared" si="394"/>
        <v>Valid</v>
      </c>
      <c r="AJ1981" t="str">
        <f t="shared" si="395"/>
        <v>Valid</v>
      </c>
      <c r="AK1981" t="str">
        <f t="shared" si="402"/>
        <v xml:space="preserve">Valid </v>
      </c>
      <c r="AL1981" t="str">
        <f>IF(AND(Audit_Data[[#This Row],[Recency]]&gt;=0,Audit_Data[[#This Row],[Recency]]&lt;=100),"Valid","Invalid")</f>
        <v>Valid</v>
      </c>
      <c r="AM1981" t="str">
        <f t="shared" si="396"/>
        <v>Valid</v>
      </c>
      <c r="AN1981" t="str">
        <f t="shared" si="397"/>
        <v>Valid</v>
      </c>
      <c r="AO1981" t="str">
        <f t="shared" si="398"/>
        <v>Valid</v>
      </c>
      <c r="AP1981" t="str">
        <f t="shared" si="399"/>
        <v>Valid</v>
      </c>
      <c r="AQ1981" t="str">
        <f>IF(Audit_Data[[#This Row],[Z_CostContact]]=3,"Valid","Invalid")</f>
        <v>Valid</v>
      </c>
      <c r="AR1981" t="str">
        <f t="shared" si="400"/>
        <v>Valid</v>
      </c>
      <c r="AS1981" t="str">
        <f t="shared" si="401"/>
        <v>Valid</v>
      </c>
    </row>
    <row r="1982" spans="1:45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 t="str">
        <f t="shared" si="390"/>
        <v>Ok</v>
      </c>
      <c r="AE1982" t="str">
        <f>IF(AND(Audit_Data[[#This Row],[Year_Birth]]&gt;=1900,Audit_Data[[#This Row],[Year_Birth]]&lt;=2010),"OK","Invalid")</f>
        <v>OK</v>
      </c>
      <c r="AF1982" t="str">
        <f t="shared" si="391"/>
        <v>Valid</v>
      </c>
      <c r="AG1982" t="str">
        <f t="shared" si="392"/>
        <v>Valid</v>
      </c>
      <c r="AH1982" t="str">
        <f t="shared" si="393"/>
        <v>Valid</v>
      </c>
      <c r="AI1982" t="str">
        <f t="shared" si="394"/>
        <v>Valid</v>
      </c>
      <c r="AJ1982" t="str">
        <f t="shared" si="395"/>
        <v>Valid</v>
      </c>
      <c r="AK1982" t="str">
        <f t="shared" si="402"/>
        <v xml:space="preserve">Valid </v>
      </c>
      <c r="AL1982" t="str">
        <f>IF(AND(Audit_Data[[#This Row],[Recency]]&gt;=0,Audit_Data[[#This Row],[Recency]]&lt;=100),"Valid","Invalid")</f>
        <v>Valid</v>
      </c>
      <c r="AM1982" t="str">
        <f t="shared" si="396"/>
        <v>Valid</v>
      </c>
      <c r="AN1982" t="str">
        <f t="shared" si="397"/>
        <v>Valid</v>
      </c>
      <c r="AO1982" t="str">
        <f t="shared" si="398"/>
        <v>Valid</v>
      </c>
      <c r="AP1982" t="str">
        <f t="shared" si="399"/>
        <v>Valid</v>
      </c>
      <c r="AQ1982" t="str">
        <f>IF(Audit_Data[[#This Row],[Z_CostContact]]=3,"Valid","Invalid")</f>
        <v>Valid</v>
      </c>
      <c r="AR1982" t="str">
        <f t="shared" si="400"/>
        <v>Valid</v>
      </c>
      <c r="AS1982" t="str">
        <f t="shared" si="401"/>
        <v>Valid</v>
      </c>
    </row>
    <row r="1983" spans="1:45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 t="str">
        <f t="shared" si="390"/>
        <v>Ok</v>
      </c>
      <c r="AE1983" t="str">
        <f>IF(AND(Audit_Data[[#This Row],[Year_Birth]]&gt;=1900,Audit_Data[[#This Row],[Year_Birth]]&lt;=2010),"OK","Invalid")</f>
        <v>OK</v>
      </c>
      <c r="AF1983" t="str">
        <f t="shared" si="391"/>
        <v>Valid</v>
      </c>
      <c r="AG1983" t="str">
        <f t="shared" si="392"/>
        <v>Valid</v>
      </c>
      <c r="AH1983" t="str">
        <f t="shared" si="393"/>
        <v>Valid</v>
      </c>
      <c r="AI1983" t="str">
        <f t="shared" si="394"/>
        <v>Valid</v>
      </c>
      <c r="AJ1983" t="str">
        <f t="shared" si="395"/>
        <v>Valid</v>
      </c>
      <c r="AK1983" t="str">
        <f t="shared" si="402"/>
        <v xml:space="preserve">Valid </v>
      </c>
      <c r="AL1983" t="str">
        <f>IF(AND(Audit_Data[[#This Row],[Recency]]&gt;=0,Audit_Data[[#This Row],[Recency]]&lt;=100),"Valid","Invalid")</f>
        <v>Valid</v>
      </c>
      <c r="AM1983" t="str">
        <f t="shared" si="396"/>
        <v>Valid</v>
      </c>
      <c r="AN1983" t="str">
        <f t="shared" si="397"/>
        <v>Valid</v>
      </c>
      <c r="AO1983" t="str">
        <f t="shared" si="398"/>
        <v>Valid</v>
      </c>
      <c r="AP1983" t="str">
        <f t="shared" si="399"/>
        <v>Valid</v>
      </c>
      <c r="AQ1983" t="str">
        <f>IF(Audit_Data[[#This Row],[Z_CostContact]]=3,"Valid","Invalid")</f>
        <v>Valid</v>
      </c>
      <c r="AR1983" t="str">
        <f t="shared" si="400"/>
        <v>Valid</v>
      </c>
      <c r="AS1983" t="str">
        <f t="shared" si="401"/>
        <v>Valid</v>
      </c>
    </row>
    <row r="1984" spans="1:45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 t="str">
        <f t="shared" si="390"/>
        <v>Ok</v>
      </c>
      <c r="AE1984" t="str">
        <f>IF(AND(Audit_Data[[#This Row],[Year_Birth]]&gt;=1900,Audit_Data[[#This Row],[Year_Birth]]&lt;=2010),"OK","Invalid")</f>
        <v>OK</v>
      </c>
      <c r="AF1984" t="str">
        <f t="shared" si="391"/>
        <v>Valid</v>
      </c>
      <c r="AG1984" t="str">
        <f t="shared" si="392"/>
        <v>Valid</v>
      </c>
      <c r="AH1984" t="str">
        <f t="shared" si="393"/>
        <v>Valid</v>
      </c>
      <c r="AI1984" t="str">
        <f t="shared" si="394"/>
        <v>Valid</v>
      </c>
      <c r="AJ1984" t="str">
        <f t="shared" si="395"/>
        <v>Valid</v>
      </c>
      <c r="AK1984" t="str">
        <f t="shared" si="402"/>
        <v xml:space="preserve">Valid </v>
      </c>
      <c r="AL1984" t="str">
        <f>IF(AND(Audit_Data[[#This Row],[Recency]]&gt;=0,Audit_Data[[#This Row],[Recency]]&lt;=100),"Valid","Invalid")</f>
        <v>Valid</v>
      </c>
      <c r="AM1984" t="str">
        <f t="shared" si="396"/>
        <v>Valid</v>
      </c>
      <c r="AN1984" t="str">
        <f t="shared" si="397"/>
        <v>Valid</v>
      </c>
      <c r="AO1984" t="str">
        <f t="shared" si="398"/>
        <v>Valid</v>
      </c>
      <c r="AP1984" t="str">
        <f t="shared" si="399"/>
        <v>Valid</v>
      </c>
      <c r="AQ1984" t="str">
        <f>IF(Audit_Data[[#This Row],[Z_CostContact]]=3,"Valid","Invalid")</f>
        <v>Valid</v>
      </c>
      <c r="AR1984" t="str">
        <f t="shared" si="400"/>
        <v>Valid</v>
      </c>
      <c r="AS1984" t="str">
        <f t="shared" si="401"/>
        <v>Valid</v>
      </c>
    </row>
    <row r="1985" spans="1:45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 t="str">
        <f t="shared" si="390"/>
        <v>Ok</v>
      </c>
      <c r="AE1985" t="str">
        <f>IF(AND(Audit_Data[[#This Row],[Year_Birth]]&gt;=1900,Audit_Data[[#This Row],[Year_Birth]]&lt;=2010),"OK","Invalid")</f>
        <v>OK</v>
      </c>
      <c r="AF1985" t="str">
        <f t="shared" si="391"/>
        <v>Valid</v>
      </c>
      <c r="AG1985" t="str">
        <f t="shared" si="392"/>
        <v>Valid</v>
      </c>
      <c r="AH1985" t="str">
        <f t="shared" si="393"/>
        <v>Valid</v>
      </c>
      <c r="AI1985" t="str">
        <f t="shared" si="394"/>
        <v>Valid</v>
      </c>
      <c r="AJ1985" t="str">
        <f t="shared" si="395"/>
        <v>Valid</v>
      </c>
      <c r="AK1985" t="str">
        <f t="shared" si="402"/>
        <v xml:space="preserve">Valid </v>
      </c>
      <c r="AL1985" t="str">
        <f>IF(AND(Audit_Data[[#This Row],[Recency]]&gt;=0,Audit_Data[[#This Row],[Recency]]&lt;=100),"Valid","Invalid")</f>
        <v>Valid</v>
      </c>
      <c r="AM1985" t="str">
        <f t="shared" si="396"/>
        <v>Valid</v>
      </c>
      <c r="AN1985" t="str">
        <f t="shared" si="397"/>
        <v>Valid</v>
      </c>
      <c r="AO1985" t="str">
        <f t="shared" si="398"/>
        <v>Valid</v>
      </c>
      <c r="AP1985" t="str">
        <f t="shared" si="399"/>
        <v>Valid</v>
      </c>
      <c r="AQ1985" t="str">
        <f>IF(Audit_Data[[#This Row],[Z_CostContact]]=3,"Valid","Invalid")</f>
        <v>Valid</v>
      </c>
      <c r="AR1985" t="str">
        <f t="shared" si="400"/>
        <v>Valid</v>
      </c>
      <c r="AS1985" t="str">
        <f t="shared" si="401"/>
        <v>Valid</v>
      </c>
    </row>
    <row r="1986" spans="1:45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 t="str">
        <f t="shared" ref="AD1986:AD2049" si="403">IF(COUNTIF(A:A,A1986)&gt;1,"Duplicate","Ok")</f>
        <v>Ok</v>
      </c>
      <c r="AE1986" t="str">
        <f>IF(AND(Audit_Data[[#This Row],[Year_Birth]]&gt;=1900,Audit_Data[[#This Row],[Year_Birth]]&lt;=2010),"OK","Invalid")</f>
        <v>OK</v>
      </c>
      <c r="AF1986" t="str">
        <f t="shared" ref="AF1986:AF2049" si="404">IF(OR(C1986="Graduation",C1986="phD",C1986="Master",C1986="Basic",C1986="2n Cycle"),"Valid","Invalid")</f>
        <v>Valid</v>
      </c>
      <c r="AG1986" t="str">
        <f t="shared" ref="AG1986:AG2049" si="405">IF(OR(D1986="Single",D1986="Married",D1986="Divorced",D1986="Together",D1986="Widow",D1986="Alone"),"Valid","Invalid")</f>
        <v>Valid</v>
      </c>
      <c r="AH1986" t="str">
        <f t="shared" ref="AH1986:AH2049" si="406">IF(AND(ISNUMBER(E1986),E1986&lt;&gt;""),"Valid","Invalid")</f>
        <v>Valid</v>
      </c>
      <c r="AI1986" t="str">
        <f t="shared" ref="AI1986:AI2049" si="407">IF(AND(F1986&gt;=0,F1986&lt;=2),"Valid","Invalid")</f>
        <v>Valid</v>
      </c>
      <c r="AJ1986" t="str">
        <f t="shared" ref="AJ1986:AJ2049" si="408">IF(AND(G1986&gt;=0,G1986&lt;=2),"Valid","Invalid")</f>
        <v>Valid</v>
      </c>
      <c r="AK1986" t="str">
        <f t="shared" si="402"/>
        <v xml:space="preserve">Valid </v>
      </c>
      <c r="AL1986" t="str">
        <f>IF(AND(Audit_Data[[#This Row],[Recency]]&gt;=0,Audit_Data[[#This Row],[Recency]]&lt;=100),"Valid","Invalid")</f>
        <v>Valid</v>
      </c>
      <c r="AM1986" t="str">
        <f t="shared" ref="AM1986:AM2049" si="409">IF(AND(ISNUMBER(J1986),J1986&gt;=0,ISNUMBER(K1986),K1986&gt;=0,ISNUMBER(L1986),L1986&gt;=0,ISNUMBER(M1986),M1986&gt;=0,ISNUMBER(N1986),N1986&gt;=0,ISNUMBER(O1986),O1986&gt;=0),"Valid","Invalid")</f>
        <v>Valid</v>
      </c>
      <c r="AN1986" t="str">
        <f t="shared" ref="AN1986:AN2049" si="410">IF(AND(ISNUMBER(P1986),P1986&gt;=0,ISNUMBER(Q1986),Q1986&gt;=0,ISNUMBER(R1986),R1986&gt;=0,ISNUMBER(S1986),S1986&gt;=0,ISNUMBER(T1986),T1986&gt;=0),"Valid","Invalid")</f>
        <v>Valid</v>
      </c>
      <c r="AO1986" t="str">
        <f t="shared" ref="AO1986:AO2049" si="411">IF(AND(U1986&lt;=1,V1986&lt;=1,W1986&lt;=1,X1986&lt;=1,Y1986&lt;=1),"Valid","Invalid")</f>
        <v>Valid</v>
      </c>
      <c r="AP1986" t="str">
        <f t="shared" ref="AP1986:AP2049" si="412">IF(OR(Z1986=0,Z1986=1),"Valid","Invalid")</f>
        <v>Valid</v>
      </c>
      <c r="AQ1986" t="str">
        <f>IF(Audit_Data[[#This Row],[Z_CostContact]]=3,"Valid","Invalid")</f>
        <v>Valid</v>
      </c>
      <c r="AR1986" t="str">
        <f t="shared" ref="AR1986:AR2049" si="413">IF(AB1986=11,"Valid","Invalid")</f>
        <v>Valid</v>
      </c>
      <c r="AS1986" t="str">
        <f t="shared" ref="AS1986:AS2049" si="414">IF(OR(AC1986=0,AC1986=1),"Valid","Invalid")</f>
        <v>Valid</v>
      </c>
    </row>
    <row r="1987" spans="1:45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 t="str">
        <f t="shared" si="403"/>
        <v>Ok</v>
      </c>
      <c r="AE1987" t="str">
        <f>IF(AND(Audit_Data[[#This Row],[Year_Birth]]&gt;=1900,Audit_Data[[#This Row],[Year_Birth]]&lt;=2010),"OK","Invalid")</f>
        <v>OK</v>
      </c>
      <c r="AF1987" t="str">
        <f t="shared" si="404"/>
        <v>Valid</v>
      </c>
      <c r="AG1987" t="str">
        <f t="shared" si="405"/>
        <v>Valid</v>
      </c>
      <c r="AH1987" t="str">
        <f t="shared" si="406"/>
        <v>Valid</v>
      </c>
      <c r="AI1987" t="str">
        <f t="shared" si="407"/>
        <v>Valid</v>
      </c>
      <c r="AJ1987" t="str">
        <f t="shared" si="408"/>
        <v>Valid</v>
      </c>
      <c r="AK1987" t="str">
        <f t="shared" ref="AK1987:AK2050" si="415">IF(AND(ISNUMBER(H1987),H1987&gt;=DATE(2012,1,1),H1987&lt;=DATE(2014,12,31)),"Valid ","Invalid")</f>
        <v xml:space="preserve">Valid </v>
      </c>
      <c r="AL1987" t="str">
        <f>IF(AND(Audit_Data[[#This Row],[Recency]]&gt;=0,Audit_Data[[#This Row],[Recency]]&lt;=100),"Valid","Invalid")</f>
        <v>Valid</v>
      </c>
      <c r="AM1987" t="str">
        <f t="shared" si="409"/>
        <v>Valid</v>
      </c>
      <c r="AN1987" t="str">
        <f t="shared" si="410"/>
        <v>Valid</v>
      </c>
      <c r="AO1987" t="str">
        <f t="shared" si="411"/>
        <v>Valid</v>
      </c>
      <c r="AP1987" t="str">
        <f t="shared" si="412"/>
        <v>Valid</v>
      </c>
      <c r="AQ1987" t="str">
        <f>IF(Audit_Data[[#This Row],[Z_CostContact]]=3,"Valid","Invalid")</f>
        <v>Valid</v>
      </c>
      <c r="AR1987" t="str">
        <f t="shared" si="413"/>
        <v>Valid</v>
      </c>
      <c r="AS1987" t="str">
        <f t="shared" si="414"/>
        <v>Valid</v>
      </c>
    </row>
    <row r="1988" spans="1:45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 t="str">
        <f t="shared" si="403"/>
        <v>Ok</v>
      </c>
      <c r="AE1988" t="str">
        <f>IF(AND(Audit_Data[[#This Row],[Year_Birth]]&gt;=1900,Audit_Data[[#This Row],[Year_Birth]]&lt;=2010),"OK","Invalid")</f>
        <v>OK</v>
      </c>
      <c r="AF1988" t="str">
        <f t="shared" si="404"/>
        <v>Valid</v>
      </c>
      <c r="AG1988" t="str">
        <f t="shared" si="405"/>
        <v>Valid</v>
      </c>
      <c r="AH1988" t="str">
        <f t="shared" si="406"/>
        <v>Valid</v>
      </c>
      <c r="AI1988" t="str">
        <f t="shared" si="407"/>
        <v>Valid</v>
      </c>
      <c r="AJ1988" t="str">
        <f t="shared" si="408"/>
        <v>Valid</v>
      </c>
      <c r="AK1988" t="str">
        <f t="shared" si="415"/>
        <v xml:space="preserve">Valid </v>
      </c>
      <c r="AL1988" t="str">
        <f>IF(AND(Audit_Data[[#This Row],[Recency]]&gt;=0,Audit_Data[[#This Row],[Recency]]&lt;=100),"Valid","Invalid")</f>
        <v>Valid</v>
      </c>
      <c r="AM1988" t="str">
        <f t="shared" si="409"/>
        <v>Valid</v>
      </c>
      <c r="AN1988" t="str">
        <f t="shared" si="410"/>
        <v>Valid</v>
      </c>
      <c r="AO1988" t="str">
        <f t="shared" si="411"/>
        <v>Valid</v>
      </c>
      <c r="AP1988" t="str">
        <f t="shared" si="412"/>
        <v>Valid</v>
      </c>
      <c r="AQ1988" t="str">
        <f>IF(Audit_Data[[#This Row],[Z_CostContact]]=3,"Valid","Invalid")</f>
        <v>Valid</v>
      </c>
      <c r="AR1988" t="str">
        <f t="shared" si="413"/>
        <v>Valid</v>
      </c>
      <c r="AS1988" t="str">
        <f t="shared" si="414"/>
        <v>Valid</v>
      </c>
    </row>
    <row r="1989" spans="1:45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 t="str">
        <f t="shared" si="403"/>
        <v>Ok</v>
      </c>
      <c r="AE1989" t="str">
        <f>IF(AND(Audit_Data[[#This Row],[Year_Birth]]&gt;=1900,Audit_Data[[#This Row],[Year_Birth]]&lt;=2010),"OK","Invalid")</f>
        <v>OK</v>
      </c>
      <c r="AF1989" t="str">
        <f t="shared" si="404"/>
        <v>Valid</v>
      </c>
      <c r="AG1989" t="str">
        <f t="shared" si="405"/>
        <v>Valid</v>
      </c>
      <c r="AH1989" t="str">
        <f t="shared" si="406"/>
        <v>Valid</v>
      </c>
      <c r="AI1989" t="str">
        <f t="shared" si="407"/>
        <v>Valid</v>
      </c>
      <c r="AJ1989" t="str">
        <f t="shared" si="408"/>
        <v>Valid</v>
      </c>
      <c r="AK1989" t="str">
        <f t="shared" si="415"/>
        <v xml:space="preserve">Valid </v>
      </c>
      <c r="AL1989" t="str">
        <f>IF(AND(Audit_Data[[#This Row],[Recency]]&gt;=0,Audit_Data[[#This Row],[Recency]]&lt;=100),"Valid","Invalid")</f>
        <v>Valid</v>
      </c>
      <c r="AM1989" t="str">
        <f t="shared" si="409"/>
        <v>Valid</v>
      </c>
      <c r="AN1989" t="str">
        <f t="shared" si="410"/>
        <v>Valid</v>
      </c>
      <c r="AO1989" t="str">
        <f t="shared" si="411"/>
        <v>Valid</v>
      </c>
      <c r="AP1989" t="str">
        <f t="shared" si="412"/>
        <v>Valid</v>
      </c>
      <c r="AQ1989" t="str">
        <f>IF(Audit_Data[[#This Row],[Z_CostContact]]=3,"Valid","Invalid")</f>
        <v>Valid</v>
      </c>
      <c r="AR1989" t="str">
        <f t="shared" si="413"/>
        <v>Valid</v>
      </c>
      <c r="AS1989" t="str">
        <f t="shared" si="414"/>
        <v>Valid</v>
      </c>
    </row>
    <row r="1990" spans="1:45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 t="str">
        <f t="shared" si="403"/>
        <v>Ok</v>
      </c>
      <c r="AE1990" t="str">
        <f>IF(AND(Audit_Data[[#This Row],[Year_Birth]]&gt;=1900,Audit_Data[[#This Row],[Year_Birth]]&lt;=2010),"OK","Invalid")</f>
        <v>OK</v>
      </c>
      <c r="AF1990" t="str">
        <f t="shared" si="404"/>
        <v>Valid</v>
      </c>
      <c r="AG1990" t="str">
        <f t="shared" si="405"/>
        <v>Valid</v>
      </c>
      <c r="AH1990" t="str">
        <f t="shared" si="406"/>
        <v>Valid</v>
      </c>
      <c r="AI1990" t="str">
        <f t="shared" si="407"/>
        <v>Valid</v>
      </c>
      <c r="AJ1990" t="str">
        <f t="shared" si="408"/>
        <v>Valid</v>
      </c>
      <c r="AK1990" t="str">
        <f t="shared" si="415"/>
        <v xml:space="preserve">Valid </v>
      </c>
      <c r="AL1990" t="str">
        <f>IF(AND(Audit_Data[[#This Row],[Recency]]&gt;=0,Audit_Data[[#This Row],[Recency]]&lt;=100),"Valid","Invalid")</f>
        <v>Valid</v>
      </c>
      <c r="AM1990" t="str">
        <f t="shared" si="409"/>
        <v>Valid</v>
      </c>
      <c r="AN1990" t="str">
        <f t="shared" si="410"/>
        <v>Valid</v>
      </c>
      <c r="AO1990" t="str">
        <f t="shared" si="411"/>
        <v>Valid</v>
      </c>
      <c r="AP1990" t="str">
        <f t="shared" si="412"/>
        <v>Valid</v>
      </c>
      <c r="AQ1990" t="str">
        <f>IF(Audit_Data[[#This Row],[Z_CostContact]]=3,"Valid","Invalid")</f>
        <v>Valid</v>
      </c>
      <c r="AR1990" t="str">
        <f t="shared" si="413"/>
        <v>Valid</v>
      </c>
      <c r="AS1990" t="str">
        <f t="shared" si="414"/>
        <v>Valid</v>
      </c>
    </row>
    <row r="1991" spans="1:45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 t="str">
        <f t="shared" si="403"/>
        <v>Ok</v>
      </c>
      <c r="AE1991" t="str">
        <f>IF(AND(Audit_Data[[#This Row],[Year_Birth]]&gt;=1900,Audit_Data[[#This Row],[Year_Birth]]&lt;=2010),"OK","Invalid")</f>
        <v>OK</v>
      </c>
      <c r="AF1991" t="str">
        <f t="shared" si="404"/>
        <v>Valid</v>
      </c>
      <c r="AG1991" t="str">
        <f t="shared" si="405"/>
        <v>Valid</v>
      </c>
      <c r="AH1991" t="str">
        <f t="shared" si="406"/>
        <v>Valid</v>
      </c>
      <c r="AI1991" t="str">
        <f t="shared" si="407"/>
        <v>Valid</v>
      </c>
      <c r="AJ1991" t="str">
        <f t="shared" si="408"/>
        <v>Valid</v>
      </c>
      <c r="AK1991" t="str">
        <f t="shared" si="415"/>
        <v xml:space="preserve">Valid </v>
      </c>
      <c r="AL1991" t="str">
        <f>IF(AND(Audit_Data[[#This Row],[Recency]]&gt;=0,Audit_Data[[#This Row],[Recency]]&lt;=100),"Valid","Invalid")</f>
        <v>Valid</v>
      </c>
      <c r="AM1991" t="str">
        <f t="shared" si="409"/>
        <v>Valid</v>
      </c>
      <c r="AN1991" t="str">
        <f t="shared" si="410"/>
        <v>Valid</v>
      </c>
      <c r="AO1991" t="str">
        <f t="shared" si="411"/>
        <v>Valid</v>
      </c>
      <c r="AP1991" t="str">
        <f t="shared" si="412"/>
        <v>Valid</v>
      </c>
      <c r="AQ1991" t="str">
        <f>IF(Audit_Data[[#This Row],[Z_CostContact]]=3,"Valid","Invalid")</f>
        <v>Valid</v>
      </c>
      <c r="AR1991" t="str">
        <f t="shared" si="413"/>
        <v>Valid</v>
      </c>
      <c r="AS1991" t="str">
        <f t="shared" si="414"/>
        <v>Valid</v>
      </c>
    </row>
    <row r="1992" spans="1:45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 t="str">
        <f t="shared" si="403"/>
        <v>Ok</v>
      </c>
      <c r="AE1992" t="str">
        <f>IF(AND(Audit_Data[[#This Row],[Year_Birth]]&gt;=1900,Audit_Data[[#This Row],[Year_Birth]]&lt;=2010),"OK","Invalid")</f>
        <v>OK</v>
      </c>
      <c r="AF1992" t="str">
        <f t="shared" si="404"/>
        <v>Valid</v>
      </c>
      <c r="AG1992" t="str">
        <f t="shared" si="405"/>
        <v>Valid</v>
      </c>
      <c r="AH1992" t="str">
        <f t="shared" si="406"/>
        <v>Valid</v>
      </c>
      <c r="AI1992" t="str">
        <f t="shared" si="407"/>
        <v>Valid</v>
      </c>
      <c r="AJ1992" t="str">
        <f t="shared" si="408"/>
        <v>Valid</v>
      </c>
      <c r="AK1992" t="str">
        <f t="shared" si="415"/>
        <v xml:space="preserve">Valid </v>
      </c>
      <c r="AL1992" t="str">
        <f>IF(AND(Audit_Data[[#This Row],[Recency]]&gt;=0,Audit_Data[[#This Row],[Recency]]&lt;=100),"Valid","Invalid")</f>
        <v>Valid</v>
      </c>
      <c r="AM1992" t="str">
        <f t="shared" si="409"/>
        <v>Valid</v>
      </c>
      <c r="AN1992" t="str">
        <f t="shared" si="410"/>
        <v>Valid</v>
      </c>
      <c r="AO1992" t="str">
        <f t="shared" si="411"/>
        <v>Valid</v>
      </c>
      <c r="AP1992" t="str">
        <f t="shared" si="412"/>
        <v>Valid</v>
      </c>
      <c r="AQ1992" t="str">
        <f>IF(Audit_Data[[#This Row],[Z_CostContact]]=3,"Valid","Invalid")</f>
        <v>Valid</v>
      </c>
      <c r="AR1992" t="str">
        <f t="shared" si="413"/>
        <v>Valid</v>
      </c>
      <c r="AS1992" t="str">
        <f t="shared" si="414"/>
        <v>Valid</v>
      </c>
    </row>
    <row r="1993" spans="1:45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 t="str">
        <f t="shared" si="403"/>
        <v>Ok</v>
      </c>
      <c r="AE1993" t="str">
        <f>IF(AND(Audit_Data[[#This Row],[Year_Birth]]&gt;=1900,Audit_Data[[#This Row],[Year_Birth]]&lt;=2010),"OK","Invalid")</f>
        <v>OK</v>
      </c>
      <c r="AF1993" t="str">
        <f t="shared" si="404"/>
        <v>Valid</v>
      </c>
      <c r="AG1993" t="str">
        <f t="shared" si="405"/>
        <v>Valid</v>
      </c>
      <c r="AH1993" t="str">
        <f t="shared" si="406"/>
        <v>Valid</v>
      </c>
      <c r="AI1993" t="str">
        <f t="shared" si="407"/>
        <v>Valid</v>
      </c>
      <c r="AJ1993" t="str">
        <f t="shared" si="408"/>
        <v>Valid</v>
      </c>
      <c r="AK1993" t="str">
        <f t="shared" si="415"/>
        <v xml:space="preserve">Valid </v>
      </c>
      <c r="AL1993" t="str">
        <f>IF(AND(Audit_Data[[#This Row],[Recency]]&gt;=0,Audit_Data[[#This Row],[Recency]]&lt;=100),"Valid","Invalid")</f>
        <v>Valid</v>
      </c>
      <c r="AM1993" t="str">
        <f t="shared" si="409"/>
        <v>Valid</v>
      </c>
      <c r="AN1993" t="str">
        <f t="shared" si="410"/>
        <v>Valid</v>
      </c>
      <c r="AO1993" t="str">
        <f t="shared" si="411"/>
        <v>Valid</v>
      </c>
      <c r="AP1993" t="str">
        <f t="shared" si="412"/>
        <v>Valid</v>
      </c>
      <c r="AQ1993" t="str">
        <f>IF(Audit_Data[[#This Row],[Z_CostContact]]=3,"Valid","Invalid")</f>
        <v>Valid</v>
      </c>
      <c r="AR1993" t="str">
        <f t="shared" si="413"/>
        <v>Valid</v>
      </c>
      <c r="AS1993" t="str">
        <f t="shared" si="414"/>
        <v>Valid</v>
      </c>
    </row>
    <row r="1994" spans="1:45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 t="str">
        <f t="shared" si="403"/>
        <v>Ok</v>
      </c>
      <c r="AE1994" t="str">
        <f>IF(AND(Audit_Data[[#This Row],[Year_Birth]]&gt;=1900,Audit_Data[[#This Row],[Year_Birth]]&lt;=2010),"OK","Invalid")</f>
        <v>OK</v>
      </c>
      <c r="AF1994" t="str">
        <f t="shared" si="404"/>
        <v>Valid</v>
      </c>
      <c r="AG1994" t="str">
        <f t="shared" si="405"/>
        <v>Valid</v>
      </c>
      <c r="AH1994" t="str">
        <f t="shared" si="406"/>
        <v>Valid</v>
      </c>
      <c r="AI1994" t="str">
        <f t="shared" si="407"/>
        <v>Valid</v>
      </c>
      <c r="AJ1994" t="str">
        <f t="shared" si="408"/>
        <v>Valid</v>
      </c>
      <c r="AK1994" t="str">
        <f t="shared" si="415"/>
        <v xml:space="preserve">Valid </v>
      </c>
      <c r="AL1994" t="str">
        <f>IF(AND(Audit_Data[[#This Row],[Recency]]&gt;=0,Audit_Data[[#This Row],[Recency]]&lt;=100),"Valid","Invalid")</f>
        <v>Valid</v>
      </c>
      <c r="AM1994" t="str">
        <f t="shared" si="409"/>
        <v>Valid</v>
      </c>
      <c r="AN1994" t="str">
        <f t="shared" si="410"/>
        <v>Valid</v>
      </c>
      <c r="AO1994" t="str">
        <f t="shared" si="411"/>
        <v>Valid</v>
      </c>
      <c r="AP1994" t="str">
        <f t="shared" si="412"/>
        <v>Valid</v>
      </c>
      <c r="AQ1994" t="str">
        <f>IF(Audit_Data[[#This Row],[Z_CostContact]]=3,"Valid","Invalid")</f>
        <v>Valid</v>
      </c>
      <c r="AR1994" t="str">
        <f t="shared" si="413"/>
        <v>Valid</v>
      </c>
      <c r="AS1994" t="str">
        <f t="shared" si="414"/>
        <v>Valid</v>
      </c>
    </row>
    <row r="1995" spans="1:45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 t="str">
        <f t="shared" si="403"/>
        <v>Ok</v>
      </c>
      <c r="AE1995" t="str">
        <f>IF(AND(Audit_Data[[#This Row],[Year_Birth]]&gt;=1900,Audit_Data[[#This Row],[Year_Birth]]&lt;=2010),"OK","Invalid")</f>
        <v>OK</v>
      </c>
      <c r="AF1995" t="str">
        <f t="shared" si="404"/>
        <v>Valid</v>
      </c>
      <c r="AG1995" t="str">
        <f t="shared" si="405"/>
        <v>Valid</v>
      </c>
      <c r="AH1995" t="str">
        <f t="shared" si="406"/>
        <v>Valid</v>
      </c>
      <c r="AI1995" t="str">
        <f t="shared" si="407"/>
        <v>Valid</v>
      </c>
      <c r="AJ1995" t="str">
        <f t="shared" si="408"/>
        <v>Valid</v>
      </c>
      <c r="AK1995" t="str">
        <f t="shared" si="415"/>
        <v xml:space="preserve">Valid </v>
      </c>
      <c r="AL1995" t="str">
        <f>IF(AND(Audit_Data[[#This Row],[Recency]]&gt;=0,Audit_Data[[#This Row],[Recency]]&lt;=100),"Valid","Invalid")</f>
        <v>Valid</v>
      </c>
      <c r="AM1995" t="str">
        <f t="shared" si="409"/>
        <v>Valid</v>
      </c>
      <c r="AN1995" t="str">
        <f t="shared" si="410"/>
        <v>Valid</v>
      </c>
      <c r="AO1995" t="str">
        <f t="shared" si="411"/>
        <v>Valid</v>
      </c>
      <c r="AP1995" t="str">
        <f t="shared" si="412"/>
        <v>Valid</v>
      </c>
      <c r="AQ1995" t="str">
        <f>IF(Audit_Data[[#This Row],[Z_CostContact]]=3,"Valid","Invalid")</f>
        <v>Valid</v>
      </c>
      <c r="AR1995" t="str">
        <f t="shared" si="413"/>
        <v>Valid</v>
      </c>
      <c r="AS1995" t="str">
        <f t="shared" si="414"/>
        <v>Valid</v>
      </c>
    </row>
    <row r="1996" spans="1:45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 t="str">
        <f t="shared" si="403"/>
        <v>Ok</v>
      </c>
      <c r="AE1996" t="str">
        <f>IF(AND(Audit_Data[[#This Row],[Year_Birth]]&gt;=1900,Audit_Data[[#This Row],[Year_Birth]]&lt;=2010),"OK","Invalid")</f>
        <v>OK</v>
      </c>
      <c r="AF1996" t="str">
        <f t="shared" si="404"/>
        <v>Valid</v>
      </c>
      <c r="AG1996" t="str">
        <f t="shared" si="405"/>
        <v>Valid</v>
      </c>
      <c r="AH1996" t="str">
        <f t="shared" si="406"/>
        <v>Valid</v>
      </c>
      <c r="AI1996" t="str">
        <f t="shared" si="407"/>
        <v>Valid</v>
      </c>
      <c r="AJ1996" t="str">
        <f t="shared" si="408"/>
        <v>Valid</v>
      </c>
      <c r="AK1996" t="str">
        <f t="shared" si="415"/>
        <v xml:space="preserve">Valid </v>
      </c>
      <c r="AL1996" t="str">
        <f>IF(AND(Audit_Data[[#This Row],[Recency]]&gt;=0,Audit_Data[[#This Row],[Recency]]&lt;=100),"Valid","Invalid")</f>
        <v>Valid</v>
      </c>
      <c r="AM1996" t="str">
        <f t="shared" si="409"/>
        <v>Valid</v>
      </c>
      <c r="AN1996" t="str">
        <f t="shared" si="410"/>
        <v>Valid</v>
      </c>
      <c r="AO1996" t="str">
        <f t="shared" si="411"/>
        <v>Valid</v>
      </c>
      <c r="AP1996" t="str">
        <f t="shared" si="412"/>
        <v>Valid</v>
      </c>
      <c r="AQ1996" t="str">
        <f>IF(Audit_Data[[#This Row],[Z_CostContact]]=3,"Valid","Invalid")</f>
        <v>Valid</v>
      </c>
      <c r="AR1996" t="str">
        <f t="shared" si="413"/>
        <v>Valid</v>
      </c>
      <c r="AS1996" t="str">
        <f t="shared" si="414"/>
        <v>Valid</v>
      </c>
    </row>
    <row r="1997" spans="1:45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 t="str">
        <f t="shared" si="403"/>
        <v>Ok</v>
      </c>
      <c r="AE1997" t="str">
        <f>IF(AND(Audit_Data[[#This Row],[Year_Birth]]&gt;=1900,Audit_Data[[#This Row],[Year_Birth]]&lt;=2010),"OK","Invalid")</f>
        <v>OK</v>
      </c>
      <c r="AF1997" t="str">
        <f t="shared" si="404"/>
        <v>Valid</v>
      </c>
      <c r="AG1997" t="str">
        <f t="shared" si="405"/>
        <v>Valid</v>
      </c>
      <c r="AH1997" t="str">
        <f t="shared" si="406"/>
        <v>Valid</v>
      </c>
      <c r="AI1997" t="str">
        <f t="shared" si="407"/>
        <v>Valid</v>
      </c>
      <c r="AJ1997" t="str">
        <f t="shared" si="408"/>
        <v>Valid</v>
      </c>
      <c r="AK1997" t="str">
        <f t="shared" si="415"/>
        <v xml:space="preserve">Valid </v>
      </c>
      <c r="AL1997" t="str">
        <f>IF(AND(Audit_Data[[#This Row],[Recency]]&gt;=0,Audit_Data[[#This Row],[Recency]]&lt;=100),"Valid","Invalid")</f>
        <v>Valid</v>
      </c>
      <c r="AM1997" t="str">
        <f t="shared" si="409"/>
        <v>Valid</v>
      </c>
      <c r="AN1997" t="str">
        <f t="shared" si="410"/>
        <v>Valid</v>
      </c>
      <c r="AO1997" t="str">
        <f t="shared" si="411"/>
        <v>Valid</v>
      </c>
      <c r="AP1997" t="str">
        <f t="shared" si="412"/>
        <v>Valid</v>
      </c>
      <c r="AQ1997" t="str">
        <f>IF(Audit_Data[[#This Row],[Z_CostContact]]=3,"Valid","Invalid")</f>
        <v>Valid</v>
      </c>
      <c r="AR1997" t="str">
        <f t="shared" si="413"/>
        <v>Valid</v>
      </c>
      <c r="AS1997" t="str">
        <f t="shared" si="414"/>
        <v>Valid</v>
      </c>
    </row>
    <row r="1998" spans="1:45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 t="str">
        <f t="shared" si="403"/>
        <v>Ok</v>
      </c>
      <c r="AE1998" t="str">
        <f>IF(AND(Audit_Data[[#This Row],[Year_Birth]]&gt;=1900,Audit_Data[[#This Row],[Year_Birth]]&lt;=2010),"OK","Invalid")</f>
        <v>OK</v>
      </c>
      <c r="AF1998" t="str">
        <f t="shared" si="404"/>
        <v>Valid</v>
      </c>
      <c r="AG1998" t="str">
        <f t="shared" si="405"/>
        <v>Valid</v>
      </c>
      <c r="AH1998" t="str">
        <f t="shared" si="406"/>
        <v>Valid</v>
      </c>
      <c r="AI1998" t="str">
        <f t="shared" si="407"/>
        <v>Valid</v>
      </c>
      <c r="AJ1998" t="str">
        <f t="shared" si="408"/>
        <v>Valid</v>
      </c>
      <c r="AK1998" t="str">
        <f t="shared" si="415"/>
        <v xml:space="preserve">Valid </v>
      </c>
      <c r="AL1998" t="str">
        <f>IF(AND(Audit_Data[[#This Row],[Recency]]&gt;=0,Audit_Data[[#This Row],[Recency]]&lt;=100),"Valid","Invalid")</f>
        <v>Valid</v>
      </c>
      <c r="AM1998" t="str">
        <f t="shared" si="409"/>
        <v>Valid</v>
      </c>
      <c r="AN1998" t="str">
        <f t="shared" si="410"/>
        <v>Valid</v>
      </c>
      <c r="AO1998" t="str">
        <f t="shared" si="411"/>
        <v>Valid</v>
      </c>
      <c r="AP1998" t="str">
        <f t="shared" si="412"/>
        <v>Valid</v>
      </c>
      <c r="AQ1998" t="str">
        <f>IF(Audit_Data[[#This Row],[Z_CostContact]]=3,"Valid","Invalid")</f>
        <v>Valid</v>
      </c>
      <c r="AR1998" t="str">
        <f t="shared" si="413"/>
        <v>Valid</v>
      </c>
      <c r="AS1998" t="str">
        <f t="shared" si="414"/>
        <v>Valid</v>
      </c>
    </row>
    <row r="1999" spans="1:45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 t="str">
        <f t="shared" si="403"/>
        <v>Ok</v>
      </c>
      <c r="AE1999" t="str">
        <f>IF(AND(Audit_Data[[#This Row],[Year_Birth]]&gt;=1900,Audit_Data[[#This Row],[Year_Birth]]&lt;=2010),"OK","Invalid")</f>
        <v>OK</v>
      </c>
      <c r="AF1999" t="str">
        <f t="shared" si="404"/>
        <v>Valid</v>
      </c>
      <c r="AG1999" t="str">
        <f t="shared" si="405"/>
        <v>Valid</v>
      </c>
      <c r="AH1999" t="str">
        <f t="shared" si="406"/>
        <v>Valid</v>
      </c>
      <c r="AI1999" t="str">
        <f t="shared" si="407"/>
        <v>Valid</v>
      </c>
      <c r="AJ1999" t="str">
        <f t="shared" si="408"/>
        <v>Valid</v>
      </c>
      <c r="AK1999" t="str">
        <f t="shared" si="415"/>
        <v xml:space="preserve">Valid </v>
      </c>
      <c r="AL1999" t="str">
        <f>IF(AND(Audit_Data[[#This Row],[Recency]]&gt;=0,Audit_Data[[#This Row],[Recency]]&lt;=100),"Valid","Invalid")</f>
        <v>Valid</v>
      </c>
      <c r="AM1999" t="str">
        <f t="shared" si="409"/>
        <v>Valid</v>
      </c>
      <c r="AN1999" t="str">
        <f t="shared" si="410"/>
        <v>Valid</v>
      </c>
      <c r="AO1999" t="str">
        <f t="shared" si="411"/>
        <v>Valid</v>
      </c>
      <c r="AP1999" t="str">
        <f t="shared" si="412"/>
        <v>Valid</v>
      </c>
      <c r="AQ1999" t="str">
        <f>IF(Audit_Data[[#This Row],[Z_CostContact]]=3,"Valid","Invalid")</f>
        <v>Valid</v>
      </c>
      <c r="AR1999" t="str">
        <f t="shared" si="413"/>
        <v>Valid</v>
      </c>
      <c r="AS1999" t="str">
        <f t="shared" si="414"/>
        <v>Valid</v>
      </c>
    </row>
    <row r="2000" spans="1:45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 t="str">
        <f t="shared" si="403"/>
        <v>Ok</v>
      </c>
      <c r="AE2000" t="str">
        <f>IF(AND(Audit_Data[[#This Row],[Year_Birth]]&gt;=1900,Audit_Data[[#This Row],[Year_Birth]]&lt;=2010),"OK","Invalid")</f>
        <v>OK</v>
      </c>
      <c r="AF2000" t="str">
        <f t="shared" si="404"/>
        <v>Valid</v>
      </c>
      <c r="AG2000" t="str">
        <f t="shared" si="405"/>
        <v>Valid</v>
      </c>
      <c r="AH2000" t="str">
        <f t="shared" si="406"/>
        <v>Valid</v>
      </c>
      <c r="AI2000" t="str">
        <f t="shared" si="407"/>
        <v>Valid</v>
      </c>
      <c r="AJ2000" t="str">
        <f t="shared" si="408"/>
        <v>Valid</v>
      </c>
      <c r="AK2000" t="str">
        <f t="shared" si="415"/>
        <v xml:space="preserve">Valid </v>
      </c>
      <c r="AL2000" t="str">
        <f>IF(AND(Audit_Data[[#This Row],[Recency]]&gt;=0,Audit_Data[[#This Row],[Recency]]&lt;=100),"Valid","Invalid")</f>
        <v>Valid</v>
      </c>
      <c r="AM2000" t="str">
        <f t="shared" si="409"/>
        <v>Valid</v>
      </c>
      <c r="AN2000" t="str">
        <f t="shared" si="410"/>
        <v>Valid</v>
      </c>
      <c r="AO2000" t="str">
        <f t="shared" si="411"/>
        <v>Valid</v>
      </c>
      <c r="AP2000" t="str">
        <f t="shared" si="412"/>
        <v>Valid</v>
      </c>
      <c r="AQ2000" t="str">
        <f>IF(Audit_Data[[#This Row],[Z_CostContact]]=3,"Valid","Invalid")</f>
        <v>Valid</v>
      </c>
      <c r="AR2000" t="str">
        <f t="shared" si="413"/>
        <v>Valid</v>
      </c>
      <c r="AS2000" t="str">
        <f t="shared" si="414"/>
        <v>Valid</v>
      </c>
    </row>
    <row r="2001" spans="1:45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 t="str">
        <f t="shared" si="403"/>
        <v>Ok</v>
      </c>
      <c r="AE2001" t="str">
        <f>IF(AND(Audit_Data[[#This Row],[Year_Birth]]&gt;=1900,Audit_Data[[#This Row],[Year_Birth]]&lt;=2010),"OK","Invalid")</f>
        <v>OK</v>
      </c>
      <c r="AF2001" t="str">
        <f t="shared" si="404"/>
        <v>Valid</v>
      </c>
      <c r="AG2001" t="str">
        <f t="shared" si="405"/>
        <v>Valid</v>
      </c>
      <c r="AH2001" t="str">
        <f t="shared" si="406"/>
        <v>Valid</v>
      </c>
      <c r="AI2001" t="str">
        <f t="shared" si="407"/>
        <v>Valid</v>
      </c>
      <c r="AJ2001" t="str">
        <f t="shared" si="408"/>
        <v>Valid</v>
      </c>
      <c r="AK2001" t="str">
        <f t="shared" si="415"/>
        <v xml:space="preserve">Valid </v>
      </c>
      <c r="AL2001" t="str">
        <f>IF(AND(Audit_Data[[#This Row],[Recency]]&gt;=0,Audit_Data[[#This Row],[Recency]]&lt;=100),"Valid","Invalid")</f>
        <v>Valid</v>
      </c>
      <c r="AM2001" t="str">
        <f t="shared" si="409"/>
        <v>Valid</v>
      </c>
      <c r="AN2001" t="str">
        <f t="shared" si="410"/>
        <v>Valid</v>
      </c>
      <c r="AO2001" t="str">
        <f t="shared" si="411"/>
        <v>Valid</v>
      </c>
      <c r="AP2001" t="str">
        <f t="shared" si="412"/>
        <v>Valid</v>
      </c>
      <c r="AQ2001" t="str">
        <f>IF(Audit_Data[[#This Row],[Z_CostContact]]=3,"Valid","Invalid")</f>
        <v>Valid</v>
      </c>
      <c r="AR2001" t="str">
        <f t="shared" si="413"/>
        <v>Valid</v>
      </c>
      <c r="AS2001" t="str">
        <f t="shared" si="414"/>
        <v>Valid</v>
      </c>
    </row>
    <row r="2002" spans="1:45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 t="str">
        <f t="shared" si="403"/>
        <v>Ok</v>
      </c>
      <c r="AE2002" t="str">
        <f>IF(AND(Audit_Data[[#This Row],[Year_Birth]]&gt;=1900,Audit_Data[[#This Row],[Year_Birth]]&lt;=2010),"OK","Invalid")</f>
        <v>OK</v>
      </c>
      <c r="AF2002" t="str">
        <f t="shared" si="404"/>
        <v>Valid</v>
      </c>
      <c r="AG2002" t="str">
        <f t="shared" si="405"/>
        <v>Valid</v>
      </c>
      <c r="AH2002" t="str">
        <f t="shared" si="406"/>
        <v>Valid</v>
      </c>
      <c r="AI2002" t="str">
        <f t="shared" si="407"/>
        <v>Valid</v>
      </c>
      <c r="AJ2002" t="str">
        <f t="shared" si="408"/>
        <v>Valid</v>
      </c>
      <c r="AK2002" t="str">
        <f t="shared" si="415"/>
        <v xml:space="preserve">Valid </v>
      </c>
      <c r="AL2002" t="str">
        <f>IF(AND(Audit_Data[[#This Row],[Recency]]&gt;=0,Audit_Data[[#This Row],[Recency]]&lt;=100),"Valid","Invalid")</f>
        <v>Valid</v>
      </c>
      <c r="AM2002" t="str">
        <f t="shared" si="409"/>
        <v>Valid</v>
      </c>
      <c r="AN2002" t="str">
        <f t="shared" si="410"/>
        <v>Valid</v>
      </c>
      <c r="AO2002" t="str">
        <f t="shared" si="411"/>
        <v>Valid</v>
      </c>
      <c r="AP2002" t="str">
        <f t="shared" si="412"/>
        <v>Valid</v>
      </c>
      <c r="AQ2002" t="str">
        <f>IF(Audit_Data[[#This Row],[Z_CostContact]]=3,"Valid","Invalid")</f>
        <v>Valid</v>
      </c>
      <c r="AR2002" t="str">
        <f t="shared" si="413"/>
        <v>Valid</v>
      </c>
      <c r="AS2002" t="str">
        <f t="shared" si="414"/>
        <v>Valid</v>
      </c>
    </row>
    <row r="2003" spans="1:45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 t="str">
        <f t="shared" si="403"/>
        <v>Ok</v>
      </c>
      <c r="AE2003" t="str">
        <f>IF(AND(Audit_Data[[#This Row],[Year_Birth]]&gt;=1900,Audit_Data[[#This Row],[Year_Birth]]&lt;=2010),"OK","Invalid")</f>
        <v>OK</v>
      </c>
      <c r="AF2003" t="str">
        <f t="shared" si="404"/>
        <v>Valid</v>
      </c>
      <c r="AG2003" t="str">
        <f t="shared" si="405"/>
        <v>Valid</v>
      </c>
      <c r="AH2003" t="str">
        <f t="shared" si="406"/>
        <v>Valid</v>
      </c>
      <c r="AI2003" t="str">
        <f t="shared" si="407"/>
        <v>Valid</v>
      </c>
      <c r="AJ2003" t="str">
        <f t="shared" si="408"/>
        <v>Valid</v>
      </c>
      <c r="AK2003" t="str">
        <f t="shared" si="415"/>
        <v xml:space="preserve">Valid </v>
      </c>
      <c r="AL2003" t="str">
        <f>IF(AND(Audit_Data[[#This Row],[Recency]]&gt;=0,Audit_Data[[#This Row],[Recency]]&lt;=100),"Valid","Invalid")</f>
        <v>Valid</v>
      </c>
      <c r="AM2003" t="str">
        <f t="shared" si="409"/>
        <v>Valid</v>
      </c>
      <c r="AN2003" t="str">
        <f t="shared" si="410"/>
        <v>Valid</v>
      </c>
      <c r="AO2003" t="str">
        <f t="shared" si="411"/>
        <v>Valid</v>
      </c>
      <c r="AP2003" t="str">
        <f t="shared" si="412"/>
        <v>Valid</v>
      </c>
      <c r="AQ2003" t="str">
        <f>IF(Audit_Data[[#This Row],[Z_CostContact]]=3,"Valid","Invalid")</f>
        <v>Valid</v>
      </c>
      <c r="AR2003" t="str">
        <f t="shared" si="413"/>
        <v>Valid</v>
      </c>
      <c r="AS2003" t="str">
        <f t="shared" si="414"/>
        <v>Valid</v>
      </c>
    </row>
    <row r="2004" spans="1:45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 t="str">
        <f t="shared" si="403"/>
        <v>Ok</v>
      </c>
      <c r="AE2004" t="str">
        <f>IF(AND(Audit_Data[[#This Row],[Year_Birth]]&gt;=1900,Audit_Data[[#This Row],[Year_Birth]]&lt;=2010),"OK","Invalid")</f>
        <v>OK</v>
      </c>
      <c r="AF2004" t="str">
        <f t="shared" si="404"/>
        <v>Valid</v>
      </c>
      <c r="AG2004" t="str">
        <f t="shared" si="405"/>
        <v>Valid</v>
      </c>
      <c r="AH2004" t="str">
        <f t="shared" si="406"/>
        <v>Valid</v>
      </c>
      <c r="AI2004" t="str">
        <f t="shared" si="407"/>
        <v>Valid</v>
      </c>
      <c r="AJ2004" t="str">
        <f t="shared" si="408"/>
        <v>Valid</v>
      </c>
      <c r="AK2004" t="str">
        <f t="shared" si="415"/>
        <v xml:space="preserve">Valid </v>
      </c>
      <c r="AL2004" t="str">
        <f>IF(AND(Audit_Data[[#This Row],[Recency]]&gt;=0,Audit_Data[[#This Row],[Recency]]&lt;=100),"Valid","Invalid")</f>
        <v>Valid</v>
      </c>
      <c r="AM2004" t="str">
        <f t="shared" si="409"/>
        <v>Valid</v>
      </c>
      <c r="AN2004" t="str">
        <f t="shared" si="410"/>
        <v>Valid</v>
      </c>
      <c r="AO2004" t="str">
        <f t="shared" si="411"/>
        <v>Valid</v>
      </c>
      <c r="AP2004" t="str">
        <f t="shared" si="412"/>
        <v>Valid</v>
      </c>
      <c r="AQ2004" t="str">
        <f>IF(Audit_Data[[#This Row],[Z_CostContact]]=3,"Valid","Invalid")</f>
        <v>Valid</v>
      </c>
      <c r="AR2004" t="str">
        <f t="shared" si="413"/>
        <v>Valid</v>
      </c>
      <c r="AS2004" t="str">
        <f t="shared" si="414"/>
        <v>Valid</v>
      </c>
    </row>
    <row r="2005" spans="1:45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 t="str">
        <f t="shared" si="403"/>
        <v>Ok</v>
      </c>
      <c r="AE2005" t="str">
        <f>IF(AND(Audit_Data[[#This Row],[Year_Birth]]&gt;=1900,Audit_Data[[#This Row],[Year_Birth]]&lt;=2010),"OK","Invalid")</f>
        <v>OK</v>
      </c>
      <c r="AF2005" t="str">
        <f t="shared" si="404"/>
        <v>Valid</v>
      </c>
      <c r="AG2005" t="str">
        <f t="shared" si="405"/>
        <v>Valid</v>
      </c>
      <c r="AH2005" t="str">
        <f t="shared" si="406"/>
        <v>Valid</v>
      </c>
      <c r="AI2005" t="str">
        <f t="shared" si="407"/>
        <v>Valid</v>
      </c>
      <c r="AJ2005" t="str">
        <f t="shared" si="408"/>
        <v>Valid</v>
      </c>
      <c r="AK2005" t="str">
        <f t="shared" si="415"/>
        <v xml:space="preserve">Valid </v>
      </c>
      <c r="AL2005" t="str">
        <f>IF(AND(Audit_Data[[#This Row],[Recency]]&gt;=0,Audit_Data[[#This Row],[Recency]]&lt;=100),"Valid","Invalid")</f>
        <v>Valid</v>
      </c>
      <c r="AM2005" t="str">
        <f t="shared" si="409"/>
        <v>Valid</v>
      </c>
      <c r="AN2005" t="str">
        <f t="shared" si="410"/>
        <v>Valid</v>
      </c>
      <c r="AO2005" t="str">
        <f t="shared" si="411"/>
        <v>Valid</v>
      </c>
      <c r="AP2005" t="str">
        <f t="shared" si="412"/>
        <v>Valid</v>
      </c>
      <c r="AQ2005" t="str">
        <f>IF(Audit_Data[[#This Row],[Z_CostContact]]=3,"Valid","Invalid")</f>
        <v>Valid</v>
      </c>
      <c r="AR2005" t="str">
        <f t="shared" si="413"/>
        <v>Valid</v>
      </c>
      <c r="AS2005" t="str">
        <f t="shared" si="414"/>
        <v>Valid</v>
      </c>
    </row>
    <row r="2006" spans="1:45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 t="str">
        <f t="shared" si="403"/>
        <v>Ok</v>
      </c>
      <c r="AE2006" t="str">
        <f>IF(AND(Audit_Data[[#This Row],[Year_Birth]]&gt;=1900,Audit_Data[[#This Row],[Year_Birth]]&lt;=2010),"OK","Invalid")</f>
        <v>OK</v>
      </c>
      <c r="AF2006" t="str">
        <f t="shared" si="404"/>
        <v>Valid</v>
      </c>
      <c r="AG2006" t="str">
        <f t="shared" si="405"/>
        <v>Valid</v>
      </c>
      <c r="AH2006" t="str">
        <f t="shared" si="406"/>
        <v>Valid</v>
      </c>
      <c r="AI2006" t="str">
        <f t="shared" si="407"/>
        <v>Valid</v>
      </c>
      <c r="AJ2006" t="str">
        <f t="shared" si="408"/>
        <v>Valid</v>
      </c>
      <c r="AK2006" t="str">
        <f t="shared" si="415"/>
        <v xml:space="preserve">Valid </v>
      </c>
      <c r="AL2006" t="str">
        <f>IF(AND(Audit_Data[[#This Row],[Recency]]&gt;=0,Audit_Data[[#This Row],[Recency]]&lt;=100),"Valid","Invalid")</f>
        <v>Valid</v>
      </c>
      <c r="AM2006" t="str">
        <f t="shared" si="409"/>
        <v>Valid</v>
      </c>
      <c r="AN2006" t="str">
        <f t="shared" si="410"/>
        <v>Valid</v>
      </c>
      <c r="AO2006" t="str">
        <f t="shared" si="411"/>
        <v>Valid</v>
      </c>
      <c r="AP2006" t="str">
        <f t="shared" si="412"/>
        <v>Valid</v>
      </c>
      <c r="AQ2006" t="str">
        <f>IF(Audit_Data[[#This Row],[Z_CostContact]]=3,"Valid","Invalid")</f>
        <v>Valid</v>
      </c>
      <c r="AR2006" t="str">
        <f t="shared" si="413"/>
        <v>Valid</v>
      </c>
      <c r="AS2006" t="str">
        <f t="shared" si="414"/>
        <v>Valid</v>
      </c>
    </row>
    <row r="2007" spans="1:45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 t="str">
        <f t="shared" si="403"/>
        <v>Ok</v>
      </c>
      <c r="AE2007" t="str">
        <f>IF(AND(Audit_Data[[#This Row],[Year_Birth]]&gt;=1900,Audit_Data[[#This Row],[Year_Birth]]&lt;=2010),"OK","Invalid")</f>
        <v>OK</v>
      </c>
      <c r="AF2007" t="str">
        <f t="shared" si="404"/>
        <v>Valid</v>
      </c>
      <c r="AG2007" t="str">
        <f t="shared" si="405"/>
        <v>Valid</v>
      </c>
      <c r="AH2007" t="str">
        <f t="shared" si="406"/>
        <v>Valid</v>
      </c>
      <c r="AI2007" t="str">
        <f t="shared" si="407"/>
        <v>Valid</v>
      </c>
      <c r="AJ2007" t="str">
        <f t="shared" si="408"/>
        <v>Valid</v>
      </c>
      <c r="AK2007" t="str">
        <f t="shared" si="415"/>
        <v xml:space="preserve">Valid </v>
      </c>
      <c r="AL2007" t="str">
        <f>IF(AND(Audit_Data[[#This Row],[Recency]]&gt;=0,Audit_Data[[#This Row],[Recency]]&lt;=100),"Valid","Invalid")</f>
        <v>Valid</v>
      </c>
      <c r="AM2007" t="str">
        <f t="shared" si="409"/>
        <v>Valid</v>
      </c>
      <c r="AN2007" t="str">
        <f t="shared" si="410"/>
        <v>Valid</v>
      </c>
      <c r="AO2007" t="str">
        <f t="shared" si="411"/>
        <v>Valid</v>
      </c>
      <c r="AP2007" t="str">
        <f t="shared" si="412"/>
        <v>Valid</v>
      </c>
      <c r="AQ2007" t="str">
        <f>IF(Audit_Data[[#This Row],[Z_CostContact]]=3,"Valid","Invalid")</f>
        <v>Valid</v>
      </c>
      <c r="AR2007" t="str">
        <f t="shared" si="413"/>
        <v>Valid</v>
      </c>
      <c r="AS2007" t="str">
        <f t="shared" si="414"/>
        <v>Valid</v>
      </c>
    </row>
    <row r="2008" spans="1:45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 t="str">
        <f t="shared" si="403"/>
        <v>Ok</v>
      </c>
      <c r="AE2008" t="str">
        <f>IF(AND(Audit_Data[[#This Row],[Year_Birth]]&gt;=1900,Audit_Data[[#This Row],[Year_Birth]]&lt;=2010),"OK","Invalid")</f>
        <v>OK</v>
      </c>
      <c r="AF2008" t="str">
        <f t="shared" si="404"/>
        <v>Valid</v>
      </c>
      <c r="AG2008" t="str">
        <f t="shared" si="405"/>
        <v>Valid</v>
      </c>
      <c r="AH2008" t="str">
        <f t="shared" si="406"/>
        <v>Valid</v>
      </c>
      <c r="AI2008" t="str">
        <f t="shared" si="407"/>
        <v>Valid</v>
      </c>
      <c r="AJ2008" t="str">
        <f t="shared" si="408"/>
        <v>Valid</v>
      </c>
      <c r="AK2008" t="str">
        <f t="shared" si="415"/>
        <v xml:space="preserve">Valid </v>
      </c>
      <c r="AL2008" t="str">
        <f>IF(AND(Audit_Data[[#This Row],[Recency]]&gt;=0,Audit_Data[[#This Row],[Recency]]&lt;=100),"Valid","Invalid")</f>
        <v>Valid</v>
      </c>
      <c r="AM2008" t="str">
        <f t="shared" si="409"/>
        <v>Valid</v>
      </c>
      <c r="AN2008" t="str">
        <f t="shared" si="410"/>
        <v>Valid</v>
      </c>
      <c r="AO2008" t="str">
        <f t="shared" si="411"/>
        <v>Valid</v>
      </c>
      <c r="AP2008" t="str">
        <f t="shared" si="412"/>
        <v>Valid</v>
      </c>
      <c r="AQ2008" t="str">
        <f>IF(Audit_Data[[#This Row],[Z_CostContact]]=3,"Valid","Invalid")</f>
        <v>Valid</v>
      </c>
      <c r="AR2008" t="str">
        <f t="shared" si="413"/>
        <v>Valid</v>
      </c>
      <c r="AS2008" t="str">
        <f t="shared" si="414"/>
        <v>Valid</v>
      </c>
    </row>
    <row r="2009" spans="1:45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 t="str">
        <f t="shared" si="403"/>
        <v>Ok</v>
      </c>
      <c r="AE2009" t="str">
        <f>IF(AND(Audit_Data[[#This Row],[Year_Birth]]&gt;=1900,Audit_Data[[#This Row],[Year_Birth]]&lt;=2010),"OK","Invalid")</f>
        <v>OK</v>
      </c>
      <c r="AF2009" t="str">
        <f t="shared" si="404"/>
        <v>Valid</v>
      </c>
      <c r="AG2009" t="str">
        <f t="shared" si="405"/>
        <v>Valid</v>
      </c>
      <c r="AH2009" t="str">
        <f t="shared" si="406"/>
        <v>Valid</v>
      </c>
      <c r="AI2009" t="str">
        <f t="shared" si="407"/>
        <v>Valid</v>
      </c>
      <c r="AJ2009" t="str">
        <f t="shared" si="408"/>
        <v>Valid</v>
      </c>
      <c r="AK2009" t="str">
        <f t="shared" si="415"/>
        <v xml:space="preserve">Valid </v>
      </c>
      <c r="AL2009" t="str">
        <f>IF(AND(Audit_Data[[#This Row],[Recency]]&gt;=0,Audit_Data[[#This Row],[Recency]]&lt;=100),"Valid","Invalid")</f>
        <v>Valid</v>
      </c>
      <c r="AM2009" t="str">
        <f t="shared" si="409"/>
        <v>Valid</v>
      </c>
      <c r="AN2009" t="str">
        <f t="shared" si="410"/>
        <v>Valid</v>
      </c>
      <c r="AO2009" t="str">
        <f t="shared" si="411"/>
        <v>Valid</v>
      </c>
      <c r="AP2009" t="str">
        <f t="shared" si="412"/>
        <v>Valid</v>
      </c>
      <c r="AQ2009" t="str">
        <f>IF(Audit_Data[[#This Row],[Z_CostContact]]=3,"Valid","Invalid")</f>
        <v>Valid</v>
      </c>
      <c r="AR2009" t="str">
        <f t="shared" si="413"/>
        <v>Valid</v>
      </c>
      <c r="AS2009" t="str">
        <f t="shared" si="414"/>
        <v>Valid</v>
      </c>
    </row>
    <row r="2010" spans="1:45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 t="str">
        <f t="shared" si="403"/>
        <v>Ok</v>
      </c>
      <c r="AE2010" t="str">
        <f>IF(AND(Audit_Data[[#This Row],[Year_Birth]]&gt;=1900,Audit_Data[[#This Row],[Year_Birth]]&lt;=2010),"OK","Invalid")</f>
        <v>OK</v>
      </c>
      <c r="AF2010" t="str">
        <f t="shared" si="404"/>
        <v>Valid</v>
      </c>
      <c r="AG2010" t="str">
        <f t="shared" si="405"/>
        <v>Valid</v>
      </c>
      <c r="AH2010" t="str">
        <f t="shared" si="406"/>
        <v>Valid</v>
      </c>
      <c r="AI2010" t="str">
        <f t="shared" si="407"/>
        <v>Valid</v>
      </c>
      <c r="AJ2010" t="str">
        <f t="shared" si="408"/>
        <v>Valid</v>
      </c>
      <c r="AK2010" t="str">
        <f t="shared" si="415"/>
        <v xml:space="preserve">Valid </v>
      </c>
      <c r="AL2010" t="str">
        <f>IF(AND(Audit_Data[[#This Row],[Recency]]&gt;=0,Audit_Data[[#This Row],[Recency]]&lt;=100),"Valid","Invalid")</f>
        <v>Valid</v>
      </c>
      <c r="AM2010" t="str">
        <f t="shared" si="409"/>
        <v>Valid</v>
      </c>
      <c r="AN2010" t="str">
        <f t="shared" si="410"/>
        <v>Valid</v>
      </c>
      <c r="AO2010" t="str">
        <f t="shared" si="411"/>
        <v>Valid</v>
      </c>
      <c r="AP2010" t="str">
        <f t="shared" si="412"/>
        <v>Valid</v>
      </c>
      <c r="AQ2010" t="str">
        <f>IF(Audit_Data[[#This Row],[Z_CostContact]]=3,"Valid","Invalid")</f>
        <v>Valid</v>
      </c>
      <c r="AR2010" t="str">
        <f t="shared" si="413"/>
        <v>Valid</v>
      </c>
      <c r="AS2010" t="str">
        <f t="shared" si="414"/>
        <v>Valid</v>
      </c>
    </row>
    <row r="2011" spans="1:45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 t="str">
        <f t="shared" si="403"/>
        <v>Ok</v>
      </c>
      <c r="AE2011" t="str">
        <f>IF(AND(Audit_Data[[#This Row],[Year_Birth]]&gt;=1900,Audit_Data[[#This Row],[Year_Birth]]&lt;=2010),"OK","Invalid")</f>
        <v>OK</v>
      </c>
      <c r="AF2011" t="str">
        <f t="shared" si="404"/>
        <v>Valid</v>
      </c>
      <c r="AG2011" t="str">
        <f t="shared" si="405"/>
        <v>Valid</v>
      </c>
      <c r="AH2011" t="str">
        <f t="shared" si="406"/>
        <v>Valid</v>
      </c>
      <c r="AI2011" t="str">
        <f t="shared" si="407"/>
        <v>Valid</v>
      </c>
      <c r="AJ2011" t="str">
        <f t="shared" si="408"/>
        <v>Valid</v>
      </c>
      <c r="AK2011" t="str">
        <f t="shared" si="415"/>
        <v xml:space="preserve">Valid </v>
      </c>
      <c r="AL2011" t="str">
        <f>IF(AND(Audit_Data[[#This Row],[Recency]]&gt;=0,Audit_Data[[#This Row],[Recency]]&lt;=100),"Valid","Invalid")</f>
        <v>Valid</v>
      </c>
      <c r="AM2011" t="str">
        <f t="shared" si="409"/>
        <v>Valid</v>
      </c>
      <c r="AN2011" t="str">
        <f t="shared" si="410"/>
        <v>Valid</v>
      </c>
      <c r="AO2011" t="str">
        <f t="shared" si="411"/>
        <v>Valid</v>
      </c>
      <c r="AP2011" t="str">
        <f t="shared" si="412"/>
        <v>Valid</v>
      </c>
      <c r="AQ2011" t="str">
        <f>IF(Audit_Data[[#This Row],[Z_CostContact]]=3,"Valid","Invalid")</f>
        <v>Valid</v>
      </c>
      <c r="AR2011" t="str">
        <f t="shared" si="413"/>
        <v>Valid</v>
      </c>
      <c r="AS2011" t="str">
        <f t="shared" si="414"/>
        <v>Valid</v>
      </c>
    </row>
    <row r="2012" spans="1:45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 t="str">
        <f t="shared" si="403"/>
        <v>Ok</v>
      </c>
      <c r="AE2012" t="str">
        <f>IF(AND(Audit_Data[[#This Row],[Year_Birth]]&gt;=1900,Audit_Data[[#This Row],[Year_Birth]]&lt;=2010),"OK","Invalid")</f>
        <v>OK</v>
      </c>
      <c r="AF2012" t="str">
        <f t="shared" si="404"/>
        <v>Valid</v>
      </c>
      <c r="AG2012" t="str">
        <f t="shared" si="405"/>
        <v>Valid</v>
      </c>
      <c r="AH2012" t="str">
        <f t="shared" si="406"/>
        <v>Valid</v>
      </c>
      <c r="AI2012" t="str">
        <f t="shared" si="407"/>
        <v>Valid</v>
      </c>
      <c r="AJ2012" t="str">
        <f t="shared" si="408"/>
        <v>Valid</v>
      </c>
      <c r="AK2012" t="str">
        <f t="shared" si="415"/>
        <v xml:space="preserve">Valid </v>
      </c>
      <c r="AL2012" t="str">
        <f>IF(AND(Audit_Data[[#This Row],[Recency]]&gt;=0,Audit_Data[[#This Row],[Recency]]&lt;=100),"Valid","Invalid")</f>
        <v>Valid</v>
      </c>
      <c r="AM2012" t="str">
        <f t="shared" si="409"/>
        <v>Valid</v>
      </c>
      <c r="AN2012" t="str">
        <f t="shared" si="410"/>
        <v>Valid</v>
      </c>
      <c r="AO2012" t="str">
        <f t="shared" si="411"/>
        <v>Valid</v>
      </c>
      <c r="AP2012" t="str">
        <f t="shared" si="412"/>
        <v>Valid</v>
      </c>
      <c r="AQ2012" t="str">
        <f>IF(Audit_Data[[#This Row],[Z_CostContact]]=3,"Valid","Invalid")</f>
        <v>Valid</v>
      </c>
      <c r="AR2012" t="str">
        <f t="shared" si="413"/>
        <v>Valid</v>
      </c>
      <c r="AS2012" t="str">
        <f t="shared" si="414"/>
        <v>Valid</v>
      </c>
    </row>
    <row r="2013" spans="1:45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 t="str">
        <f t="shared" si="403"/>
        <v>Ok</v>
      </c>
      <c r="AE2013" t="str">
        <f>IF(AND(Audit_Data[[#This Row],[Year_Birth]]&gt;=1900,Audit_Data[[#This Row],[Year_Birth]]&lt;=2010),"OK","Invalid")</f>
        <v>OK</v>
      </c>
      <c r="AF2013" t="str">
        <f t="shared" si="404"/>
        <v>Valid</v>
      </c>
      <c r="AG2013" t="str">
        <f t="shared" si="405"/>
        <v>Valid</v>
      </c>
      <c r="AH2013" t="str">
        <f t="shared" si="406"/>
        <v>Valid</v>
      </c>
      <c r="AI2013" t="str">
        <f t="shared" si="407"/>
        <v>Valid</v>
      </c>
      <c r="AJ2013" t="str">
        <f t="shared" si="408"/>
        <v>Valid</v>
      </c>
      <c r="AK2013" t="str">
        <f t="shared" si="415"/>
        <v xml:space="preserve">Valid </v>
      </c>
      <c r="AL2013" t="str">
        <f>IF(AND(Audit_Data[[#This Row],[Recency]]&gt;=0,Audit_Data[[#This Row],[Recency]]&lt;=100),"Valid","Invalid")</f>
        <v>Valid</v>
      </c>
      <c r="AM2013" t="str">
        <f t="shared" si="409"/>
        <v>Valid</v>
      </c>
      <c r="AN2013" t="str">
        <f t="shared" si="410"/>
        <v>Valid</v>
      </c>
      <c r="AO2013" t="str">
        <f t="shared" si="411"/>
        <v>Valid</v>
      </c>
      <c r="AP2013" t="str">
        <f t="shared" si="412"/>
        <v>Valid</v>
      </c>
      <c r="AQ2013" t="str">
        <f>IF(Audit_Data[[#This Row],[Z_CostContact]]=3,"Valid","Invalid")</f>
        <v>Valid</v>
      </c>
      <c r="AR2013" t="str">
        <f t="shared" si="413"/>
        <v>Valid</v>
      </c>
      <c r="AS2013" t="str">
        <f t="shared" si="414"/>
        <v>Valid</v>
      </c>
    </row>
    <row r="2014" spans="1:45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 t="str">
        <f t="shared" si="403"/>
        <v>Ok</v>
      </c>
      <c r="AE2014" t="str">
        <f>IF(AND(Audit_Data[[#This Row],[Year_Birth]]&gt;=1900,Audit_Data[[#This Row],[Year_Birth]]&lt;=2010),"OK","Invalid")</f>
        <v>OK</v>
      </c>
      <c r="AF2014" t="str">
        <f t="shared" si="404"/>
        <v>Valid</v>
      </c>
      <c r="AG2014" t="str">
        <f t="shared" si="405"/>
        <v>Valid</v>
      </c>
      <c r="AH2014" t="str">
        <f t="shared" si="406"/>
        <v>Valid</v>
      </c>
      <c r="AI2014" t="str">
        <f t="shared" si="407"/>
        <v>Valid</v>
      </c>
      <c r="AJ2014" t="str">
        <f t="shared" si="408"/>
        <v>Valid</v>
      </c>
      <c r="AK2014" t="str">
        <f t="shared" si="415"/>
        <v xml:space="preserve">Valid </v>
      </c>
      <c r="AL2014" t="str">
        <f>IF(AND(Audit_Data[[#This Row],[Recency]]&gt;=0,Audit_Data[[#This Row],[Recency]]&lt;=100),"Valid","Invalid")</f>
        <v>Valid</v>
      </c>
      <c r="AM2014" t="str">
        <f t="shared" si="409"/>
        <v>Valid</v>
      </c>
      <c r="AN2014" t="str">
        <f t="shared" si="410"/>
        <v>Valid</v>
      </c>
      <c r="AO2014" t="str">
        <f t="shared" si="411"/>
        <v>Valid</v>
      </c>
      <c r="AP2014" t="str">
        <f t="shared" si="412"/>
        <v>Valid</v>
      </c>
      <c r="AQ2014" t="str">
        <f>IF(Audit_Data[[#This Row],[Z_CostContact]]=3,"Valid","Invalid")</f>
        <v>Valid</v>
      </c>
      <c r="AR2014" t="str">
        <f t="shared" si="413"/>
        <v>Valid</v>
      </c>
      <c r="AS2014" t="str">
        <f t="shared" si="414"/>
        <v>Valid</v>
      </c>
    </row>
    <row r="2015" spans="1:45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 t="str">
        <f t="shared" si="403"/>
        <v>Ok</v>
      </c>
      <c r="AE2015" t="str">
        <f>IF(AND(Audit_Data[[#This Row],[Year_Birth]]&gt;=1900,Audit_Data[[#This Row],[Year_Birth]]&lt;=2010),"OK","Invalid")</f>
        <v>OK</v>
      </c>
      <c r="AF2015" t="str">
        <f t="shared" si="404"/>
        <v>Valid</v>
      </c>
      <c r="AG2015" t="str">
        <f t="shared" si="405"/>
        <v>Valid</v>
      </c>
      <c r="AH2015" t="str">
        <f t="shared" si="406"/>
        <v>Valid</v>
      </c>
      <c r="AI2015" t="str">
        <f t="shared" si="407"/>
        <v>Valid</v>
      </c>
      <c r="AJ2015" t="str">
        <f t="shared" si="408"/>
        <v>Valid</v>
      </c>
      <c r="AK2015" t="str">
        <f t="shared" si="415"/>
        <v xml:space="preserve">Valid </v>
      </c>
      <c r="AL2015" t="str">
        <f>IF(AND(Audit_Data[[#This Row],[Recency]]&gt;=0,Audit_Data[[#This Row],[Recency]]&lt;=100),"Valid","Invalid")</f>
        <v>Valid</v>
      </c>
      <c r="AM2015" t="str">
        <f t="shared" si="409"/>
        <v>Valid</v>
      </c>
      <c r="AN2015" t="str">
        <f t="shared" si="410"/>
        <v>Valid</v>
      </c>
      <c r="AO2015" t="str">
        <f t="shared" si="411"/>
        <v>Valid</v>
      </c>
      <c r="AP2015" t="str">
        <f t="shared" si="412"/>
        <v>Valid</v>
      </c>
      <c r="AQ2015" t="str">
        <f>IF(Audit_Data[[#This Row],[Z_CostContact]]=3,"Valid","Invalid")</f>
        <v>Valid</v>
      </c>
      <c r="AR2015" t="str">
        <f t="shared" si="413"/>
        <v>Valid</v>
      </c>
      <c r="AS2015" t="str">
        <f t="shared" si="414"/>
        <v>Valid</v>
      </c>
    </row>
    <row r="2016" spans="1:45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 t="str">
        <f t="shared" si="403"/>
        <v>Ok</v>
      </c>
      <c r="AE2016" t="str">
        <f>IF(AND(Audit_Data[[#This Row],[Year_Birth]]&gt;=1900,Audit_Data[[#This Row],[Year_Birth]]&lt;=2010),"OK","Invalid")</f>
        <v>OK</v>
      </c>
      <c r="AF2016" t="str">
        <f t="shared" si="404"/>
        <v>Valid</v>
      </c>
      <c r="AG2016" t="str">
        <f t="shared" si="405"/>
        <v>Valid</v>
      </c>
      <c r="AH2016" t="str">
        <f t="shared" si="406"/>
        <v>Valid</v>
      </c>
      <c r="AI2016" t="str">
        <f t="shared" si="407"/>
        <v>Valid</v>
      </c>
      <c r="AJ2016" t="str">
        <f t="shared" si="408"/>
        <v>Valid</v>
      </c>
      <c r="AK2016" t="str">
        <f t="shared" si="415"/>
        <v xml:space="preserve">Valid </v>
      </c>
      <c r="AL2016" t="str">
        <f>IF(AND(Audit_Data[[#This Row],[Recency]]&gt;=0,Audit_Data[[#This Row],[Recency]]&lt;=100),"Valid","Invalid")</f>
        <v>Valid</v>
      </c>
      <c r="AM2016" t="str">
        <f t="shared" si="409"/>
        <v>Valid</v>
      </c>
      <c r="AN2016" t="str">
        <f t="shared" si="410"/>
        <v>Valid</v>
      </c>
      <c r="AO2016" t="str">
        <f t="shared" si="411"/>
        <v>Valid</v>
      </c>
      <c r="AP2016" t="str">
        <f t="shared" si="412"/>
        <v>Valid</v>
      </c>
      <c r="AQ2016" t="str">
        <f>IF(Audit_Data[[#This Row],[Z_CostContact]]=3,"Valid","Invalid")</f>
        <v>Valid</v>
      </c>
      <c r="AR2016" t="str">
        <f t="shared" si="413"/>
        <v>Valid</v>
      </c>
      <c r="AS2016" t="str">
        <f t="shared" si="414"/>
        <v>Valid</v>
      </c>
    </row>
    <row r="2017" spans="1:45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 t="str">
        <f t="shared" si="403"/>
        <v>Ok</v>
      </c>
      <c r="AE2017" t="str">
        <f>IF(AND(Audit_Data[[#This Row],[Year_Birth]]&gt;=1900,Audit_Data[[#This Row],[Year_Birth]]&lt;=2010),"OK","Invalid")</f>
        <v>OK</v>
      </c>
      <c r="AF2017" t="str">
        <f t="shared" si="404"/>
        <v>Valid</v>
      </c>
      <c r="AG2017" t="str">
        <f t="shared" si="405"/>
        <v>Valid</v>
      </c>
      <c r="AH2017" t="str">
        <f t="shared" si="406"/>
        <v>Valid</v>
      </c>
      <c r="AI2017" t="str">
        <f t="shared" si="407"/>
        <v>Valid</v>
      </c>
      <c r="AJ2017" t="str">
        <f t="shared" si="408"/>
        <v>Valid</v>
      </c>
      <c r="AK2017" t="str">
        <f t="shared" si="415"/>
        <v xml:space="preserve">Valid </v>
      </c>
      <c r="AL2017" t="str">
        <f>IF(AND(Audit_Data[[#This Row],[Recency]]&gt;=0,Audit_Data[[#This Row],[Recency]]&lt;=100),"Valid","Invalid")</f>
        <v>Valid</v>
      </c>
      <c r="AM2017" t="str">
        <f t="shared" si="409"/>
        <v>Valid</v>
      </c>
      <c r="AN2017" t="str">
        <f t="shared" si="410"/>
        <v>Valid</v>
      </c>
      <c r="AO2017" t="str">
        <f t="shared" si="411"/>
        <v>Valid</v>
      </c>
      <c r="AP2017" t="str">
        <f t="shared" si="412"/>
        <v>Valid</v>
      </c>
      <c r="AQ2017" t="str">
        <f>IF(Audit_Data[[#This Row],[Z_CostContact]]=3,"Valid","Invalid")</f>
        <v>Valid</v>
      </c>
      <c r="AR2017" t="str">
        <f t="shared" si="413"/>
        <v>Valid</v>
      </c>
      <c r="AS2017" t="str">
        <f t="shared" si="414"/>
        <v>Valid</v>
      </c>
    </row>
    <row r="2018" spans="1:45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 t="str">
        <f t="shared" si="403"/>
        <v>Ok</v>
      </c>
      <c r="AE2018" t="str">
        <f>IF(AND(Audit_Data[[#This Row],[Year_Birth]]&gt;=1900,Audit_Data[[#This Row],[Year_Birth]]&lt;=2010),"OK","Invalid")</f>
        <v>OK</v>
      </c>
      <c r="AF2018" t="str">
        <f t="shared" si="404"/>
        <v>Valid</v>
      </c>
      <c r="AG2018" t="str">
        <f t="shared" si="405"/>
        <v>Valid</v>
      </c>
      <c r="AH2018" t="str">
        <f t="shared" si="406"/>
        <v>Valid</v>
      </c>
      <c r="AI2018" t="str">
        <f t="shared" si="407"/>
        <v>Valid</v>
      </c>
      <c r="AJ2018" t="str">
        <f t="shared" si="408"/>
        <v>Valid</v>
      </c>
      <c r="AK2018" t="str">
        <f t="shared" si="415"/>
        <v xml:space="preserve">Valid </v>
      </c>
      <c r="AL2018" t="str">
        <f>IF(AND(Audit_Data[[#This Row],[Recency]]&gt;=0,Audit_Data[[#This Row],[Recency]]&lt;=100),"Valid","Invalid")</f>
        <v>Valid</v>
      </c>
      <c r="AM2018" t="str">
        <f t="shared" si="409"/>
        <v>Valid</v>
      </c>
      <c r="AN2018" t="str">
        <f t="shared" si="410"/>
        <v>Valid</v>
      </c>
      <c r="AO2018" t="str">
        <f t="shared" si="411"/>
        <v>Valid</v>
      </c>
      <c r="AP2018" t="str">
        <f t="shared" si="412"/>
        <v>Valid</v>
      </c>
      <c r="AQ2018" t="str">
        <f>IF(Audit_Data[[#This Row],[Z_CostContact]]=3,"Valid","Invalid")</f>
        <v>Valid</v>
      </c>
      <c r="AR2018" t="str">
        <f t="shared" si="413"/>
        <v>Valid</v>
      </c>
      <c r="AS2018" t="str">
        <f t="shared" si="414"/>
        <v>Valid</v>
      </c>
    </row>
    <row r="2019" spans="1:45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 t="str">
        <f t="shared" si="403"/>
        <v>Ok</v>
      </c>
      <c r="AE2019" t="str">
        <f>IF(AND(Audit_Data[[#This Row],[Year_Birth]]&gt;=1900,Audit_Data[[#This Row],[Year_Birth]]&lt;=2010),"OK","Invalid")</f>
        <v>OK</v>
      </c>
      <c r="AF2019" t="str">
        <f t="shared" si="404"/>
        <v>Valid</v>
      </c>
      <c r="AG2019" t="str">
        <f t="shared" si="405"/>
        <v>Valid</v>
      </c>
      <c r="AH2019" t="str">
        <f t="shared" si="406"/>
        <v>Valid</v>
      </c>
      <c r="AI2019" t="str">
        <f t="shared" si="407"/>
        <v>Valid</v>
      </c>
      <c r="AJ2019" t="str">
        <f t="shared" si="408"/>
        <v>Valid</v>
      </c>
      <c r="AK2019" t="str">
        <f t="shared" si="415"/>
        <v xml:space="preserve">Valid </v>
      </c>
      <c r="AL2019" t="str">
        <f>IF(AND(Audit_Data[[#This Row],[Recency]]&gt;=0,Audit_Data[[#This Row],[Recency]]&lt;=100),"Valid","Invalid")</f>
        <v>Valid</v>
      </c>
      <c r="AM2019" t="str">
        <f t="shared" si="409"/>
        <v>Valid</v>
      </c>
      <c r="AN2019" t="str">
        <f t="shared" si="410"/>
        <v>Valid</v>
      </c>
      <c r="AO2019" t="str">
        <f t="shared" si="411"/>
        <v>Valid</v>
      </c>
      <c r="AP2019" t="str">
        <f t="shared" si="412"/>
        <v>Valid</v>
      </c>
      <c r="AQ2019" t="str">
        <f>IF(Audit_Data[[#This Row],[Z_CostContact]]=3,"Valid","Invalid")</f>
        <v>Valid</v>
      </c>
      <c r="AR2019" t="str">
        <f t="shared" si="413"/>
        <v>Valid</v>
      </c>
      <c r="AS2019" t="str">
        <f t="shared" si="414"/>
        <v>Valid</v>
      </c>
    </row>
    <row r="2020" spans="1:45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 t="str">
        <f t="shared" si="403"/>
        <v>Ok</v>
      </c>
      <c r="AE2020" t="str">
        <f>IF(AND(Audit_Data[[#This Row],[Year_Birth]]&gt;=1900,Audit_Data[[#This Row],[Year_Birth]]&lt;=2010),"OK","Invalid")</f>
        <v>OK</v>
      </c>
      <c r="AF2020" t="str">
        <f t="shared" si="404"/>
        <v>Valid</v>
      </c>
      <c r="AG2020" t="str">
        <f t="shared" si="405"/>
        <v>Valid</v>
      </c>
      <c r="AH2020" t="str">
        <f t="shared" si="406"/>
        <v>Valid</v>
      </c>
      <c r="AI2020" t="str">
        <f t="shared" si="407"/>
        <v>Valid</v>
      </c>
      <c r="AJ2020" t="str">
        <f t="shared" si="408"/>
        <v>Valid</v>
      </c>
      <c r="AK2020" t="str">
        <f t="shared" si="415"/>
        <v xml:space="preserve">Valid </v>
      </c>
      <c r="AL2020" t="str">
        <f>IF(AND(Audit_Data[[#This Row],[Recency]]&gt;=0,Audit_Data[[#This Row],[Recency]]&lt;=100),"Valid","Invalid")</f>
        <v>Valid</v>
      </c>
      <c r="AM2020" t="str">
        <f t="shared" si="409"/>
        <v>Valid</v>
      </c>
      <c r="AN2020" t="str">
        <f t="shared" si="410"/>
        <v>Valid</v>
      </c>
      <c r="AO2020" t="str">
        <f t="shared" si="411"/>
        <v>Valid</v>
      </c>
      <c r="AP2020" t="str">
        <f t="shared" si="412"/>
        <v>Valid</v>
      </c>
      <c r="AQ2020" t="str">
        <f>IF(Audit_Data[[#This Row],[Z_CostContact]]=3,"Valid","Invalid")</f>
        <v>Valid</v>
      </c>
      <c r="AR2020" t="str">
        <f t="shared" si="413"/>
        <v>Valid</v>
      </c>
      <c r="AS2020" t="str">
        <f t="shared" si="414"/>
        <v>Valid</v>
      </c>
    </row>
    <row r="2021" spans="1:45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 t="str">
        <f t="shared" si="403"/>
        <v>Ok</v>
      </c>
      <c r="AE2021" t="str">
        <f>IF(AND(Audit_Data[[#This Row],[Year_Birth]]&gt;=1900,Audit_Data[[#This Row],[Year_Birth]]&lt;=2010),"OK","Invalid")</f>
        <v>OK</v>
      </c>
      <c r="AF2021" t="str">
        <f t="shared" si="404"/>
        <v>Valid</v>
      </c>
      <c r="AG2021" t="str">
        <f t="shared" si="405"/>
        <v>Valid</v>
      </c>
      <c r="AH2021" t="str">
        <f t="shared" si="406"/>
        <v>Valid</v>
      </c>
      <c r="AI2021" t="str">
        <f t="shared" si="407"/>
        <v>Valid</v>
      </c>
      <c r="AJ2021" t="str">
        <f t="shared" si="408"/>
        <v>Valid</v>
      </c>
      <c r="AK2021" t="str">
        <f t="shared" si="415"/>
        <v xml:space="preserve">Valid </v>
      </c>
      <c r="AL2021" t="str">
        <f>IF(AND(Audit_Data[[#This Row],[Recency]]&gt;=0,Audit_Data[[#This Row],[Recency]]&lt;=100),"Valid","Invalid")</f>
        <v>Valid</v>
      </c>
      <c r="AM2021" t="str">
        <f t="shared" si="409"/>
        <v>Valid</v>
      </c>
      <c r="AN2021" t="str">
        <f t="shared" si="410"/>
        <v>Valid</v>
      </c>
      <c r="AO2021" t="str">
        <f t="shared" si="411"/>
        <v>Valid</v>
      </c>
      <c r="AP2021" t="str">
        <f t="shared" si="412"/>
        <v>Valid</v>
      </c>
      <c r="AQ2021" t="str">
        <f>IF(Audit_Data[[#This Row],[Z_CostContact]]=3,"Valid","Invalid")</f>
        <v>Valid</v>
      </c>
      <c r="AR2021" t="str">
        <f t="shared" si="413"/>
        <v>Valid</v>
      </c>
      <c r="AS2021" t="str">
        <f t="shared" si="414"/>
        <v>Valid</v>
      </c>
    </row>
    <row r="2022" spans="1:45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 t="str">
        <f t="shared" si="403"/>
        <v>Ok</v>
      </c>
      <c r="AE2022" t="str">
        <f>IF(AND(Audit_Data[[#This Row],[Year_Birth]]&gt;=1900,Audit_Data[[#This Row],[Year_Birth]]&lt;=2010),"OK","Invalid")</f>
        <v>OK</v>
      </c>
      <c r="AF2022" t="str">
        <f t="shared" si="404"/>
        <v>Valid</v>
      </c>
      <c r="AG2022" t="str">
        <f t="shared" si="405"/>
        <v>Valid</v>
      </c>
      <c r="AH2022" t="str">
        <f t="shared" si="406"/>
        <v>Valid</v>
      </c>
      <c r="AI2022" t="str">
        <f t="shared" si="407"/>
        <v>Valid</v>
      </c>
      <c r="AJ2022" t="str">
        <f t="shared" si="408"/>
        <v>Valid</v>
      </c>
      <c r="AK2022" t="str">
        <f t="shared" si="415"/>
        <v xml:space="preserve">Valid </v>
      </c>
      <c r="AL2022" t="str">
        <f>IF(AND(Audit_Data[[#This Row],[Recency]]&gt;=0,Audit_Data[[#This Row],[Recency]]&lt;=100),"Valid","Invalid")</f>
        <v>Valid</v>
      </c>
      <c r="AM2022" t="str">
        <f t="shared" si="409"/>
        <v>Valid</v>
      </c>
      <c r="AN2022" t="str">
        <f t="shared" si="410"/>
        <v>Valid</v>
      </c>
      <c r="AO2022" t="str">
        <f t="shared" si="411"/>
        <v>Valid</v>
      </c>
      <c r="AP2022" t="str">
        <f t="shared" si="412"/>
        <v>Valid</v>
      </c>
      <c r="AQ2022" t="str">
        <f>IF(Audit_Data[[#This Row],[Z_CostContact]]=3,"Valid","Invalid")</f>
        <v>Valid</v>
      </c>
      <c r="AR2022" t="str">
        <f t="shared" si="413"/>
        <v>Valid</v>
      </c>
      <c r="AS2022" t="str">
        <f t="shared" si="414"/>
        <v>Valid</v>
      </c>
    </row>
    <row r="2023" spans="1:45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 t="str">
        <f t="shared" si="403"/>
        <v>Ok</v>
      </c>
      <c r="AE2023" t="str">
        <f>IF(AND(Audit_Data[[#This Row],[Year_Birth]]&gt;=1900,Audit_Data[[#This Row],[Year_Birth]]&lt;=2010),"OK","Invalid")</f>
        <v>OK</v>
      </c>
      <c r="AF2023" t="str">
        <f t="shared" si="404"/>
        <v>Valid</v>
      </c>
      <c r="AG2023" t="str">
        <f t="shared" si="405"/>
        <v>Valid</v>
      </c>
      <c r="AH2023" t="str">
        <f t="shared" si="406"/>
        <v>Valid</v>
      </c>
      <c r="AI2023" t="str">
        <f t="shared" si="407"/>
        <v>Valid</v>
      </c>
      <c r="AJ2023" t="str">
        <f t="shared" si="408"/>
        <v>Valid</v>
      </c>
      <c r="AK2023" t="str">
        <f t="shared" si="415"/>
        <v xml:space="preserve">Valid </v>
      </c>
      <c r="AL2023" t="str">
        <f>IF(AND(Audit_Data[[#This Row],[Recency]]&gt;=0,Audit_Data[[#This Row],[Recency]]&lt;=100),"Valid","Invalid")</f>
        <v>Valid</v>
      </c>
      <c r="AM2023" t="str">
        <f t="shared" si="409"/>
        <v>Valid</v>
      </c>
      <c r="AN2023" t="str">
        <f t="shared" si="410"/>
        <v>Valid</v>
      </c>
      <c r="AO2023" t="str">
        <f t="shared" si="411"/>
        <v>Valid</v>
      </c>
      <c r="AP2023" t="str">
        <f t="shared" si="412"/>
        <v>Valid</v>
      </c>
      <c r="AQ2023" t="str">
        <f>IF(Audit_Data[[#This Row],[Z_CostContact]]=3,"Valid","Invalid")</f>
        <v>Valid</v>
      </c>
      <c r="AR2023" t="str">
        <f t="shared" si="413"/>
        <v>Valid</v>
      </c>
      <c r="AS2023" t="str">
        <f t="shared" si="414"/>
        <v>Valid</v>
      </c>
    </row>
    <row r="2024" spans="1:45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 t="str">
        <f t="shared" si="403"/>
        <v>Ok</v>
      </c>
      <c r="AE2024" t="str">
        <f>IF(AND(Audit_Data[[#This Row],[Year_Birth]]&gt;=1900,Audit_Data[[#This Row],[Year_Birth]]&lt;=2010),"OK","Invalid")</f>
        <v>OK</v>
      </c>
      <c r="AF2024" t="str">
        <f t="shared" si="404"/>
        <v>Valid</v>
      </c>
      <c r="AG2024" t="str">
        <f t="shared" si="405"/>
        <v>Valid</v>
      </c>
      <c r="AH2024" t="str">
        <f t="shared" si="406"/>
        <v>Valid</v>
      </c>
      <c r="AI2024" t="str">
        <f t="shared" si="407"/>
        <v>Valid</v>
      </c>
      <c r="AJ2024" t="str">
        <f t="shared" si="408"/>
        <v>Valid</v>
      </c>
      <c r="AK2024" t="str">
        <f t="shared" si="415"/>
        <v xml:space="preserve">Valid </v>
      </c>
      <c r="AL2024" t="str">
        <f>IF(AND(Audit_Data[[#This Row],[Recency]]&gt;=0,Audit_Data[[#This Row],[Recency]]&lt;=100),"Valid","Invalid")</f>
        <v>Valid</v>
      </c>
      <c r="AM2024" t="str">
        <f t="shared" si="409"/>
        <v>Valid</v>
      </c>
      <c r="AN2024" t="str">
        <f t="shared" si="410"/>
        <v>Valid</v>
      </c>
      <c r="AO2024" t="str">
        <f t="shared" si="411"/>
        <v>Valid</v>
      </c>
      <c r="AP2024" t="str">
        <f t="shared" si="412"/>
        <v>Valid</v>
      </c>
      <c r="AQ2024" t="str">
        <f>IF(Audit_Data[[#This Row],[Z_CostContact]]=3,"Valid","Invalid")</f>
        <v>Valid</v>
      </c>
      <c r="AR2024" t="str">
        <f t="shared" si="413"/>
        <v>Valid</v>
      </c>
      <c r="AS2024" t="str">
        <f t="shared" si="414"/>
        <v>Valid</v>
      </c>
    </row>
    <row r="2025" spans="1:45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 t="str">
        <f t="shared" si="403"/>
        <v>Ok</v>
      </c>
      <c r="AE2025" t="str">
        <f>IF(AND(Audit_Data[[#This Row],[Year_Birth]]&gt;=1900,Audit_Data[[#This Row],[Year_Birth]]&lt;=2010),"OK","Invalid")</f>
        <v>OK</v>
      </c>
      <c r="AF2025" t="str">
        <f t="shared" si="404"/>
        <v>Valid</v>
      </c>
      <c r="AG2025" t="str">
        <f t="shared" si="405"/>
        <v>Valid</v>
      </c>
      <c r="AH2025" t="str">
        <f t="shared" si="406"/>
        <v>Valid</v>
      </c>
      <c r="AI2025" t="str">
        <f t="shared" si="407"/>
        <v>Valid</v>
      </c>
      <c r="AJ2025" t="str">
        <f t="shared" si="408"/>
        <v>Valid</v>
      </c>
      <c r="AK2025" t="str">
        <f t="shared" si="415"/>
        <v xml:space="preserve">Valid </v>
      </c>
      <c r="AL2025" t="str">
        <f>IF(AND(Audit_Data[[#This Row],[Recency]]&gt;=0,Audit_Data[[#This Row],[Recency]]&lt;=100),"Valid","Invalid")</f>
        <v>Valid</v>
      </c>
      <c r="AM2025" t="str">
        <f t="shared" si="409"/>
        <v>Valid</v>
      </c>
      <c r="AN2025" t="str">
        <f t="shared" si="410"/>
        <v>Valid</v>
      </c>
      <c r="AO2025" t="str">
        <f t="shared" si="411"/>
        <v>Valid</v>
      </c>
      <c r="AP2025" t="str">
        <f t="shared" si="412"/>
        <v>Valid</v>
      </c>
      <c r="AQ2025" t="str">
        <f>IF(Audit_Data[[#This Row],[Z_CostContact]]=3,"Valid","Invalid")</f>
        <v>Valid</v>
      </c>
      <c r="AR2025" t="str">
        <f t="shared" si="413"/>
        <v>Valid</v>
      </c>
      <c r="AS2025" t="str">
        <f t="shared" si="414"/>
        <v>Valid</v>
      </c>
    </row>
    <row r="2026" spans="1:45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 t="str">
        <f t="shared" si="403"/>
        <v>Ok</v>
      </c>
      <c r="AE2026" t="str">
        <f>IF(AND(Audit_Data[[#This Row],[Year_Birth]]&gt;=1900,Audit_Data[[#This Row],[Year_Birth]]&lt;=2010),"OK","Invalid")</f>
        <v>OK</v>
      </c>
      <c r="AF2026" t="str">
        <f t="shared" si="404"/>
        <v>Valid</v>
      </c>
      <c r="AG2026" t="str">
        <f t="shared" si="405"/>
        <v>Valid</v>
      </c>
      <c r="AH2026" t="str">
        <f t="shared" si="406"/>
        <v>Valid</v>
      </c>
      <c r="AI2026" t="str">
        <f t="shared" si="407"/>
        <v>Valid</v>
      </c>
      <c r="AJ2026" t="str">
        <f t="shared" si="408"/>
        <v>Valid</v>
      </c>
      <c r="AK2026" t="str">
        <f t="shared" si="415"/>
        <v xml:space="preserve">Valid </v>
      </c>
      <c r="AL2026" t="str">
        <f>IF(AND(Audit_Data[[#This Row],[Recency]]&gt;=0,Audit_Data[[#This Row],[Recency]]&lt;=100),"Valid","Invalid")</f>
        <v>Valid</v>
      </c>
      <c r="AM2026" t="str">
        <f t="shared" si="409"/>
        <v>Valid</v>
      </c>
      <c r="AN2026" t="str">
        <f t="shared" si="410"/>
        <v>Valid</v>
      </c>
      <c r="AO2026" t="str">
        <f t="shared" si="411"/>
        <v>Valid</v>
      </c>
      <c r="AP2026" t="str">
        <f t="shared" si="412"/>
        <v>Valid</v>
      </c>
      <c r="AQ2026" t="str">
        <f>IF(Audit_Data[[#This Row],[Z_CostContact]]=3,"Valid","Invalid")</f>
        <v>Valid</v>
      </c>
      <c r="AR2026" t="str">
        <f t="shared" si="413"/>
        <v>Valid</v>
      </c>
      <c r="AS2026" t="str">
        <f t="shared" si="414"/>
        <v>Valid</v>
      </c>
    </row>
    <row r="2027" spans="1:45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 t="str">
        <f t="shared" si="403"/>
        <v>Ok</v>
      </c>
      <c r="AE2027" t="str">
        <f>IF(AND(Audit_Data[[#This Row],[Year_Birth]]&gt;=1900,Audit_Data[[#This Row],[Year_Birth]]&lt;=2010),"OK","Invalid")</f>
        <v>OK</v>
      </c>
      <c r="AF2027" t="str">
        <f t="shared" si="404"/>
        <v>Valid</v>
      </c>
      <c r="AG2027" t="str">
        <f t="shared" si="405"/>
        <v>Valid</v>
      </c>
      <c r="AH2027" t="str">
        <f t="shared" si="406"/>
        <v>Valid</v>
      </c>
      <c r="AI2027" t="str">
        <f t="shared" si="407"/>
        <v>Valid</v>
      </c>
      <c r="AJ2027" t="str">
        <f t="shared" si="408"/>
        <v>Valid</v>
      </c>
      <c r="AK2027" t="str">
        <f t="shared" si="415"/>
        <v xml:space="preserve">Valid </v>
      </c>
      <c r="AL2027" t="str">
        <f>IF(AND(Audit_Data[[#This Row],[Recency]]&gt;=0,Audit_Data[[#This Row],[Recency]]&lt;=100),"Valid","Invalid")</f>
        <v>Valid</v>
      </c>
      <c r="AM2027" t="str">
        <f t="shared" si="409"/>
        <v>Valid</v>
      </c>
      <c r="AN2027" t="str">
        <f t="shared" si="410"/>
        <v>Valid</v>
      </c>
      <c r="AO2027" t="str">
        <f t="shared" si="411"/>
        <v>Valid</v>
      </c>
      <c r="AP2027" t="str">
        <f t="shared" si="412"/>
        <v>Valid</v>
      </c>
      <c r="AQ2027" t="str">
        <f>IF(Audit_Data[[#This Row],[Z_CostContact]]=3,"Valid","Invalid")</f>
        <v>Valid</v>
      </c>
      <c r="AR2027" t="str">
        <f t="shared" si="413"/>
        <v>Valid</v>
      </c>
      <c r="AS2027" t="str">
        <f t="shared" si="414"/>
        <v>Valid</v>
      </c>
    </row>
    <row r="2028" spans="1:45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 t="str">
        <f t="shared" si="403"/>
        <v>Ok</v>
      </c>
      <c r="AE2028" t="str">
        <f>IF(AND(Audit_Data[[#This Row],[Year_Birth]]&gt;=1900,Audit_Data[[#This Row],[Year_Birth]]&lt;=2010),"OK","Invalid")</f>
        <v>OK</v>
      </c>
      <c r="AF2028" t="str">
        <f t="shared" si="404"/>
        <v>Valid</v>
      </c>
      <c r="AG2028" t="str">
        <f t="shared" si="405"/>
        <v>Valid</v>
      </c>
      <c r="AH2028" t="str">
        <f t="shared" si="406"/>
        <v>Valid</v>
      </c>
      <c r="AI2028" t="str">
        <f t="shared" si="407"/>
        <v>Valid</v>
      </c>
      <c r="AJ2028" t="str">
        <f t="shared" si="408"/>
        <v>Valid</v>
      </c>
      <c r="AK2028" t="str">
        <f t="shared" si="415"/>
        <v xml:space="preserve">Valid </v>
      </c>
      <c r="AL2028" t="str">
        <f>IF(AND(Audit_Data[[#This Row],[Recency]]&gt;=0,Audit_Data[[#This Row],[Recency]]&lt;=100),"Valid","Invalid")</f>
        <v>Valid</v>
      </c>
      <c r="AM2028" t="str">
        <f t="shared" si="409"/>
        <v>Valid</v>
      </c>
      <c r="AN2028" t="str">
        <f t="shared" si="410"/>
        <v>Valid</v>
      </c>
      <c r="AO2028" t="str">
        <f t="shared" si="411"/>
        <v>Valid</v>
      </c>
      <c r="AP2028" t="str">
        <f t="shared" si="412"/>
        <v>Valid</v>
      </c>
      <c r="AQ2028" t="str">
        <f>IF(Audit_Data[[#This Row],[Z_CostContact]]=3,"Valid","Invalid")</f>
        <v>Valid</v>
      </c>
      <c r="AR2028" t="str">
        <f t="shared" si="413"/>
        <v>Valid</v>
      </c>
      <c r="AS2028" t="str">
        <f t="shared" si="414"/>
        <v>Valid</v>
      </c>
    </row>
    <row r="2029" spans="1:45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 t="str">
        <f t="shared" si="403"/>
        <v>Ok</v>
      </c>
      <c r="AE2029" t="str">
        <f>IF(AND(Audit_Data[[#This Row],[Year_Birth]]&gt;=1900,Audit_Data[[#This Row],[Year_Birth]]&lt;=2010),"OK","Invalid")</f>
        <v>OK</v>
      </c>
      <c r="AF2029" t="str">
        <f t="shared" si="404"/>
        <v>Valid</v>
      </c>
      <c r="AG2029" t="str">
        <f t="shared" si="405"/>
        <v>Valid</v>
      </c>
      <c r="AH2029" t="str">
        <f t="shared" si="406"/>
        <v>Valid</v>
      </c>
      <c r="AI2029" t="str">
        <f t="shared" si="407"/>
        <v>Valid</v>
      </c>
      <c r="AJ2029" t="str">
        <f t="shared" si="408"/>
        <v>Valid</v>
      </c>
      <c r="AK2029" t="str">
        <f t="shared" si="415"/>
        <v xml:space="preserve">Valid </v>
      </c>
      <c r="AL2029" t="str">
        <f>IF(AND(Audit_Data[[#This Row],[Recency]]&gt;=0,Audit_Data[[#This Row],[Recency]]&lt;=100),"Valid","Invalid")</f>
        <v>Valid</v>
      </c>
      <c r="AM2029" t="str">
        <f t="shared" si="409"/>
        <v>Valid</v>
      </c>
      <c r="AN2029" t="str">
        <f t="shared" si="410"/>
        <v>Valid</v>
      </c>
      <c r="AO2029" t="str">
        <f t="shared" si="411"/>
        <v>Valid</v>
      </c>
      <c r="AP2029" t="str">
        <f t="shared" si="412"/>
        <v>Valid</v>
      </c>
      <c r="AQ2029" t="str">
        <f>IF(Audit_Data[[#This Row],[Z_CostContact]]=3,"Valid","Invalid")</f>
        <v>Valid</v>
      </c>
      <c r="AR2029" t="str">
        <f t="shared" si="413"/>
        <v>Valid</v>
      </c>
      <c r="AS2029" t="str">
        <f t="shared" si="414"/>
        <v>Valid</v>
      </c>
    </row>
    <row r="2030" spans="1:45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 t="str">
        <f t="shared" si="403"/>
        <v>Ok</v>
      </c>
      <c r="AE2030" t="str">
        <f>IF(AND(Audit_Data[[#This Row],[Year_Birth]]&gt;=1900,Audit_Data[[#This Row],[Year_Birth]]&lt;=2010),"OK","Invalid")</f>
        <v>OK</v>
      </c>
      <c r="AF2030" t="str">
        <f t="shared" si="404"/>
        <v>Valid</v>
      </c>
      <c r="AG2030" t="str">
        <f t="shared" si="405"/>
        <v>Valid</v>
      </c>
      <c r="AH2030" t="str">
        <f t="shared" si="406"/>
        <v>Valid</v>
      </c>
      <c r="AI2030" t="str">
        <f t="shared" si="407"/>
        <v>Valid</v>
      </c>
      <c r="AJ2030" t="str">
        <f t="shared" si="408"/>
        <v>Valid</v>
      </c>
      <c r="AK2030" t="str">
        <f t="shared" si="415"/>
        <v xml:space="preserve">Valid </v>
      </c>
      <c r="AL2030" t="str">
        <f>IF(AND(Audit_Data[[#This Row],[Recency]]&gt;=0,Audit_Data[[#This Row],[Recency]]&lt;=100),"Valid","Invalid")</f>
        <v>Valid</v>
      </c>
      <c r="AM2030" t="str">
        <f t="shared" si="409"/>
        <v>Valid</v>
      </c>
      <c r="AN2030" t="str">
        <f t="shared" si="410"/>
        <v>Valid</v>
      </c>
      <c r="AO2030" t="str">
        <f t="shared" si="411"/>
        <v>Valid</v>
      </c>
      <c r="AP2030" t="str">
        <f t="shared" si="412"/>
        <v>Valid</v>
      </c>
      <c r="AQ2030" t="str">
        <f>IF(Audit_Data[[#This Row],[Z_CostContact]]=3,"Valid","Invalid")</f>
        <v>Valid</v>
      </c>
      <c r="AR2030" t="str">
        <f t="shared" si="413"/>
        <v>Valid</v>
      </c>
      <c r="AS2030" t="str">
        <f t="shared" si="414"/>
        <v>Valid</v>
      </c>
    </row>
    <row r="2031" spans="1:45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 t="str">
        <f t="shared" si="403"/>
        <v>Ok</v>
      </c>
      <c r="AE2031" t="str">
        <f>IF(AND(Audit_Data[[#This Row],[Year_Birth]]&gt;=1900,Audit_Data[[#This Row],[Year_Birth]]&lt;=2010),"OK","Invalid")</f>
        <v>OK</v>
      </c>
      <c r="AF2031" t="str">
        <f t="shared" si="404"/>
        <v>Valid</v>
      </c>
      <c r="AG2031" t="str">
        <f t="shared" si="405"/>
        <v>Valid</v>
      </c>
      <c r="AH2031" t="str">
        <f t="shared" si="406"/>
        <v>Valid</v>
      </c>
      <c r="AI2031" t="str">
        <f t="shared" si="407"/>
        <v>Valid</v>
      </c>
      <c r="AJ2031" t="str">
        <f t="shared" si="408"/>
        <v>Valid</v>
      </c>
      <c r="AK2031" t="str">
        <f t="shared" si="415"/>
        <v xml:space="preserve">Valid </v>
      </c>
      <c r="AL2031" t="str">
        <f>IF(AND(Audit_Data[[#This Row],[Recency]]&gt;=0,Audit_Data[[#This Row],[Recency]]&lt;=100),"Valid","Invalid")</f>
        <v>Valid</v>
      </c>
      <c r="AM2031" t="str">
        <f t="shared" si="409"/>
        <v>Valid</v>
      </c>
      <c r="AN2031" t="str">
        <f t="shared" si="410"/>
        <v>Valid</v>
      </c>
      <c r="AO2031" t="str">
        <f t="shared" si="411"/>
        <v>Valid</v>
      </c>
      <c r="AP2031" t="str">
        <f t="shared" si="412"/>
        <v>Valid</v>
      </c>
      <c r="AQ2031" t="str">
        <f>IF(Audit_Data[[#This Row],[Z_CostContact]]=3,"Valid","Invalid")</f>
        <v>Valid</v>
      </c>
      <c r="AR2031" t="str">
        <f t="shared" si="413"/>
        <v>Valid</v>
      </c>
      <c r="AS2031" t="str">
        <f t="shared" si="414"/>
        <v>Valid</v>
      </c>
    </row>
    <row r="2032" spans="1:45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 t="str">
        <f t="shared" si="403"/>
        <v>Ok</v>
      </c>
      <c r="AE2032" t="str">
        <f>IF(AND(Audit_Data[[#This Row],[Year_Birth]]&gt;=1900,Audit_Data[[#This Row],[Year_Birth]]&lt;=2010),"OK","Invalid")</f>
        <v>OK</v>
      </c>
      <c r="AF2032" t="str">
        <f t="shared" si="404"/>
        <v>Valid</v>
      </c>
      <c r="AG2032" t="str">
        <f t="shared" si="405"/>
        <v>Valid</v>
      </c>
      <c r="AH2032" t="str">
        <f t="shared" si="406"/>
        <v>Valid</v>
      </c>
      <c r="AI2032" t="str">
        <f t="shared" si="407"/>
        <v>Valid</v>
      </c>
      <c r="AJ2032" t="str">
        <f t="shared" si="408"/>
        <v>Valid</v>
      </c>
      <c r="AK2032" t="str">
        <f t="shared" si="415"/>
        <v xml:space="preserve">Valid </v>
      </c>
      <c r="AL2032" t="str">
        <f>IF(AND(Audit_Data[[#This Row],[Recency]]&gt;=0,Audit_Data[[#This Row],[Recency]]&lt;=100),"Valid","Invalid")</f>
        <v>Valid</v>
      </c>
      <c r="AM2032" t="str">
        <f t="shared" si="409"/>
        <v>Valid</v>
      </c>
      <c r="AN2032" t="str">
        <f t="shared" si="410"/>
        <v>Valid</v>
      </c>
      <c r="AO2032" t="str">
        <f t="shared" si="411"/>
        <v>Valid</v>
      </c>
      <c r="AP2032" t="str">
        <f t="shared" si="412"/>
        <v>Valid</v>
      </c>
      <c r="AQ2032" t="str">
        <f>IF(Audit_Data[[#This Row],[Z_CostContact]]=3,"Valid","Invalid")</f>
        <v>Valid</v>
      </c>
      <c r="AR2032" t="str">
        <f t="shared" si="413"/>
        <v>Valid</v>
      </c>
      <c r="AS2032" t="str">
        <f t="shared" si="414"/>
        <v>Valid</v>
      </c>
    </row>
    <row r="2033" spans="1:45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 t="str">
        <f t="shared" si="403"/>
        <v>Ok</v>
      </c>
      <c r="AE2033" t="str">
        <f>IF(AND(Audit_Data[[#This Row],[Year_Birth]]&gt;=1900,Audit_Data[[#This Row],[Year_Birth]]&lt;=2010),"OK","Invalid")</f>
        <v>OK</v>
      </c>
      <c r="AF2033" t="str">
        <f t="shared" si="404"/>
        <v>Valid</v>
      </c>
      <c r="AG2033" t="str">
        <f t="shared" si="405"/>
        <v>Valid</v>
      </c>
      <c r="AH2033" t="str">
        <f t="shared" si="406"/>
        <v>Valid</v>
      </c>
      <c r="AI2033" t="str">
        <f t="shared" si="407"/>
        <v>Valid</v>
      </c>
      <c r="AJ2033" t="str">
        <f t="shared" si="408"/>
        <v>Valid</v>
      </c>
      <c r="AK2033" t="str">
        <f t="shared" si="415"/>
        <v xml:space="preserve">Valid </v>
      </c>
      <c r="AL2033" t="str">
        <f>IF(AND(Audit_Data[[#This Row],[Recency]]&gt;=0,Audit_Data[[#This Row],[Recency]]&lt;=100),"Valid","Invalid")</f>
        <v>Valid</v>
      </c>
      <c r="AM2033" t="str">
        <f t="shared" si="409"/>
        <v>Valid</v>
      </c>
      <c r="AN2033" t="str">
        <f t="shared" si="410"/>
        <v>Valid</v>
      </c>
      <c r="AO2033" t="str">
        <f t="shared" si="411"/>
        <v>Valid</v>
      </c>
      <c r="AP2033" t="str">
        <f t="shared" si="412"/>
        <v>Valid</v>
      </c>
      <c r="AQ2033" t="str">
        <f>IF(Audit_Data[[#This Row],[Z_CostContact]]=3,"Valid","Invalid")</f>
        <v>Valid</v>
      </c>
      <c r="AR2033" t="str">
        <f t="shared" si="413"/>
        <v>Valid</v>
      </c>
      <c r="AS2033" t="str">
        <f t="shared" si="414"/>
        <v>Valid</v>
      </c>
    </row>
    <row r="2034" spans="1:45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 t="str">
        <f t="shared" si="403"/>
        <v>Ok</v>
      </c>
      <c r="AE2034" t="str">
        <f>IF(AND(Audit_Data[[#This Row],[Year_Birth]]&gt;=1900,Audit_Data[[#This Row],[Year_Birth]]&lt;=2010),"OK","Invalid")</f>
        <v>OK</v>
      </c>
      <c r="AF2034" t="str">
        <f t="shared" si="404"/>
        <v>Valid</v>
      </c>
      <c r="AG2034" t="str">
        <f t="shared" si="405"/>
        <v>Valid</v>
      </c>
      <c r="AH2034" t="str">
        <f t="shared" si="406"/>
        <v>Valid</v>
      </c>
      <c r="AI2034" t="str">
        <f t="shared" si="407"/>
        <v>Valid</v>
      </c>
      <c r="AJ2034" t="str">
        <f t="shared" si="408"/>
        <v>Valid</v>
      </c>
      <c r="AK2034" t="str">
        <f t="shared" si="415"/>
        <v xml:space="preserve">Valid </v>
      </c>
      <c r="AL2034" t="str">
        <f>IF(AND(Audit_Data[[#This Row],[Recency]]&gt;=0,Audit_Data[[#This Row],[Recency]]&lt;=100),"Valid","Invalid")</f>
        <v>Valid</v>
      </c>
      <c r="AM2034" t="str">
        <f t="shared" si="409"/>
        <v>Valid</v>
      </c>
      <c r="AN2034" t="str">
        <f t="shared" si="410"/>
        <v>Valid</v>
      </c>
      <c r="AO2034" t="str">
        <f t="shared" si="411"/>
        <v>Valid</v>
      </c>
      <c r="AP2034" t="str">
        <f t="shared" si="412"/>
        <v>Valid</v>
      </c>
      <c r="AQ2034" t="str">
        <f>IF(Audit_Data[[#This Row],[Z_CostContact]]=3,"Valid","Invalid")</f>
        <v>Valid</v>
      </c>
      <c r="AR2034" t="str">
        <f t="shared" si="413"/>
        <v>Valid</v>
      </c>
      <c r="AS2034" t="str">
        <f t="shared" si="414"/>
        <v>Valid</v>
      </c>
    </row>
    <row r="2035" spans="1:45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 t="str">
        <f t="shared" si="403"/>
        <v>Ok</v>
      </c>
      <c r="AE2035" t="str">
        <f>IF(AND(Audit_Data[[#This Row],[Year_Birth]]&gt;=1900,Audit_Data[[#This Row],[Year_Birth]]&lt;=2010),"OK","Invalid")</f>
        <v>OK</v>
      </c>
      <c r="AF2035" t="str">
        <f t="shared" si="404"/>
        <v>Valid</v>
      </c>
      <c r="AG2035" t="str">
        <f t="shared" si="405"/>
        <v>Valid</v>
      </c>
      <c r="AH2035" t="str">
        <f t="shared" si="406"/>
        <v>Valid</v>
      </c>
      <c r="AI2035" t="str">
        <f t="shared" si="407"/>
        <v>Valid</v>
      </c>
      <c r="AJ2035" t="str">
        <f t="shared" si="408"/>
        <v>Valid</v>
      </c>
      <c r="AK2035" t="str">
        <f t="shared" si="415"/>
        <v xml:space="preserve">Valid </v>
      </c>
      <c r="AL2035" t="str">
        <f>IF(AND(Audit_Data[[#This Row],[Recency]]&gt;=0,Audit_Data[[#This Row],[Recency]]&lt;=100),"Valid","Invalid")</f>
        <v>Valid</v>
      </c>
      <c r="AM2035" t="str">
        <f t="shared" si="409"/>
        <v>Valid</v>
      </c>
      <c r="AN2035" t="str">
        <f t="shared" si="410"/>
        <v>Valid</v>
      </c>
      <c r="AO2035" t="str">
        <f t="shared" si="411"/>
        <v>Valid</v>
      </c>
      <c r="AP2035" t="str">
        <f t="shared" si="412"/>
        <v>Valid</v>
      </c>
      <c r="AQ2035" t="str">
        <f>IF(Audit_Data[[#This Row],[Z_CostContact]]=3,"Valid","Invalid")</f>
        <v>Valid</v>
      </c>
      <c r="AR2035" t="str">
        <f t="shared" si="413"/>
        <v>Valid</v>
      </c>
      <c r="AS2035" t="str">
        <f t="shared" si="414"/>
        <v>Valid</v>
      </c>
    </row>
    <row r="2036" spans="1:45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 t="str">
        <f t="shared" si="403"/>
        <v>Ok</v>
      </c>
      <c r="AE2036" t="str">
        <f>IF(AND(Audit_Data[[#This Row],[Year_Birth]]&gt;=1900,Audit_Data[[#This Row],[Year_Birth]]&lt;=2010),"OK","Invalid")</f>
        <v>OK</v>
      </c>
      <c r="AF2036" t="str">
        <f t="shared" si="404"/>
        <v>Valid</v>
      </c>
      <c r="AG2036" t="str">
        <f t="shared" si="405"/>
        <v>Valid</v>
      </c>
      <c r="AH2036" t="str">
        <f t="shared" si="406"/>
        <v>Valid</v>
      </c>
      <c r="AI2036" t="str">
        <f t="shared" si="407"/>
        <v>Valid</v>
      </c>
      <c r="AJ2036" t="str">
        <f t="shared" si="408"/>
        <v>Valid</v>
      </c>
      <c r="AK2036" t="str">
        <f t="shared" si="415"/>
        <v xml:space="preserve">Valid </v>
      </c>
      <c r="AL2036" t="str">
        <f>IF(AND(Audit_Data[[#This Row],[Recency]]&gt;=0,Audit_Data[[#This Row],[Recency]]&lt;=100),"Valid","Invalid")</f>
        <v>Valid</v>
      </c>
      <c r="AM2036" t="str">
        <f t="shared" si="409"/>
        <v>Valid</v>
      </c>
      <c r="AN2036" t="str">
        <f t="shared" si="410"/>
        <v>Valid</v>
      </c>
      <c r="AO2036" t="str">
        <f t="shared" si="411"/>
        <v>Valid</v>
      </c>
      <c r="AP2036" t="str">
        <f t="shared" si="412"/>
        <v>Valid</v>
      </c>
      <c r="AQ2036" t="str">
        <f>IF(Audit_Data[[#This Row],[Z_CostContact]]=3,"Valid","Invalid")</f>
        <v>Valid</v>
      </c>
      <c r="AR2036" t="str">
        <f t="shared" si="413"/>
        <v>Valid</v>
      </c>
      <c r="AS2036" t="str">
        <f t="shared" si="414"/>
        <v>Valid</v>
      </c>
    </row>
    <row r="2037" spans="1:45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 t="str">
        <f t="shared" si="403"/>
        <v>Ok</v>
      </c>
      <c r="AE2037" t="str">
        <f>IF(AND(Audit_Data[[#This Row],[Year_Birth]]&gt;=1900,Audit_Data[[#This Row],[Year_Birth]]&lt;=2010),"OK","Invalid")</f>
        <v>OK</v>
      </c>
      <c r="AF2037" t="str">
        <f t="shared" si="404"/>
        <v>Valid</v>
      </c>
      <c r="AG2037" t="str">
        <f t="shared" si="405"/>
        <v>Valid</v>
      </c>
      <c r="AH2037" t="str">
        <f t="shared" si="406"/>
        <v>Valid</v>
      </c>
      <c r="AI2037" t="str">
        <f t="shared" si="407"/>
        <v>Valid</v>
      </c>
      <c r="AJ2037" t="str">
        <f t="shared" si="408"/>
        <v>Valid</v>
      </c>
      <c r="AK2037" t="str">
        <f t="shared" si="415"/>
        <v xml:space="preserve">Valid </v>
      </c>
      <c r="AL2037" t="str">
        <f>IF(AND(Audit_Data[[#This Row],[Recency]]&gt;=0,Audit_Data[[#This Row],[Recency]]&lt;=100),"Valid","Invalid")</f>
        <v>Valid</v>
      </c>
      <c r="AM2037" t="str">
        <f t="shared" si="409"/>
        <v>Valid</v>
      </c>
      <c r="AN2037" t="str">
        <f t="shared" si="410"/>
        <v>Valid</v>
      </c>
      <c r="AO2037" t="str">
        <f t="shared" si="411"/>
        <v>Valid</v>
      </c>
      <c r="AP2037" t="str">
        <f t="shared" si="412"/>
        <v>Valid</v>
      </c>
      <c r="AQ2037" t="str">
        <f>IF(Audit_Data[[#This Row],[Z_CostContact]]=3,"Valid","Invalid")</f>
        <v>Valid</v>
      </c>
      <c r="AR2037" t="str">
        <f t="shared" si="413"/>
        <v>Valid</v>
      </c>
      <c r="AS2037" t="str">
        <f t="shared" si="414"/>
        <v>Valid</v>
      </c>
    </row>
    <row r="2038" spans="1:45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 t="str">
        <f t="shared" si="403"/>
        <v>Ok</v>
      </c>
      <c r="AE2038" t="str">
        <f>IF(AND(Audit_Data[[#This Row],[Year_Birth]]&gt;=1900,Audit_Data[[#This Row],[Year_Birth]]&lt;=2010),"OK","Invalid")</f>
        <v>OK</v>
      </c>
      <c r="AF2038" t="str">
        <f t="shared" si="404"/>
        <v>Valid</v>
      </c>
      <c r="AG2038" t="str">
        <f t="shared" si="405"/>
        <v>Valid</v>
      </c>
      <c r="AH2038" t="str">
        <f t="shared" si="406"/>
        <v>Valid</v>
      </c>
      <c r="AI2038" t="str">
        <f t="shared" si="407"/>
        <v>Valid</v>
      </c>
      <c r="AJ2038" t="str">
        <f t="shared" si="408"/>
        <v>Valid</v>
      </c>
      <c r="AK2038" t="str">
        <f t="shared" si="415"/>
        <v xml:space="preserve">Valid </v>
      </c>
      <c r="AL2038" t="str">
        <f>IF(AND(Audit_Data[[#This Row],[Recency]]&gt;=0,Audit_Data[[#This Row],[Recency]]&lt;=100),"Valid","Invalid")</f>
        <v>Valid</v>
      </c>
      <c r="AM2038" t="str">
        <f t="shared" si="409"/>
        <v>Valid</v>
      </c>
      <c r="AN2038" t="str">
        <f t="shared" si="410"/>
        <v>Valid</v>
      </c>
      <c r="AO2038" t="str">
        <f t="shared" si="411"/>
        <v>Valid</v>
      </c>
      <c r="AP2038" t="str">
        <f t="shared" si="412"/>
        <v>Valid</v>
      </c>
      <c r="AQ2038" t="str">
        <f>IF(Audit_Data[[#This Row],[Z_CostContact]]=3,"Valid","Invalid")</f>
        <v>Valid</v>
      </c>
      <c r="AR2038" t="str">
        <f t="shared" si="413"/>
        <v>Valid</v>
      </c>
      <c r="AS2038" t="str">
        <f t="shared" si="414"/>
        <v>Valid</v>
      </c>
    </row>
    <row r="2039" spans="1:45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 t="str">
        <f t="shared" si="403"/>
        <v>Ok</v>
      </c>
      <c r="AE2039" t="str">
        <f>IF(AND(Audit_Data[[#This Row],[Year_Birth]]&gt;=1900,Audit_Data[[#This Row],[Year_Birth]]&lt;=2010),"OK","Invalid")</f>
        <v>OK</v>
      </c>
      <c r="AF2039" t="str">
        <f t="shared" si="404"/>
        <v>Valid</v>
      </c>
      <c r="AG2039" t="str">
        <f t="shared" si="405"/>
        <v>Valid</v>
      </c>
      <c r="AH2039" t="str">
        <f t="shared" si="406"/>
        <v>Valid</v>
      </c>
      <c r="AI2039" t="str">
        <f t="shared" si="407"/>
        <v>Valid</v>
      </c>
      <c r="AJ2039" t="str">
        <f t="shared" si="408"/>
        <v>Valid</v>
      </c>
      <c r="AK2039" t="str">
        <f t="shared" si="415"/>
        <v xml:space="preserve">Valid </v>
      </c>
      <c r="AL2039" t="str">
        <f>IF(AND(Audit_Data[[#This Row],[Recency]]&gt;=0,Audit_Data[[#This Row],[Recency]]&lt;=100),"Valid","Invalid")</f>
        <v>Valid</v>
      </c>
      <c r="AM2039" t="str">
        <f t="shared" si="409"/>
        <v>Valid</v>
      </c>
      <c r="AN2039" t="str">
        <f t="shared" si="410"/>
        <v>Valid</v>
      </c>
      <c r="AO2039" t="str">
        <f t="shared" si="411"/>
        <v>Valid</v>
      </c>
      <c r="AP2039" t="str">
        <f t="shared" si="412"/>
        <v>Valid</v>
      </c>
      <c r="AQ2039" t="str">
        <f>IF(Audit_Data[[#This Row],[Z_CostContact]]=3,"Valid","Invalid")</f>
        <v>Valid</v>
      </c>
      <c r="AR2039" t="str">
        <f t="shared" si="413"/>
        <v>Valid</v>
      </c>
      <c r="AS2039" t="str">
        <f t="shared" si="414"/>
        <v>Valid</v>
      </c>
    </row>
    <row r="2040" spans="1:45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 t="str">
        <f t="shared" si="403"/>
        <v>Ok</v>
      </c>
      <c r="AE2040" t="str">
        <f>IF(AND(Audit_Data[[#This Row],[Year_Birth]]&gt;=1900,Audit_Data[[#This Row],[Year_Birth]]&lt;=2010),"OK","Invalid")</f>
        <v>OK</v>
      </c>
      <c r="AF2040" t="str">
        <f t="shared" si="404"/>
        <v>Valid</v>
      </c>
      <c r="AG2040" t="str">
        <f t="shared" si="405"/>
        <v>Valid</v>
      </c>
      <c r="AH2040" t="str">
        <f t="shared" si="406"/>
        <v>Valid</v>
      </c>
      <c r="AI2040" t="str">
        <f t="shared" si="407"/>
        <v>Valid</v>
      </c>
      <c r="AJ2040" t="str">
        <f t="shared" si="408"/>
        <v>Valid</v>
      </c>
      <c r="AK2040" t="str">
        <f t="shared" si="415"/>
        <v xml:space="preserve">Valid </v>
      </c>
      <c r="AL2040" t="str">
        <f>IF(AND(Audit_Data[[#This Row],[Recency]]&gt;=0,Audit_Data[[#This Row],[Recency]]&lt;=100),"Valid","Invalid")</f>
        <v>Valid</v>
      </c>
      <c r="AM2040" t="str">
        <f t="shared" si="409"/>
        <v>Valid</v>
      </c>
      <c r="AN2040" t="str">
        <f t="shared" si="410"/>
        <v>Valid</v>
      </c>
      <c r="AO2040" t="str">
        <f t="shared" si="411"/>
        <v>Valid</v>
      </c>
      <c r="AP2040" t="str">
        <f t="shared" si="412"/>
        <v>Valid</v>
      </c>
      <c r="AQ2040" t="str">
        <f>IF(Audit_Data[[#This Row],[Z_CostContact]]=3,"Valid","Invalid")</f>
        <v>Valid</v>
      </c>
      <c r="AR2040" t="str">
        <f t="shared" si="413"/>
        <v>Valid</v>
      </c>
      <c r="AS2040" t="str">
        <f t="shared" si="414"/>
        <v>Valid</v>
      </c>
    </row>
    <row r="2041" spans="1:45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 t="str">
        <f t="shared" si="403"/>
        <v>Ok</v>
      </c>
      <c r="AE2041" t="str">
        <f>IF(AND(Audit_Data[[#This Row],[Year_Birth]]&gt;=1900,Audit_Data[[#This Row],[Year_Birth]]&lt;=2010),"OK","Invalid")</f>
        <v>OK</v>
      </c>
      <c r="AF2041" t="str">
        <f t="shared" si="404"/>
        <v>Valid</v>
      </c>
      <c r="AG2041" t="str">
        <f t="shared" si="405"/>
        <v>Valid</v>
      </c>
      <c r="AH2041" t="str">
        <f t="shared" si="406"/>
        <v>Valid</v>
      </c>
      <c r="AI2041" t="str">
        <f t="shared" si="407"/>
        <v>Valid</v>
      </c>
      <c r="AJ2041" t="str">
        <f t="shared" si="408"/>
        <v>Valid</v>
      </c>
      <c r="AK2041" t="str">
        <f t="shared" si="415"/>
        <v xml:space="preserve">Valid </v>
      </c>
      <c r="AL2041" t="str">
        <f>IF(AND(Audit_Data[[#This Row],[Recency]]&gt;=0,Audit_Data[[#This Row],[Recency]]&lt;=100),"Valid","Invalid")</f>
        <v>Valid</v>
      </c>
      <c r="AM2041" t="str">
        <f t="shared" si="409"/>
        <v>Valid</v>
      </c>
      <c r="AN2041" t="str">
        <f t="shared" si="410"/>
        <v>Valid</v>
      </c>
      <c r="AO2041" t="str">
        <f t="shared" si="411"/>
        <v>Valid</v>
      </c>
      <c r="AP2041" t="str">
        <f t="shared" si="412"/>
        <v>Valid</v>
      </c>
      <c r="AQ2041" t="str">
        <f>IF(Audit_Data[[#This Row],[Z_CostContact]]=3,"Valid","Invalid")</f>
        <v>Valid</v>
      </c>
      <c r="AR2041" t="str">
        <f t="shared" si="413"/>
        <v>Valid</v>
      </c>
      <c r="AS2041" t="str">
        <f t="shared" si="414"/>
        <v>Valid</v>
      </c>
    </row>
    <row r="2042" spans="1:45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 t="str">
        <f t="shared" si="403"/>
        <v>Ok</v>
      </c>
      <c r="AE2042" t="str">
        <f>IF(AND(Audit_Data[[#This Row],[Year_Birth]]&gt;=1900,Audit_Data[[#This Row],[Year_Birth]]&lt;=2010),"OK","Invalid")</f>
        <v>OK</v>
      </c>
      <c r="AF2042" t="str">
        <f t="shared" si="404"/>
        <v>Valid</v>
      </c>
      <c r="AG2042" t="str">
        <f t="shared" si="405"/>
        <v>Valid</v>
      </c>
      <c r="AH2042" t="str">
        <f t="shared" si="406"/>
        <v>Valid</v>
      </c>
      <c r="AI2042" t="str">
        <f t="shared" si="407"/>
        <v>Valid</v>
      </c>
      <c r="AJ2042" t="str">
        <f t="shared" si="408"/>
        <v>Valid</v>
      </c>
      <c r="AK2042" t="str">
        <f t="shared" si="415"/>
        <v xml:space="preserve">Valid </v>
      </c>
      <c r="AL2042" t="str">
        <f>IF(AND(Audit_Data[[#This Row],[Recency]]&gt;=0,Audit_Data[[#This Row],[Recency]]&lt;=100),"Valid","Invalid")</f>
        <v>Valid</v>
      </c>
      <c r="AM2042" t="str">
        <f t="shared" si="409"/>
        <v>Valid</v>
      </c>
      <c r="AN2042" t="str">
        <f t="shared" si="410"/>
        <v>Valid</v>
      </c>
      <c r="AO2042" t="str">
        <f t="shared" si="411"/>
        <v>Valid</v>
      </c>
      <c r="AP2042" t="str">
        <f t="shared" si="412"/>
        <v>Valid</v>
      </c>
      <c r="AQ2042" t="str">
        <f>IF(Audit_Data[[#This Row],[Z_CostContact]]=3,"Valid","Invalid")</f>
        <v>Valid</v>
      </c>
      <c r="AR2042" t="str">
        <f t="shared" si="413"/>
        <v>Valid</v>
      </c>
      <c r="AS2042" t="str">
        <f t="shared" si="414"/>
        <v>Valid</v>
      </c>
    </row>
    <row r="2043" spans="1:45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 t="str">
        <f t="shared" si="403"/>
        <v>Ok</v>
      </c>
      <c r="AE2043" t="str">
        <f>IF(AND(Audit_Data[[#This Row],[Year_Birth]]&gt;=1900,Audit_Data[[#This Row],[Year_Birth]]&lt;=2010),"OK","Invalid")</f>
        <v>OK</v>
      </c>
      <c r="AF2043" t="str">
        <f t="shared" si="404"/>
        <v>Valid</v>
      </c>
      <c r="AG2043" t="str">
        <f t="shared" si="405"/>
        <v>Valid</v>
      </c>
      <c r="AH2043" t="str">
        <f t="shared" si="406"/>
        <v>Valid</v>
      </c>
      <c r="AI2043" t="str">
        <f t="shared" si="407"/>
        <v>Valid</v>
      </c>
      <c r="AJ2043" t="str">
        <f t="shared" si="408"/>
        <v>Valid</v>
      </c>
      <c r="AK2043" t="str">
        <f t="shared" si="415"/>
        <v xml:space="preserve">Valid </v>
      </c>
      <c r="AL2043" t="str">
        <f>IF(AND(Audit_Data[[#This Row],[Recency]]&gt;=0,Audit_Data[[#This Row],[Recency]]&lt;=100),"Valid","Invalid")</f>
        <v>Valid</v>
      </c>
      <c r="AM2043" t="str">
        <f t="shared" si="409"/>
        <v>Valid</v>
      </c>
      <c r="AN2043" t="str">
        <f t="shared" si="410"/>
        <v>Valid</v>
      </c>
      <c r="AO2043" t="str">
        <f t="shared" si="411"/>
        <v>Valid</v>
      </c>
      <c r="AP2043" t="str">
        <f t="shared" si="412"/>
        <v>Valid</v>
      </c>
      <c r="AQ2043" t="str">
        <f>IF(Audit_Data[[#This Row],[Z_CostContact]]=3,"Valid","Invalid")</f>
        <v>Valid</v>
      </c>
      <c r="AR2043" t="str">
        <f t="shared" si="413"/>
        <v>Valid</v>
      </c>
      <c r="AS2043" t="str">
        <f t="shared" si="414"/>
        <v>Valid</v>
      </c>
    </row>
    <row r="2044" spans="1:45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 t="str">
        <f t="shared" si="403"/>
        <v>Ok</v>
      </c>
      <c r="AE2044" t="str">
        <f>IF(AND(Audit_Data[[#This Row],[Year_Birth]]&gt;=1900,Audit_Data[[#This Row],[Year_Birth]]&lt;=2010),"OK","Invalid")</f>
        <v>OK</v>
      </c>
      <c r="AF2044" t="str">
        <f t="shared" si="404"/>
        <v>Valid</v>
      </c>
      <c r="AG2044" t="str">
        <f t="shared" si="405"/>
        <v>Valid</v>
      </c>
      <c r="AH2044" t="str">
        <f t="shared" si="406"/>
        <v>Valid</v>
      </c>
      <c r="AI2044" t="str">
        <f t="shared" si="407"/>
        <v>Valid</v>
      </c>
      <c r="AJ2044" t="str">
        <f t="shared" si="408"/>
        <v>Valid</v>
      </c>
      <c r="AK2044" t="str">
        <f t="shared" si="415"/>
        <v xml:space="preserve">Valid </v>
      </c>
      <c r="AL2044" t="str">
        <f>IF(AND(Audit_Data[[#This Row],[Recency]]&gt;=0,Audit_Data[[#This Row],[Recency]]&lt;=100),"Valid","Invalid")</f>
        <v>Valid</v>
      </c>
      <c r="AM2044" t="str">
        <f t="shared" si="409"/>
        <v>Valid</v>
      </c>
      <c r="AN2044" t="str">
        <f t="shared" si="410"/>
        <v>Valid</v>
      </c>
      <c r="AO2044" t="str">
        <f t="shared" si="411"/>
        <v>Valid</v>
      </c>
      <c r="AP2044" t="str">
        <f t="shared" si="412"/>
        <v>Valid</v>
      </c>
      <c r="AQ2044" t="str">
        <f>IF(Audit_Data[[#This Row],[Z_CostContact]]=3,"Valid","Invalid")</f>
        <v>Valid</v>
      </c>
      <c r="AR2044" t="str">
        <f t="shared" si="413"/>
        <v>Valid</v>
      </c>
      <c r="AS2044" t="str">
        <f t="shared" si="414"/>
        <v>Valid</v>
      </c>
    </row>
    <row r="2045" spans="1:45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 t="str">
        <f t="shared" si="403"/>
        <v>Ok</v>
      </c>
      <c r="AE2045" t="str">
        <f>IF(AND(Audit_Data[[#This Row],[Year_Birth]]&gt;=1900,Audit_Data[[#This Row],[Year_Birth]]&lt;=2010),"OK","Invalid")</f>
        <v>OK</v>
      </c>
      <c r="AF2045" t="str">
        <f t="shared" si="404"/>
        <v>Valid</v>
      </c>
      <c r="AG2045" t="str">
        <f t="shared" si="405"/>
        <v>Valid</v>
      </c>
      <c r="AH2045" t="str">
        <f t="shared" si="406"/>
        <v>Valid</v>
      </c>
      <c r="AI2045" t="str">
        <f t="shared" si="407"/>
        <v>Valid</v>
      </c>
      <c r="AJ2045" t="str">
        <f t="shared" si="408"/>
        <v>Valid</v>
      </c>
      <c r="AK2045" t="str">
        <f t="shared" si="415"/>
        <v xml:space="preserve">Valid </v>
      </c>
      <c r="AL2045" t="str">
        <f>IF(AND(Audit_Data[[#This Row],[Recency]]&gt;=0,Audit_Data[[#This Row],[Recency]]&lt;=100),"Valid","Invalid")</f>
        <v>Valid</v>
      </c>
      <c r="AM2045" t="str">
        <f t="shared" si="409"/>
        <v>Valid</v>
      </c>
      <c r="AN2045" t="str">
        <f t="shared" si="410"/>
        <v>Valid</v>
      </c>
      <c r="AO2045" t="str">
        <f t="shared" si="411"/>
        <v>Valid</v>
      </c>
      <c r="AP2045" t="str">
        <f t="shared" si="412"/>
        <v>Valid</v>
      </c>
      <c r="AQ2045" t="str">
        <f>IF(Audit_Data[[#This Row],[Z_CostContact]]=3,"Valid","Invalid")</f>
        <v>Valid</v>
      </c>
      <c r="AR2045" t="str">
        <f t="shared" si="413"/>
        <v>Valid</v>
      </c>
      <c r="AS2045" t="str">
        <f t="shared" si="414"/>
        <v>Valid</v>
      </c>
    </row>
    <row r="2046" spans="1:45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 t="str">
        <f t="shared" si="403"/>
        <v>Ok</v>
      </c>
      <c r="AE2046" t="str">
        <f>IF(AND(Audit_Data[[#This Row],[Year_Birth]]&gt;=1900,Audit_Data[[#This Row],[Year_Birth]]&lt;=2010),"OK","Invalid")</f>
        <v>OK</v>
      </c>
      <c r="AF2046" t="str">
        <f t="shared" si="404"/>
        <v>Valid</v>
      </c>
      <c r="AG2046" t="str">
        <f t="shared" si="405"/>
        <v>Valid</v>
      </c>
      <c r="AH2046" t="str">
        <f t="shared" si="406"/>
        <v>Valid</v>
      </c>
      <c r="AI2046" t="str">
        <f t="shared" si="407"/>
        <v>Valid</v>
      </c>
      <c r="AJ2046" t="str">
        <f t="shared" si="408"/>
        <v>Valid</v>
      </c>
      <c r="AK2046" t="str">
        <f t="shared" si="415"/>
        <v xml:space="preserve">Valid </v>
      </c>
      <c r="AL2046" t="str">
        <f>IF(AND(Audit_Data[[#This Row],[Recency]]&gt;=0,Audit_Data[[#This Row],[Recency]]&lt;=100),"Valid","Invalid")</f>
        <v>Valid</v>
      </c>
      <c r="AM2046" t="str">
        <f t="shared" si="409"/>
        <v>Valid</v>
      </c>
      <c r="AN2046" t="str">
        <f t="shared" si="410"/>
        <v>Valid</v>
      </c>
      <c r="AO2046" t="str">
        <f t="shared" si="411"/>
        <v>Valid</v>
      </c>
      <c r="AP2046" t="str">
        <f t="shared" si="412"/>
        <v>Valid</v>
      </c>
      <c r="AQ2046" t="str">
        <f>IF(Audit_Data[[#This Row],[Z_CostContact]]=3,"Valid","Invalid")</f>
        <v>Valid</v>
      </c>
      <c r="AR2046" t="str">
        <f t="shared" si="413"/>
        <v>Valid</v>
      </c>
      <c r="AS2046" t="str">
        <f t="shared" si="414"/>
        <v>Valid</v>
      </c>
    </row>
    <row r="2047" spans="1:45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 t="str">
        <f t="shared" si="403"/>
        <v>Ok</v>
      </c>
      <c r="AE2047" t="str">
        <f>IF(AND(Audit_Data[[#This Row],[Year_Birth]]&gt;=1900,Audit_Data[[#This Row],[Year_Birth]]&lt;=2010),"OK","Invalid")</f>
        <v>OK</v>
      </c>
      <c r="AF2047" t="str">
        <f t="shared" si="404"/>
        <v>Valid</v>
      </c>
      <c r="AG2047" t="str">
        <f t="shared" si="405"/>
        <v>Valid</v>
      </c>
      <c r="AH2047" t="str">
        <f t="shared" si="406"/>
        <v>Valid</v>
      </c>
      <c r="AI2047" t="str">
        <f t="shared" si="407"/>
        <v>Valid</v>
      </c>
      <c r="AJ2047" t="str">
        <f t="shared" si="408"/>
        <v>Valid</v>
      </c>
      <c r="AK2047" t="str">
        <f t="shared" si="415"/>
        <v xml:space="preserve">Valid </v>
      </c>
      <c r="AL2047" t="str">
        <f>IF(AND(Audit_Data[[#This Row],[Recency]]&gt;=0,Audit_Data[[#This Row],[Recency]]&lt;=100),"Valid","Invalid")</f>
        <v>Valid</v>
      </c>
      <c r="AM2047" t="str">
        <f t="shared" si="409"/>
        <v>Valid</v>
      </c>
      <c r="AN2047" t="str">
        <f t="shared" si="410"/>
        <v>Valid</v>
      </c>
      <c r="AO2047" t="str">
        <f t="shared" si="411"/>
        <v>Valid</v>
      </c>
      <c r="AP2047" t="str">
        <f t="shared" si="412"/>
        <v>Valid</v>
      </c>
      <c r="AQ2047" t="str">
        <f>IF(Audit_Data[[#This Row],[Z_CostContact]]=3,"Valid","Invalid")</f>
        <v>Valid</v>
      </c>
      <c r="AR2047" t="str">
        <f t="shared" si="413"/>
        <v>Valid</v>
      </c>
      <c r="AS2047" t="str">
        <f t="shared" si="414"/>
        <v>Valid</v>
      </c>
    </row>
    <row r="2048" spans="1:45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 t="str">
        <f t="shared" si="403"/>
        <v>Ok</v>
      </c>
      <c r="AE2048" t="str">
        <f>IF(AND(Audit_Data[[#This Row],[Year_Birth]]&gt;=1900,Audit_Data[[#This Row],[Year_Birth]]&lt;=2010),"OK","Invalid")</f>
        <v>OK</v>
      </c>
      <c r="AF2048" t="str">
        <f t="shared" si="404"/>
        <v>Valid</v>
      </c>
      <c r="AG2048" t="str">
        <f t="shared" si="405"/>
        <v>Valid</v>
      </c>
      <c r="AH2048" t="str">
        <f t="shared" si="406"/>
        <v>Valid</v>
      </c>
      <c r="AI2048" t="str">
        <f t="shared" si="407"/>
        <v>Valid</v>
      </c>
      <c r="AJ2048" t="str">
        <f t="shared" si="408"/>
        <v>Valid</v>
      </c>
      <c r="AK2048" t="str">
        <f t="shared" si="415"/>
        <v xml:space="preserve">Valid </v>
      </c>
      <c r="AL2048" t="str">
        <f>IF(AND(Audit_Data[[#This Row],[Recency]]&gt;=0,Audit_Data[[#This Row],[Recency]]&lt;=100),"Valid","Invalid")</f>
        <v>Valid</v>
      </c>
      <c r="AM2048" t="str">
        <f t="shared" si="409"/>
        <v>Valid</v>
      </c>
      <c r="AN2048" t="str">
        <f t="shared" si="410"/>
        <v>Valid</v>
      </c>
      <c r="AO2048" t="str">
        <f t="shared" si="411"/>
        <v>Valid</v>
      </c>
      <c r="AP2048" t="str">
        <f t="shared" si="412"/>
        <v>Valid</v>
      </c>
      <c r="AQ2048" t="str">
        <f>IF(Audit_Data[[#This Row],[Z_CostContact]]=3,"Valid","Invalid")</f>
        <v>Valid</v>
      </c>
      <c r="AR2048" t="str">
        <f t="shared" si="413"/>
        <v>Valid</v>
      </c>
      <c r="AS2048" t="str">
        <f t="shared" si="414"/>
        <v>Valid</v>
      </c>
    </row>
    <row r="2049" spans="1:45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 t="str">
        <f t="shared" si="403"/>
        <v>Ok</v>
      </c>
      <c r="AE2049" t="str">
        <f>IF(AND(Audit_Data[[#This Row],[Year_Birth]]&gt;=1900,Audit_Data[[#This Row],[Year_Birth]]&lt;=2010),"OK","Invalid")</f>
        <v>OK</v>
      </c>
      <c r="AF2049" t="str">
        <f t="shared" si="404"/>
        <v>Valid</v>
      </c>
      <c r="AG2049" t="str">
        <f t="shared" si="405"/>
        <v>Valid</v>
      </c>
      <c r="AH2049" t="str">
        <f t="shared" si="406"/>
        <v>Valid</v>
      </c>
      <c r="AI2049" t="str">
        <f t="shared" si="407"/>
        <v>Valid</v>
      </c>
      <c r="AJ2049" t="str">
        <f t="shared" si="408"/>
        <v>Valid</v>
      </c>
      <c r="AK2049" t="str">
        <f t="shared" si="415"/>
        <v xml:space="preserve">Valid </v>
      </c>
      <c r="AL2049" t="str">
        <f>IF(AND(Audit_Data[[#This Row],[Recency]]&gt;=0,Audit_Data[[#This Row],[Recency]]&lt;=100),"Valid","Invalid")</f>
        <v>Valid</v>
      </c>
      <c r="AM2049" t="str">
        <f t="shared" si="409"/>
        <v>Valid</v>
      </c>
      <c r="AN2049" t="str">
        <f t="shared" si="410"/>
        <v>Valid</v>
      </c>
      <c r="AO2049" t="str">
        <f t="shared" si="411"/>
        <v>Valid</v>
      </c>
      <c r="AP2049" t="str">
        <f t="shared" si="412"/>
        <v>Valid</v>
      </c>
      <c r="AQ2049" t="str">
        <f>IF(Audit_Data[[#This Row],[Z_CostContact]]=3,"Valid","Invalid")</f>
        <v>Valid</v>
      </c>
      <c r="AR2049" t="str">
        <f t="shared" si="413"/>
        <v>Valid</v>
      </c>
      <c r="AS2049" t="str">
        <f t="shared" si="414"/>
        <v>Valid</v>
      </c>
    </row>
    <row r="2050" spans="1:45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 t="str">
        <f t="shared" ref="AD2050:AD2113" si="416">IF(COUNTIF(A:A,A2050)&gt;1,"Duplicate","Ok")</f>
        <v>Ok</v>
      </c>
      <c r="AE2050" t="str">
        <f>IF(AND(Audit_Data[[#This Row],[Year_Birth]]&gt;=1900,Audit_Data[[#This Row],[Year_Birth]]&lt;=2010),"OK","Invalid")</f>
        <v>OK</v>
      </c>
      <c r="AF2050" t="str">
        <f t="shared" ref="AF2050:AF2113" si="417">IF(OR(C2050="Graduation",C2050="phD",C2050="Master",C2050="Basic",C2050="2n Cycle"),"Valid","Invalid")</f>
        <v>Valid</v>
      </c>
      <c r="AG2050" t="str">
        <f t="shared" ref="AG2050:AG2113" si="418">IF(OR(D2050="Single",D2050="Married",D2050="Divorced",D2050="Together",D2050="Widow",D2050="Alone"),"Valid","Invalid")</f>
        <v>Valid</v>
      </c>
      <c r="AH2050" t="str">
        <f t="shared" ref="AH2050:AH2113" si="419">IF(AND(ISNUMBER(E2050),E2050&lt;&gt;""),"Valid","Invalid")</f>
        <v>Valid</v>
      </c>
      <c r="AI2050" t="str">
        <f t="shared" ref="AI2050:AI2113" si="420">IF(AND(F2050&gt;=0,F2050&lt;=2),"Valid","Invalid")</f>
        <v>Valid</v>
      </c>
      <c r="AJ2050" t="str">
        <f t="shared" ref="AJ2050:AJ2113" si="421">IF(AND(G2050&gt;=0,G2050&lt;=2),"Valid","Invalid")</f>
        <v>Valid</v>
      </c>
      <c r="AK2050" t="str">
        <f t="shared" si="415"/>
        <v xml:space="preserve">Valid </v>
      </c>
      <c r="AL2050" t="str">
        <f>IF(AND(Audit_Data[[#This Row],[Recency]]&gt;=0,Audit_Data[[#This Row],[Recency]]&lt;=100),"Valid","Invalid")</f>
        <v>Valid</v>
      </c>
      <c r="AM2050" t="str">
        <f t="shared" ref="AM2050:AM2113" si="422">IF(AND(ISNUMBER(J2050),J2050&gt;=0,ISNUMBER(K2050),K2050&gt;=0,ISNUMBER(L2050),L2050&gt;=0,ISNUMBER(M2050),M2050&gt;=0,ISNUMBER(N2050),N2050&gt;=0,ISNUMBER(O2050),O2050&gt;=0),"Valid","Invalid")</f>
        <v>Valid</v>
      </c>
      <c r="AN2050" t="str">
        <f t="shared" ref="AN2050:AN2113" si="423">IF(AND(ISNUMBER(P2050),P2050&gt;=0,ISNUMBER(Q2050),Q2050&gt;=0,ISNUMBER(R2050),R2050&gt;=0,ISNUMBER(S2050),S2050&gt;=0,ISNUMBER(T2050),T2050&gt;=0),"Valid","Invalid")</f>
        <v>Valid</v>
      </c>
      <c r="AO2050" t="str">
        <f t="shared" ref="AO2050:AO2113" si="424">IF(AND(U2050&lt;=1,V2050&lt;=1,W2050&lt;=1,X2050&lt;=1,Y2050&lt;=1),"Valid","Invalid")</f>
        <v>Valid</v>
      </c>
      <c r="AP2050" t="str">
        <f t="shared" ref="AP2050:AP2113" si="425">IF(OR(Z2050=0,Z2050=1),"Valid","Invalid")</f>
        <v>Valid</v>
      </c>
      <c r="AQ2050" t="str">
        <f>IF(Audit_Data[[#This Row],[Z_CostContact]]=3,"Valid","Invalid")</f>
        <v>Valid</v>
      </c>
      <c r="AR2050" t="str">
        <f t="shared" ref="AR2050:AR2113" si="426">IF(AB2050=11,"Valid","Invalid")</f>
        <v>Valid</v>
      </c>
      <c r="AS2050" t="str">
        <f t="shared" ref="AS2050:AS2113" si="427">IF(OR(AC2050=0,AC2050=1),"Valid","Invalid")</f>
        <v>Valid</v>
      </c>
    </row>
    <row r="2051" spans="1:45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 t="str">
        <f t="shared" si="416"/>
        <v>Ok</v>
      </c>
      <c r="AE2051" t="str">
        <f>IF(AND(Audit_Data[[#This Row],[Year_Birth]]&gt;=1900,Audit_Data[[#This Row],[Year_Birth]]&lt;=2010),"OK","Invalid")</f>
        <v>OK</v>
      </c>
      <c r="AF2051" t="str">
        <f t="shared" si="417"/>
        <v>Valid</v>
      </c>
      <c r="AG2051" t="str">
        <f t="shared" si="418"/>
        <v>Valid</v>
      </c>
      <c r="AH2051" t="str">
        <f t="shared" si="419"/>
        <v>Valid</v>
      </c>
      <c r="AI2051" t="str">
        <f t="shared" si="420"/>
        <v>Valid</v>
      </c>
      <c r="AJ2051" t="str">
        <f t="shared" si="421"/>
        <v>Valid</v>
      </c>
      <c r="AK2051" t="str">
        <f t="shared" ref="AK2051:AK2114" si="428">IF(AND(ISNUMBER(H2051),H2051&gt;=DATE(2012,1,1),H2051&lt;=DATE(2014,12,31)),"Valid ","Invalid")</f>
        <v xml:space="preserve">Valid </v>
      </c>
      <c r="AL2051" t="str">
        <f>IF(AND(Audit_Data[[#This Row],[Recency]]&gt;=0,Audit_Data[[#This Row],[Recency]]&lt;=100),"Valid","Invalid")</f>
        <v>Valid</v>
      </c>
      <c r="AM2051" t="str">
        <f t="shared" si="422"/>
        <v>Valid</v>
      </c>
      <c r="AN2051" t="str">
        <f t="shared" si="423"/>
        <v>Valid</v>
      </c>
      <c r="AO2051" t="str">
        <f t="shared" si="424"/>
        <v>Valid</v>
      </c>
      <c r="AP2051" t="str">
        <f t="shared" si="425"/>
        <v>Valid</v>
      </c>
      <c r="AQ2051" t="str">
        <f>IF(Audit_Data[[#This Row],[Z_CostContact]]=3,"Valid","Invalid")</f>
        <v>Valid</v>
      </c>
      <c r="AR2051" t="str">
        <f t="shared" si="426"/>
        <v>Valid</v>
      </c>
      <c r="AS2051" t="str">
        <f t="shared" si="427"/>
        <v>Valid</v>
      </c>
    </row>
    <row r="2052" spans="1:45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 t="str">
        <f t="shared" si="416"/>
        <v>Ok</v>
      </c>
      <c r="AE2052" t="str">
        <f>IF(AND(Audit_Data[[#This Row],[Year_Birth]]&gt;=1900,Audit_Data[[#This Row],[Year_Birth]]&lt;=2010),"OK","Invalid")</f>
        <v>OK</v>
      </c>
      <c r="AF2052" t="str">
        <f t="shared" si="417"/>
        <v>Valid</v>
      </c>
      <c r="AG2052" t="str">
        <f t="shared" si="418"/>
        <v>Valid</v>
      </c>
      <c r="AH2052" t="str">
        <f t="shared" si="419"/>
        <v>Valid</v>
      </c>
      <c r="AI2052" t="str">
        <f t="shared" si="420"/>
        <v>Valid</v>
      </c>
      <c r="AJ2052" t="str">
        <f t="shared" si="421"/>
        <v>Valid</v>
      </c>
      <c r="AK2052" t="str">
        <f t="shared" si="428"/>
        <v xml:space="preserve">Valid </v>
      </c>
      <c r="AL2052" t="str">
        <f>IF(AND(Audit_Data[[#This Row],[Recency]]&gt;=0,Audit_Data[[#This Row],[Recency]]&lt;=100),"Valid","Invalid")</f>
        <v>Valid</v>
      </c>
      <c r="AM2052" t="str">
        <f t="shared" si="422"/>
        <v>Valid</v>
      </c>
      <c r="AN2052" t="str">
        <f t="shared" si="423"/>
        <v>Valid</v>
      </c>
      <c r="AO2052" t="str">
        <f t="shared" si="424"/>
        <v>Valid</v>
      </c>
      <c r="AP2052" t="str">
        <f t="shared" si="425"/>
        <v>Valid</v>
      </c>
      <c r="AQ2052" t="str">
        <f>IF(Audit_Data[[#This Row],[Z_CostContact]]=3,"Valid","Invalid")</f>
        <v>Valid</v>
      </c>
      <c r="AR2052" t="str">
        <f t="shared" si="426"/>
        <v>Valid</v>
      </c>
      <c r="AS2052" t="str">
        <f t="shared" si="427"/>
        <v>Valid</v>
      </c>
    </row>
    <row r="2053" spans="1:45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 t="str">
        <f t="shared" si="416"/>
        <v>Ok</v>
      </c>
      <c r="AE2053" t="str">
        <f>IF(AND(Audit_Data[[#This Row],[Year_Birth]]&gt;=1900,Audit_Data[[#This Row],[Year_Birth]]&lt;=2010),"OK","Invalid")</f>
        <v>OK</v>
      </c>
      <c r="AF2053" t="str">
        <f t="shared" si="417"/>
        <v>Valid</v>
      </c>
      <c r="AG2053" t="str">
        <f t="shared" si="418"/>
        <v>Valid</v>
      </c>
      <c r="AH2053" t="str">
        <f t="shared" si="419"/>
        <v>Valid</v>
      </c>
      <c r="AI2053" t="str">
        <f t="shared" si="420"/>
        <v>Valid</v>
      </c>
      <c r="AJ2053" t="str">
        <f t="shared" si="421"/>
        <v>Valid</v>
      </c>
      <c r="AK2053" t="str">
        <f t="shared" si="428"/>
        <v xml:space="preserve">Valid </v>
      </c>
      <c r="AL2053" t="str">
        <f>IF(AND(Audit_Data[[#This Row],[Recency]]&gt;=0,Audit_Data[[#This Row],[Recency]]&lt;=100),"Valid","Invalid")</f>
        <v>Valid</v>
      </c>
      <c r="AM2053" t="str">
        <f t="shared" si="422"/>
        <v>Valid</v>
      </c>
      <c r="AN2053" t="str">
        <f t="shared" si="423"/>
        <v>Valid</v>
      </c>
      <c r="AO2053" t="str">
        <f t="shared" si="424"/>
        <v>Valid</v>
      </c>
      <c r="AP2053" t="str">
        <f t="shared" si="425"/>
        <v>Valid</v>
      </c>
      <c r="AQ2053" t="str">
        <f>IF(Audit_Data[[#This Row],[Z_CostContact]]=3,"Valid","Invalid")</f>
        <v>Valid</v>
      </c>
      <c r="AR2053" t="str">
        <f t="shared" si="426"/>
        <v>Valid</v>
      </c>
      <c r="AS2053" t="str">
        <f t="shared" si="427"/>
        <v>Valid</v>
      </c>
    </row>
    <row r="2054" spans="1:45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 t="str">
        <f t="shared" si="416"/>
        <v>Ok</v>
      </c>
      <c r="AE2054" t="str">
        <f>IF(AND(Audit_Data[[#This Row],[Year_Birth]]&gt;=1900,Audit_Data[[#This Row],[Year_Birth]]&lt;=2010),"OK","Invalid")</f>
        <v>OK</v>
      </c>
      <c r="AF2054" t="str">
        <f t="shared" si="417"/>
        <v>Valid</v>
      </c>
      <c r="AG2054" t="str">
        <f t="shared" si="418"/>
        <v>Valid</v>
      </c>
      <c r="AH2054" t="str">
        <f t="shared" si="419"/>
        <v>Valid</v>
      </c>
      <c r="AI2054" t="str">
        <f t="shared" si="420"/>
        <v>Valid</v>
      </c>
      <c r="AJ2054" t="str">
        <f t="shared" si="421"/>
        <v>Valid</v>
      </c>
      <c r="AK2054" t="str">
        <f t="shared" si="428"/>
        <v xml:space="preserve">Valid </v>
      </c>
      <c r="AL2054" t="str">
        <f>IF(AND(Audit_Data[[#This Row],[Recency]]&gt;=0,Audit_Data[[#This Row],[Recency]]&lt;=100),"Valid","Invalid")</f>
        <v>Valid</v>
      </c>
      <c r="AM2054" t="str">
        <f t="shared" si="422"/>
        <v>Valid</v>
      </c>
      <c r="AN2054" t="str">
        <f t="shared" si="423"/>
        <v>Valid</v>
      </c>
      <c r="AO2054" t="str">
        <f t="shared" si="424"/>
        <v>Valid</v>
      </c>
      <c r="AP2054" t="str">
        <f t="shared" si="425"/>
        <v>Valid</v>
      </c>
      <c r="AQ2054" t="str">
        <f>IF(Audit_Data[[#This Row],[Z_CostContact]]=3,"Valid","Invalid")</f>
        <v>Valid</v>
      </c>
      <c r="AR2054" t="str">
        <f t="shared" si="426"/>
        <v>Valid</v>
      </c>
      <c r="AS2054" t="str">
        <f t="shared" si="427"/>
        <v>Valid</v>
      </c>
    </row>
    <row r="2055" spans="1:45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 t="str">
        <f t="shared" si="416"/>
        <v>Ok</v>
      </c>
      <c r="AE2055" t="str">
        <f>IF(AND(Audit_Data[[#This Row],[Year_Birth]]&gt;=1900,Audit_Data[[#This Row],[Year_Birth]]&lt;=2010),"OK","Invalid")</f>
        <v>OK</v>
      </c>
      <c r="AF2055" t="str">
        <f t="shared" si="417"/>
        <v>Valid</v>
      </c>
      <c r="AG2055" t="str">
        <f t="shared" si="418"/>
        <v>Valid</v>
      </c>
      <c r="AH2055" t="str">
        <f t="shared" si="419"/>
        <v>Valid</v>
      </c>
      <c r="AI2055" t="str">
        <f t="shared" si="420"/>
        <v>Valid</v>
      </c>
      <c r="AJ2055" t="str">
        <f t="shared" si="421"/>
        <v>Valid</v>
      </c>
      <c r="AK2055" t="str">
        <f t="shared" si="428"/>
        <v xml:space="preserve">Valid </v>
      </c>
      <c r="AL2055" t="str">
        <f>IF(AND(Audit_Data[[#This Row],[Recency]]&gt;=0,Audit_Data[[#This Row],[Recency]]&lt;=100),"Valid","Invalid")</f>
        <v>Valid</v>
      </c>
      <c r="AM2055" t="str">
        <f t="shared" si="422"/>
        <v>Valid</v>
      </c>
      <c r="AN2055" t="str">
        <f t="shared" si="423"/>
        <v>Valid</v>
      </c>
      <c r="AO2055" t="str">
        <f t="shared" si="424"/>
        <v>Valid</v>
      </c>
      <c r="AP2055" t="str">
        <f t="shared" si="425"/>
        <v>Valid</v>
      </c>
      <c r="AQ2055" t="str">
        <f>IF(Audit_Data[[#This Row],[Z_CostContact]]=3,"Valid","Invalid")</f>
        <v>Valid</v>
      </c>
      <c r="AR2055" t="str">
        <f t="shared" si="426"/>
        <v>Valid</v>
      </c>
      <c r="AS2055" t="str">
        <f t="shared" si="427"/>
        <v>Valid</v>
      </c>
    </row>
    <row r="2056" spans="1:45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 t="str">
        <f t="shared" si="416"/>
        <v>Ok</v>
      </c>
      <c r="AE2056" t="str">
        <f>IF(AND(Audit_Data[[#This Row],[Year_Birth]]&gt;=1900,Audit_Data[[#This Row],[Year_Birth]]&lt;=2010),"OK","Invalid")</f>
        <v>OK</v>
      </c>
      <c r="AF2056" t="str">
        <f t="shared" si="417"/>
        <v>Valid</v>
      </c>
      <c r="AG2056" t="str">
        <f t="shared" si="418"/>
        <v>Valid</v>
      </c>
      <c r="AH2056" t="str">
        <f t="shared" si="419"/>
        <v>Valid</v>
      </c>
      <c r="AI2056" t="str">
        <f t="shared" si="420"/>
        <v>Valid</v>
      </c>
      <c r="AJ2056" t="str">
        <f t="shared" si="421"/>
        <v>Valid</v>
      </c>
      <c r="AK2056" t="str">
        <f t="shared" si="428"/>
        <v xml:space="preserve">Valid </v>
      </c>
      <c r="AL2056" t="str">
        <f>IF(AND(Audit_Data[[#This Row],[Recency]]&gt;=0,Audit_Data[[#This Row],[Recency]]&lt;=100),"Valid","Invalid")</f>
        <v>Valid</v>
      </c>
      <c r="AM2056" t="str">
        <f t="shared" si="422"/>
        <v>Valid</v>
      </c>
      <c r="AN2056" t="str">
        <f t="shared" si="423"/>
        <v>Valid</v>
      </c>
      <c r="AO2056" t="str">
        <f t="shared" si="424"/>
        <v>Valid</v>
      </c>
      <c r="AP2056" t="str">
        <f t="shared" si="425"/>
        <v>Valid</v>
      </c>
      <c r="AQ2056" t="str">
        <f>IF(Audit_Data[[#This Row],[Z_CostContact]]=3,"Valid","Invalid")</f>
        <v>Valid</v>
      </c>
      <c r="AR2056" t="str">
        <f t="shared" si="426"/>
        <v>Valid</v>
      </c>
      <c r="AS2056" t="str">
        <f t="shared" si="427"/>
        <v>Valid</v>
      </c>
    </row>
    <row r="2057" spans="1:45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 t="str">
        <f t="shared" si="416"/>
        <v>Ok</v>
      </c>
      <c r="AE2057" t="str">
        <f>IF(AND(Audit_Data[[#This Row],[Year_Birth]]&gt;=1900,Audit_Data[[#This Row],[Year_Birth]]&lt;=2010),"OK","Invalid")</f>
        <v>OK</v>
      </c>
      <c r="AF2057" t="str">
        <f t="shared" si="417"/>
        <v>Valid</v>
      </c>
      <c r="AG2057" t="str">
        <f t="shared" si="418"/>
        <v>Valid</v>
      </c>
      <c r="AH2057" t="str">
        <f t="shared" si="419"/>
        <v>Valid</v>
      </c>
      <c r="AI2057" t="str">
        <f t="shared" si="420"/>
        <v>Valid</v>
      </c>
      <c r="AJ2057" t="str">
        <f t="shared" si="421"/>
        <v>Valid</v>
      </c>
      <c r="AK2057" t="str">
        <f t="shared" si="428"/>
        <v xml:space="preserve">Valid </v>
      </c>
      <c r="AL2057" t="str">
        <f>IF(AND(Audit_Data[[#This Row],[Recency]]&gt;=0,Audit_Data[[#This Row],[Recency]]&lt;=100),"Valid","Invalid")</f>
        <v>Valid</v>
      </c>
      <c r="AM2057" t="str">
        <f t="shared" si="422"/>
        <v>Valid</v>
      </c>
      <c r="AN2057" t="str">
        <f t="shared" si="423"/>
        <v>Valid</v>
      </c>
      <c r="AO2057" t="str">
        <f t="shared" si="424"/>
        <v>Valid</v>
      </c>
      <c r="AP2057" t="str">
        <f t="shared" si="425"/>
        <v>Valid</v>
      </c>
      <c r="AQ2057" t="str">
        <f>IF(Audit_Data[[#This Row],[Z_CostContact]]=3,"Valid","Invalid")</f>
        <v>Valid</v>
      </c>
      <c r="AR2057" t="str">
        <f t="shared" si="426"/>
        <v>Valid</v>
      </c>
      <c r="AS2057" t="str">
        <f t="shared" si="427"/>
        <v>Valid</v>
      </c>
    </row>
    <row r="2058" spans="1:45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 t="str">
        <f t="shared" si="416"/>
        <v>Ok</v>
      </c>
      <c r="AE2058" t="str">
        <f>IF(AND(Audit_Data[[#This Row],[Year_Birth]]&gt;=1900,Audit_Data[[#This Row],[Year_Birth]]&lt;=2010),"OK","Invalid")</f>
        <v>OK</v>
      </c>
      <c r="AF2058" t="str">
        <f t="shared" si="417"/>
        <v>Valid</v>
      </c>
      <c r="AG2058" t="str">
        <f t="shared" si="418"/>
        <v>Valid</v>
      </c>
      <c r="AH2058" t="str">
        <f t="shared" si="419"/>
        <v>Valid</v>
      </c>
      <c r="AI2058" t="str">
        <f t="shared" si="420"/>
        <v>Valid</v>
      </c>
      <c r="AJ2058" t="str">
        <f t="shared" si="421"/>
        <v>Valid</v>
      </c>
      <c r="AK2058" t="str">
        <f t="shared" si="428"/>
        <v xml:space="preserve">Valid </v>
      </c>
      <c r="AL2058" t="str">
        <f>IF(AND(Audit_Data[[#This Row],[Recency]]&gt;=0,Audit_Data[[#This Row],[Recency]]&lt;=100),"Valid","Invalid")</f>
        <v>Valid</v>
      </c>
      <c r="AM2058" t="str">
        <f t="shared" si="422"/>
        <v>Valid</v>
      </c>
      <c r="AN2058" t="str">
        <f t="shared" si="423"/>
        <v>Valid</v>
      </c>
      <c r="AO2058" t="str">
        <f t="shared" si="424"/>
        <v>Valid</v>
      </c>
      <c r="AP2058" t="str">
        <f t="shared" si="425"/>
        <v>Valid</v>
      </c>
      <c r="AQ2058" t="str">
        <f>IF(Audit_Data[[#This Row],[Z_CostContact]]=3,"Valid","Invalid")</f>
        <v>Valid</v>
      </c>
      <c r="AR2058" t="str">
        <f t="shared" si="426"/>
        <v>Valid</v>
      </c>
      <c r="AS2058" t="str">
        <f t="shared" si="427"/>
        <v>Valid</v>
      </c>
    </row>
    <row r="2059" spans="1:45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 t="str">
        <f t="shared" si="416"/>
        <v>Ok</v>
      </c>
      <c r="AE2059" t="str">
        <f>IF(AND(Audit_Data[[#This Row],[Year_Birth]]&gt;=1900,Audit_Data[[#This Row],[Year_Birth]]&lt;=2010),"OK","Invalid")</f>
        <v>OK</v>
      </c>
      <c r="AF2059" t="str">
        <f t="shared" si="417"/>
        <v>Valid</v>
      </c>
      <c r="AG2059" t="str">
        <f t="shared" si="418"/>
        <v>Valid</v>
      </c>
      <c r="AH2059" t="str">
        <f t="shared" si="419"/>
        <v>Valid</v>
      </c>
      <c r="AI2059" t="str">
        <f t="shared" si="420"/>
        <v>Valid</v>
      </c>
      <c r="AJ2059" t="str">
        <f t="shared" si="421"/>
        <v>Valid</v>
      </c>
      <c r="AK2059" t="str">
        <f t="shared" si="428"/>
        <v xml:space="preserve">Valid </v>
      </c>
      <c r="AL2059" t="str">
        <f>IF(AND(Audit_Data[[#This Row],[Recency]]&gt;=0,Audit_Data[[#This Row],[Recency]]&lt;=100),"Valid","Invalid")</f>
        <v>Valid</v>
      </c>
      <c r="AM2059" t="str">
        <f t="shared" si="422"/>
        <v>Valid</v>
      </c>
      <c r="AN2059" t="str">
        <f t="shared" si="423"/>
        <v>Valid</v>
      </c>
      <c r="AO2059" t="str">
        <f t="shared" si="424"/>
        <v>Valid</v>
      </c>
      <c r="AP2059" t="str">
        <f t="shared" si="425"/>
        <v>Valid</v>
      </c>
      <c r="AQ2059" t="str">
        <f>IF(Audit_Data[[#This Row],[Z_CostContact]]=3,"Valid","Invalid")</f>
        <v>Valid</v>
      </c>
      <c r="AR2059" t="str">
        <f t="shared" si="426"/>
        <v>Valid</v>
      </c>
      <c r="AS2059" t="str">
        <f t="shared" si="427"/>
        <v>Valid</v>
      </c>
    </row>
    <row r="2060" spans="1:45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 t="str">
        <f t="shared" si="416"/>
        <v>Ok</v>
      </c>
      <c r="AE2060" t="str">
        <f>IF(AND(Audit_Data[[#This Row],[Year_Birth]]&gt;=1900,Audit_Data[[#This Row],[Year_Birth]]&lt;=2010),"OK","Invalid")</f>
        <v>OK</v>
      </c>
      <c r="AF2060" t="str">
        <f t="shared" si="417"/>
        <v>Valid</v>
      </c>
      <c r="AG2060" t="str">
        <f t="shared" si="418"/>
        <v>Valid</v>
      </c>
      <c r="AH2060" t="str">
        <f t="shared" si="419"/>
        <v>Valid</v>
      </c>
      <c r="AI2060" t="str">
        <f t="shared" si="420"/>
        <v>Valid</v>
      </c>
      <c r="AJ2060" t="str">
        <f t="shared" si="421"/>
        <v>Valid</v>
      </c>
      <c r="AK2060" t="str">
        <f t="shared" si="428"/>
        <v xml:space="preserve">Valid </v>
      </c>
      <c r="AL2060" t="str">
        <f>IF(AND(Audit_Data[[#This Row],[Recency]]&gt;=0,Audit_Data[[#This Row],[Recency]]&lt;=100),"Valid","Invalid")</f>
        <v>Valid</v>
      </c>
      <c r="AM2060" t="str">
        <f t="shared" si="422"/>
        <v>Valid</v>
      </c>
      <c r="AN2060" t="str">
        <f t="shared" si="423"/>
        <v>Valid</v>
      </c>
      <c r="AO2060" t="str">
        <f t="shared" si="424"/>
        <v>Valid</v>
      </c>
      <c r="AP2060" t="str">
        <f t="shared" si="425"/>
        <v>Valid</v>
      </c>
      <c r="AQ2060" t="str">
        <f>IF(Audit_Data[[#This Row],[Z_CostContact]]=3,"Valid","Invalid")</f>
        <v>Valid</v>
      </c>
      <c r="AR2060" t="str">
        <f t="shared" si="426"/>
        <v>Valid</v>
      </c>
      <c r="AS2060" t="str">
        <f t="shared" si="427"/>
        <v>Valid</v>
      </c>
    </row>
    <row r="2061" spans="1:45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 t="str">
        <f t="shared" si="416"/>
        <v>Ok</v>
      </c>
      <c r="AE2061" t="str">
        <f>IF(AND(Audit_Data[[#This Row],[Year_Birth]]&gt;=1900,Audit_Data[[#This Row],[Year_Birth]]&lt;=2010),"OK","Invalid")</f>
        <v>OK</v>
      </c>
      <c r="AF2061" t="str">
        <f t="shared" si="417"/>
        <v>Valid</v>
      </c>
      <c r="AG2061" t="str">
        <f t="shared" si="418"/>
        <v>Valid</v>
      </c>
      <c r="AH2061" t="str">
        <f t="shared" si="419"/>
        <v>Invalid</v>
      </c>
      <c r="AI2061" t="str">
        <f t="shared" si="420"/>
        <v>Valid</v>
      </c>
      <c r="AJ2061" t="str">
        <f t="shared" si="421"/>
        <v>Valid</v>
      </c>
      <c r="AK2061" t="str">
        <f t="shared" si="428"/>
        <v xml:space="preserve">Valid </v>
      </c>
      <c r="AL2061" t="str">
        <f>IF(AND(Audit_Data[[#This Row],[Recency]]&gt;=0,Audit_Data[[#This Row],[Recency]]&lt;=100),"Valid","Invalid")</f>
        <v>Valid</v>
      </c>
      <c r="AM2061" t="str">
        <f t="shared" si="422"/>
        <v>Valid</v>
      </c>
      <c r="AN2061" t="str">
        <f t="shared" si="423"/>
        <v>Valid</v>
      </c>
      <c r="AO2061" t="str">
        <f t="shared" si="424"/>
        <v>Valid</v>
      </c>
      <c r="AP2061" t="str">
        <f t="shared" si="425"/>
        <v>Valid</v>
      </c>
      <c r="AQ2061" t="str">
        <f>IF(Audit_Data[[#This Row],[Z_CostContact]]=3,"Valid","Invalid")</f>
        <v>Valid</v>
      </c>
      <c r="AR2061" t="str">
        <f t="shared" si="426"/>
        <v>Valid</v>
      </c>
      <c r="AS2061" t="str">
        <f t="shared" si="427"/>
        <v>Valid</v>
      </c>
    </row>
    <row r="2062" spans="1:45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 t="str">
        <f t="shared" si="416"/>
        <v>Ok</v>
      </c>
      <c r="AE2062" t="str">
        <f>IF(AND(Audit_Data[[#This Row],[Year_Birth]]&gt;=1900,Audit_Data[[#This Row],[Year_Birth]]&lt;=2010),"OK","Invalid")</f>
        <v>OK</v>
      </c>
      <c r="AF2062" t="str">
        <f t="shared" si="417"/>
        <v>Valid</v>
      </c>
      <c r="AG2062" t="str">
        <f t="shared" si="418"/>
        <v>Valid</v>
      </c>
      <c r="AH2062" t="str">
        <f t="shared" si="419"/>
        <v>Valid</v>
      </c>
      <c r="AI2062" t="str">
        <f t="shared" si="420"/>
        <v>Valid</v>
      </c>
      <c r="AJ2062" t="str">
        <f t="shared" si="421"/>
        <v>Valid</v>
      </c>
      <c r="AK2062" t="str">
        <f t="shared" si="428"/>
        <v xml:space="preserve">Valid </v>
      </c>
      <c r="AL2062" t="str">
        <f>IF(AND(Audit_Data[[#This Row],[Recency]]&gt;=0,Audit_Data[[#This Row],[Recency]]&lt;=100),"Valid","Invalid")</f>
        <v>Valid</v>
      </c>
      <c r="AM2062" t="str">
        <f t="shared" si="422"/>
        <v>Valid</v>
      </c>
      <c r="AN2062" t="str">
        <f t="shared" si="423"/>
        <v>Valid</v>
      </c>
      <c r="AO2062" t="str">
        <f t="shared" si="424"/>
        <v>Valid</v>
      </c>
      <c r="AP2062" t="str">
        <f t="shared" si="425"/>
        <v>Valid</v>
      </c>
      <c r="AQ2062" t="str">
        <f>IF(Audit_Data[[#This Row],[Z_CostContact]]=3,"Valid","Invalid")</f>
        <v>Valid</v>
      </c>
      <c r="AR2062" t="str">
        <f t="shared" si="426"/>
        <v>Valid</v>
      </c>
      <c r="AS2062" t="str">
        <f t="shared" si="427"/>
        <v>Valid</v>
      </c>
    </row>
    <row r="2063" spans="1:45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 t="str">
        <f t="shared" si="416"/>
        <v>Ok</v>
      </c>
      <c r="AE2063" t="str">
        <f>IF(AND(Audit_Data[[#This Row],[Year_Birth]]&gt;=1900,Audit_Data[[#This Row],[Year_Birth]]&lt;=2010),"OK","Invalid")</f>
        <v>OK</v>
      </c>
      <c r="AF2063" t="str">
        <f t="shared" si="417"/>
        <v>Valid</v>
      </c>
      <c r="AG2063" t="str">
        <f t="shared" si="418"/>
        <v>Valid</v>
      </c>
      <c r="AH2063" t="str">
        <f t="shared" si="419"/>
        <v>Invalid</v>
      </c>
      <c r="AI2063" t="str">
        <f t="shared" si="420"/>
        <v>Valid</v>
      </c>
      <c r="AJ2063" t="str">
        <f t="shared" si="421"/>
        <v>Valid</v>
      </c>
      <c r="AK2063" t="str">
        <f t="shared" si="428"/>
        <v xml:space="preserve">Valid </v>
      </c>
      <c r="AL2063" t="str">
        <f>IF(AND(Audit_Data[[#This Row],[Recency]]&gt;=0,Audit_Data[[#This Row],[Recency]]&lt;=100),"Valid","Invalid")</f>
        <v>Valid</v>
      </c>
      <c r="AM2063" t="str">
        <f t="shared" si="422"/>
        <v>Valid</v>
      </c>
      <c r="AN2063" t="str">
        <f t="shared" si="423"/>
        <v>Valid</v>
      </c>
      <c r="AO2063" t="str">
        <f t="shared" si="424"/>
        <v>Valid</v>
      </c>
      <c r="AP2063" t="str">
        <f t="shared" si="425"/>
        <v>Valid</v>
      </c>
      <c r="AQ2063" t="str">
        <f>IF(Audit_Data[[#This Row],[Z_CostContact]]=3,"Valid","Invalid")</f>
        <v>Valid</v>
      </c>
      <c r="AR2063" t="str">
        <f t="shared" si="426"/>
        <v>Valid</v>
      </c>
      <c r="AS2063" t="str">
        <f t="shared" si="427"/>
        <v>Valid</v>
      </c>
    </row>
    <row r="2064" spans="1:45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 t="str">
        <f t="shared" si="416"/>
        <v>Ok</v>
      </c>
      <c r="AE2064" t="str">
        <f>IF(AND(Audit_Data[[#This Row],[Year_Birth]]&gt;=1900,Audit_Data[[#This Row],[Year_Birth]]&lt;=2010),"OK","Invalid")</f>
        <v>OK</v>
      </c>
      <c r="AF2064" t="str">
        <f t="shared" si="417"/>
        <v>Valid</v>
      </c>
      <c r="AG2064" t="str">
        <f t="shared" si="418"/>
        <v>Valid</v>
      </c>
      <c r="AH2064" t="str">
        <f t="shared" si="419"/>
        <v>Valid</v>
      </c>
      <c r="AI2064" t="str">
        <f t="shared" si="420"/>
        <v>Valid</v>
      </c>
      <c r="AJ2064" t="str">
        <f t="shared" si="421"/>
        <v>Valid</v>
      </c>
      <c r="AK2064" t="str">
        <f t="shared" si="428"/>
        <v xml:space="preserve">Valid </v>
      </c>
      <c r="AL2064" t="str">
        <f>IF(AND(Audit_Data[[#This Row],[Recency]]&gt;=0,Audit_Data[[#This Row],[Recency]]&lt;=100),"Valid","Invalid")</f>
        <v>Valid</v>
      </c>
      <c r="AM2064" t="str">
        <f t="shared" si="422"/>
        <v>Valid</v>
      </c>
      <c r="AN2064" t="str">
        <f t="shared" si="423"/>
        <v>Valid</v>
      </c>
      <c r="AO2064" t="str">
        <f t="shared" si="424"/>
        <v>Valid</v>
      </c>
      <c r="AP2064" t="str">
        <f t="shared" si="425"/>
        <v>Valid</v>
      </c>
      <c r="AQ2064" t="str">
        <f>IF(Audit_Data[[#This Row],[Z_CostContact]]=3,"Valid","Invalid")</f>
        <v>Valid</v>
      </c>
      <c r="AR2064" t="str">
        <f t="shared" si="426"/>
        <v>Valid</v>
      </c>
      <c r="AS2064" t="str">
        <f t="shared" si="427"/>
        <v>Valid</v>
      </c>
    </row>
    <row r="2065" spans="1:45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 t="str">
        <f t="shared" si="416"/>
        <v>Ok</v>
      </c>
      <c r="AE2065" t="str">
        <f>IF(AND(Audit_Data[[#This Row],[Year_Birth]]&gt;=1900,Audit_Data[[#This Row],[Year_Birth]]&lt;=2010),"OK","Invalid")</f>
        <v>OK</v>
      </c>
      <c r="AF2065" t="str">
        <f t="shared" si="417"/>
        <v>Valid</v>
      </c>
      <c r="AG2065" t="str">
        <f t="shared" si="418"/>
        <v>Valid</v>
      </c>
      <c r="AH2065" t="str">
        <f t="shared" si="419"/>
        <v>Valid</v>
      </c>
      <c r="AI2065" t="str">
        <f t="shared" si="420"/>
        <v>Valid</v>
      </c>
      <c r="AJ2065" t="str">
        <f t="shared" si="421"/>
        <v>Valid</v>
      </c>
      <c r="AK2065" t="str">
        <f t="shared" si="428"/>
        <v xml:space="preserve">Valid </v>
      </c>
      <c r="AL2065" t="str">
        <f>IF(AND(Audit_Data[[#This Row],[Recency]]&gt;=0,Audit_Data[[#This Row],[Recency]]&lt;=100),"Valid","Invalid")</f>
        <v>Valid</v>
      </c>
      <c r="AM2065" t="str">
        <f t="shared" si="422"/>
        <v>Valid</v>
      </c>
      <c r="AN2065" t="str">
        <f t="shared" si="423"/>
        <v>Valid</v>
      </c>
      <c r="AO2065" t="str">
        <f t="shared" si="424"/>
        <v>Valid</v>
      </c>
      <c r="AP2065" t="str">
        <f t="shared" si="425"/>
        <v>Valid</v>
      </c>
      <c r="AQ2065" t="str">
        <f>IF(Audit_Data[[#This Row],[Z_CostContact]]=3,"Valid","Invalid")</f>
        <v>Valid</v>
      </c>
      <c r="AR2065" t="str">
        <f t="shared" si="426"/>
        <v>Valid</v>
      </c>
      <c r="AS2065" t="str">
        <f t="shared" si="427"/>
        <v>Valid</v>
      </c>
    </row>
    <row r="2066" spans="1:45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 t="str">
        <f t="shared" si="416"/>
        <v>Ok</v>
      </c>
      <c r="AE2066" t="str">
        <f>IF(AND(Audit_Data[[#This Row],[Year_Birth]]&gt;=1900,Audit_Data[[#This Row],[Year_Birth]]&lt;=2010),"OK","Invalid")</f>
        <v>OK</v>
      </c>
      <c r="AF2066" t="str">
        <f t="shared" si="417"/>
        <v>Valid</v>
      </c>
      <c r="AG2066" t="str">
        <f t="shared" si="418"/>
        <v>Valid</v>
      </c>
      <c r="AH2066" t="str">
        <f t="shared" si="419"/>
        <v>Valid</v>
      </c>
      <c r="AI2066" t="str">
        <f t="shared" si="420"/>
        <v>Valid</v>
      </c>
      <c r="AJ2066" t="str">
        <f t="shared" si="421"/>
        <v>Valid</v>
      </c>
      <c r="AK2066" t="str">
        <f t="shared" si="428"/>
        <v xml:space="preserve">Valid </v>
      </c>
      <c r="AL2066" t="str">
        <f>IF(AND(Audit_Data[[#This Row],[Recency]]&gt;=0,Audit_Data[[#This Row],[Recency]]&lt;=100),"Valid","Invalid")</f>
        <v>Valid</v>
      </c>
      <c r="AM2066" t="str">
        <f t="shared" si="422"/>
        <v>Valid</v>
      </c>
      <c r="AN2066" t="str">
        <f t="shared" si="423"/>
        <v>Valid</v>
      </c>
      <c r="AO2066" t="str">
        <f t="shared" si="424"/>
        <v>Valid</v>
      </c>
      <c r="AP2066" t="str">
        <f t="shared" si="425"/>
        <v>Valid</v>
      </c>
      <c r="AQ2066" t="str">
        <f>IF(Audit_Data[[#This Row],[Z_CostContact]]=3,"Valid","Invalid")</f>
        <v>Valid</v>
      </c>
      <c r="AR2066" t="str">
        <f t="shared" si="426"/>
        <v>Valid</v>
      </c>
      <c r="AS2066" t="str">
        <f t="shared" si="427"/>
        <v>Valid</v>
      </c>
    </row>
    <row r="2067" spans="1:45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 t="str">
        <f t="shared" si="416"/>
        <v>Ok</v>
      </c>
      <c r="AE2067" t="str">
        <f>IF(AND(Audit_Data[[#This Row],[Year_Birth]]&gt;=1900,Audit_Data[[#This Row],[Year_Birth]]&lt;=2010),"OK","Invalid")</f>
        <v>OK</v>
      </c>
      <c r="AF2067" t="str">
        <f t="shared" si="417"/>
        <v>Valid</v>
      </c>
      <c r="AG2067" t="str">
        <f t="shared" si="418"/>
        <v>Valid</v>
      </c>
      <c r="AH2067" t="str">
        <f t="shared" si="419"/>
        <v>Valid</v>
      </c>
      <c r="AI2067" t="str">
        <f t="shared" si="420"/>
        <v>Valid</v>
      </c>
      <c r="AJ2067" t="str">
        <f t="shared" si="421"/>
        <v>Valid</v>
      </c>
      <c r="AK2067" t="str">
        <f t="shared" si="428"/>
        <v xml:space="preserve">Valid </v>
      </c>
      <c r="AL2067" t="str">
        <f>IF(AND(Audit_Data[[#This Row],[Recency]]&gt;=0,Audit_Data[[#This Row],[Recency]]&lt;=100),"Valid","Invalid")</f>
        <v>Valid</v>
      </c>
      <c r="AM2067" t="str">
        <f t="shared" si="422"/>
        <v>Valid</v>
      </c>
      <c r="AN2067" t="str">
        <f t="shared" si="423"/>
        <v>Valid</v>
      </c>
      <c r="AO2067" t="str">
        <f t="shared" si="424"/>
        <v>Valid</v>
      </c>
      <c r="AP2067" t="str">
        <f t="shared" si="425"/>
        <v>Valid</v>
      </c>
      <c r="AQ2067" t="str">
        <f>IF(Audit_Data[[#This Row],[Z_CostContact]]=3,"Valid","Invalid")</f>
        <v>Valid</v>
      </c>
      <c r="AR2067" t="str">
        <f t="shared" si="426"/>
        <v>Valid</v>
      </c>
      <c r="AS2067" t="str">
        <f t="shared" si="427"/>
        <v>Valid</v>
      </c>
    </row>
    <row r="2068" spans="1:45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 t="str">
        <f t="shared" si="416"/>
        <v>Ok</v>
      </c>
      <c r="AE2068" t="str">
        <f>IF(AND(Audit_Data[[#This Row],[Year_Birth]]&gt;=1900,Audit_Data[[#This Row],[Year_Birth]]&lt;=2010),"OK","Invalid")</f>
        <v>OK</v>
      </c>
      <c r="AF2068" t="str">
        <f t="shared" si="417"/>
        <v>Valid</v>
      </c>
      <c r="AG2068" t="str">
        <f t="shared" si="418"/>
        <v>Valid</v>
      </c>
      <c r="AH2068" t="str">
        <f t="shared" si="419"/>
        <v>Valid</v>
      </c>
      <c r="AI2068" t="str">
        <f t="shared" si="420"/>
        <v>Valid</v>
      </c>
      <c r="AJ2068" t="str">
        <f t="shared" si="421"/>
        <v>Valid</v>
      </c>
      <c r="AK2068" t="str">
        <f t="shared" si="428"/>
        <v xml:space="preserve">Valid </v>
      </c>
      <c r="AL2068" t="str">
        <f>IF(AND(Audit_Data[[#This Row],[Recency]]&gt;=0,Audit_Data[[#This Row],[Recency]]&lt;=100),"Valid","Invalid")</f>
        <v>Valid</v>
      </c>
      <c r="AM2068" t="str">
        <f t="shared" si="422"/>
        <v>Valid</v>
      </c>
      <c r="AN2068" t="str">
        <f t="shared" si="423"/>
        <v>Valid</v>
      </c>
      <c r="AO2068" t="str">
        <f t="shared" si="424"/>
        <v>Valid</v>
      </c>
      <c r="AP2068" t="str">
        <f t="shared" si="425"/>
        <v>Valid</v>
      </c>
      <c r="AQ2068" t="str">
        <f>IF(Audit_Data[[#This Row],[Z_CostContact]]=3,"Valid","Invalid")</f>
        <v>Valid</v>
      </c>
      <c r="AR2068" t="str">
        <f t="shared" si="426"/>
        <v>Valid</v>
      </c>
      <c r="AS2068" t="str">
        <f t="shared" si="427"/>
        <v>Valid</v>
      </c>
    </row>
    <row r="2069" spans="1:45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 t="str">
        <f t="shared" si="416"/>
        <v>Ok</v>
      </c>
      <c r="AE2069" t="str">
        <f>IF(AND(Audit_Data[[#This Row],[Year_Birth]]&gt;=1900,Audit_Data[[#This Row],[Year_Birth]]&lt;=2010),"OK","Invalid")</f>
        <v>OK</v>
      </c>
      <c r="AF2069" t="str">
        <f t="shared" si="417"/>
        <v>Valid</v>
      </c>
      <c r="AG2069" t="str">
        <f t="shared" si="418"/>
        <v>Valid</v>
      </c>
      <c r="AH2069" t="str">
        <f t="shared" si="419"/>
        <v>Valid</v>
      </c>
      <c r="AI2069" t="str">
        <f t="shared" si="420"/>
        <v>Valid</v>
      </c>
      <c r="AJ2069" t="str">
        <f t="shared" si="421"/>
        <v>Valid</v>
      </c>
      <c r="AK2069" t="str">
        <f t="shared" si="428"/>
        <v xml:space="preserve">Valid </v>
      </c>
      <c r="AL2069" t="str">
        <f>IF(AND(Audit_Data[[#This Row],[Recency]]&gt;=0,Audit_Data[[#This Row],[Recency]]&lt;=100),"Valid","Invalid")</f>
        <v>Valid</v>
      </c>
      <c r="AM2069" t="str">
        <f t="shared" si="422"/>
        <v>Valid</v>
      </c>
      <c r="AN2069" t="str">
        <f t="shared" si="423"/>
        <v>Valid</v>
      </c>
      <c r="AO2069" t="str">
        <f t="shared" si="424"/>
        <v>Valid</v>
      </c>
      <c r="AP2069" t="str">
        <f t="shared" si="425"/>
        <v>Valid</v>
      </c>
      <c r="AQ2069" t="str">
        <f>IF(Audit_Data[[#This Row],[Z_CostContact]]=3,"Valid","Invalid")</f>
        <v>Valid</v>
      </c>
      <c r="AR2069" t="str">
        <f t="shared" si="426"/>
        <v>Valid</v>
      </c>
      <c r="AS2069" t="str">
        <f t="shared" si="427"/>
        <v>Valid</v>
      </c>
    </row>
    <row r="2070" spans="1:45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 t="str">
        <f t="shared" si="416"/>
        <v>Ok</v>
      </c>
      <c r="AE2070" t="str">
        <f>IF(AND(Audit_Data[[#This Row],[Year_Birth]]&gt;=1900,Audit_Data[[#This Row],[Year_Birth]]&lt;=2010),"OK","Invalid")</f>
        <v>OK</v>
      </c>
      <c r="AF2070" t="str">
        <f t="shared" si="417"/>
        <v>Valid</v>
      </c>
      <c r="AG2070" t="str">
        <f t="shared" si="418"/>
        <v>Valid</v>
      </c>
      <c r="AH2070" t="str">
        <f t="shared" si="419"/>
        <v>Valid</v>
      </c>
      <c r="AI2070" t="str">
        <f t="shared" si="420"/>
        <v>Valid</v>
      </c>
      <c r="AJ2070" t="str">
        <f t="shared" si="421"/>
        <v>Valid</v>
      </c>
      <c r="AK2070" t="str">
        <f t="shared" si="428"/>
        <v xml:space="preserve">Valid </v>
      </c>
      <c r="AL2070" t="str">
        <f>IF(AND(Audit_Data[[#This Row],[Recency]]&gt;=0,Audit_Data[[#This Row],[Recency]]&lt;=100),"Valid","Invalid")</f>
        <v>Valid</v>
      </c>
      <c r="AM2070" t="str">
        <f t="shared" si="422"/>
        <v>Valid</v>
      </c>
      <c r="AN2070" t="str">
        <f t="shared" si="423"/>
        <v>Valid</v>
      </c>
      <c r="AO2070" t="str">
        <f t="shared" si="424"/>
        <v>Valid</v>
      </c>
      <c r="AP2070" t="str">
        <f t="shared" si="425"/>
        <v>Valid</v>
      </c>
      <c r="AQ2070" t="str">
        <f>IF(Audit_Data[[#This Row],[Z_CostContact]]=3,"Valid","Invalid")</f>
        <v>Valid</v>
      </c>
      <c r="AR2070" t="str">
        <f t="shared" si="426"/>
        <v>Valid</v>
      </c>
      <c r="AS2070" t="str">
        <f t="shared" si="427"/>
        <v>Valid</v>
      </c>
    </row>
    <row r="2071" spans="1:45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 t="str">
        <f t="shared" si="416"/>
        <v>Ok</v>
      </c>
      <c r="AE2071" t="str">
        <f>IF(AND(Audit_Data[[#This Row],[Year_Birth]]&gt;=1900,Audit_Data[[#This Row],[Year_Birth]]&lt;=2010),"OK","Invalid")</f>
        <v>OK</v>
      </c>
      <c r="AF2071" t="str">
        <f t="shared" si="417"/>
        <v>Valid</v>
      </c>
      <c r="AG2071" t="str">
        <f t="shared" si="418"/>
        <v>Valid</v>
      </c>
      <c r="AH2071" t="str">
        <f t="shared" si="419"/>
        <v>Valid</v>
      </c>
      <c r="AI2071" t="str">
        <f t="shared" si="420"/>
        <v>Valid</v>
      </c>
      <c r="AJ2071" t="str">
        <f t="shared" si="421"/>
        <v>Valid</v>
      </c>
      <c r="AK2071" t="str">
        <f t="shared" si="428"/>
        <v xml:space="preserve">Valid </v>
      </c>
      <c r="AL2071" t="str">
        <f>IF(AND(Audit_Data[[#This Row],[Recency]]&gt;=0,Audit_Data[[#This Row],[Recency]]&lt;=100),"Valid","Invalid")</f>
        <v>Valid</v>
      </c>
      <c r="AM2071" t="str">
        <f t="shared" si="422"/>
        <v>Valid</v>
      </c>
      <c r="AN2071" t="str">
        <f t="shared" si="423"/>
        <v>Valid</v>
      </c>
      <c r="AO2071" t="str">
        <f t="shared" si="424"/>
        <v>Valid</v>
      </c>
      <c r="AP2071" t="str">
        <f t="shared" si="425"/>
        <v>Valid</v>
      </c>
      <c r="AQ2071" t="str">
        <f>IF(Audit_Data[[#This Row],[Z_CostContact]]=3,"Valid","Invalid")</f>
        <v>Valid</v>
      </c>
      <c r="AR2071" t="str">
        <f t="shared" si="426"/>
        <v>Valid</v>
      </c>
      <c r="AS2071" t="str">
        <f t="shared" si="427"/>
        <v>Valid</v>
      </c>
    </row>
    <row r="2072" spans="1:45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 t="str">
        <f t="shared" si="416"/>
        <v>Ok</v>
      </c>
      <c r="AE2072" t="str">
        <f>IF(AND(Audit_Data[[#This Row],[Year_Birth]]&gt;=1900,Audit_Data[[#This Row],[Year_Birth]]&lt;=2010),"OK","Invalid")</f>
        <v>OK</v>
      </c>
      <c r="AF2072" t="str">
        <f t="shared" si="417"/>
        <v>Valid</v>
      </c>
      <c r="AG2072" t="str">
        <f t="shared" si="418"/>
        <v>Valid</v>
      </c>
      <c r="AH2072" t="str">
        <f t="shared" si="419"/>
        <v>Valid</v>
      </c>
      <c r="AI2072" t="str">
        <f t="shared" si="420"/>
        <v>Valid</v>
      </c>
      <c r="AJ2072" t="str">
        <f t="shared" si="421"/>
        <v>Valid</v>
      </c>
      <c r="AK2072" t="str">
        <f t="shared" si="428"/>
        <v xml:space="preserve">Valid </v>
      </c>
      <c r="AL2072" t="str">
        <f>IF(AND(Audit_Data[[#This Row],[Recency]]&gt;=0,Audit_Data[[#This Row],[Recency]]&lt;=100),"Valid","Invalid")</f>
        <v>Valid</v>
      </c>
      <c r="AM2072" t="str">
        <f t="shared" si="422"/>
        <v>Valid</v>
      </c>
      <c r="AN2072" t="str">
        <f t="shared" si="423"/>
        <v>Valid</v>
      </c>
      <c r="AO2072" t="str">
        <f t="shared" si="424"/>
        <v>Valid</v>
      </c>
      <c r="AP2072" t="str">
        <f t="shared" si="425"/>
        <v>Valid</v>
      </c>
      <c r="AQ2072" t="str">
        <f>IF(Audit_Data[[#This Row],[Z_CostContact]]=3,"Valid","Invalid")</f>
        <v>Valid</v>
      </c>
      <c r="AR2072" t="str">
        <f t="shared" si="426"/>
        <v>Valid</v>
      </c>
      <c r="AS2072" t="str">
        <f t="shared" si="427"/>
        <v>Valid</v>
      </c>
    </row>
    <row r="2073" spans="1:45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 t="str">
        <f t="shared" si="416"/>
        <v>Ok</v>
      </c>
      <c r="AE2073" t="str">
        <f>IF(AND(Audit_Data[[#This Row],[Year_Birth]]&gt;=1900,Audit_Data[[#This Row],[Year_Birth]]&lt;=2010),"OK","Invalid")</f>
        <v>OK</v>
      </c>
      <c r="AF2073" t="str">
        <f t="shared" si="417"/>
        <v>Valid</v>
      </c>
      <c r="AG2073" t="str">
        <f t="shared" si="418"/>
        <v>Valid</v>
      </c>
      <c r="AH2073" t="str">
        <f t="shared" si="419"/>
        <v>Valid</v>
      </c>
      <c r="AI2073" t="str">
        <f t="shared" si="420"/>
        <v>Valid</v>
      </c>
      <c r="AJ2073" t="str">
        <f t="shared" si="421"/>
        <v>Valid</v>
      </c>
      <c r="AK2073" t="str">
        <f t="shared" si="428"/>
        <v xml:space="preserve">Valid </v>
      </c>
      <c r="AL2073" t="str">
        <f>IF(AND(Audit_Data[[#This Row],[Recency]]&gt;=0,Audit_Data[[#This Row],[Recency]]&lt;=100),"Valid","Invalid")</f>
        <v>Valid</v>
      </c>
      <c r="AM2073" t="str">
        <f t="shared" si="422"/>
        <v>Valid</v>
      </c>
      <c r="AN2073" t="str">
        <f t="shared" si="423"/>
        <v>Valid</v>
      </c>
      <c r="AO2073" t="str">
        <f t="shared" si="424"/>
        <v>Valid</v>
      </c>
      <c r="AP2073" t="str">
        <f t="shared" si="425"/>
        <v>Valid</v>
      </c>
      <c r="AQ2073" t="str">
        <f>IF(Audit_Data[[#This Row],[Z_CostContact]]=3,"Valid","Invalid")</f>
        <v>Valid</v>
      </c>
      <c r="AR2073" t="str">
        <f t="shared" si="426"/>
        <v>Valid</v>
      </c>
      <c r="AS2073" t="str">
        <f t="shared" si="427"/>
        <v>Valid</v>
      </c>
    </row>
    <row r="2074" spans="1:45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 t="str">
        <f t="shared" si="416"/>
        <v>Ok</v>
      </c>
      <c r="AE2074" t="str">
        <f>IF(AND(Audit_Data[[#This Row],[Year_Birth]]&gt;=1900,Audit_Data[[#This Row],[Year_Birth]]&lt;=2010),"OK","Invalid")</f>
        <v>OK</v>
      </c>
      <c r="AF2074" t="str">
        <f t="shared" si="417"/>
        <v>Valid</v>
      </c>
      <c r="AG2074" t="str">
        <f t="shared" si="418"/>
        <v>Valid</v>
      </c>
      <c r="AH2074" t="str">
        <f t="shared" si="419"/>
        <v>Valid</v>
      </c>
      <c r="AI2074" t="str">
        <f t="shared" si="420"/>
        <v>Valid</v>
      </c>
      <c r="AJ2074" t="str">
        <f t="shared" si="421"/>
        <v>Valid</v>
      </c>
      <c r="AK2074" t="str">
        <f t="shared" si="428"/>
        <v xml:space="preserve">Valid </v>
      </c>
      <c r="AL2074" t="str">
        <f>IF(AND(Audit_Data[[#This Row],[Recency]]&gt;=0,Audit_Data[[#This Row],[Recency]]&lt;=100),"Valid","Invalid")</f>
        <v>Valid</v>
      </c>
      <c r="AM2074" t="str">
        <f t="shared" si="422"/>
        <v>Valid</v>
      </c>
      <c r="AN2074" t="str">
        <f t="shared" si="423"/>
        <v>Valid</v>
      </c>
      <c r="AO2074" t="str">
        <f t="shared" si="424"/>
        <v>Valid</v>
      </c>
      <c r="AP2074" t="str">
        <f t="shared" si="425"/>
        <v>Valid</v>
      </c>
      <c r="AQ2074" t="str">
        <f>IF(Audit_Data[[#This Row],[Z_CostContact]]=3,"Valid","Invalid")</f>
        <v>Valid</v>
      </c>
      <c r="AR2074" t="str">
        <f t="shared" si="426"/>
        <v>Valid</v>
      </c>
      <c r="AS2074" t="str">
        <f t="shared" si="427"/>
        <v>Valid</v>
      </c>
    </row>
    <row r="2075" spans="1:45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 t="str">
        <f t="shared" si="416"/>
        <v>Ok</v>
      </c>
      <c r="AE2075" t="str">
        <f>IF(AND(Audit_Data[[#This Row],[Year_Birth]]&gt;=1900,Audit_Data[[#This Row],[Year_Birth]]&lt;=2010),"OK","Invalid")</f>
        <v>OK</v>
      </c>
      <c r="AF2075" t="str">
        <f t="shared" si="417"/>
        <v>Valid</v>
      </c>
      <c r="AG2075" t="str">
        <f t="shared" si="418"/>
        <v>Valid</v>
      </c>
      <c r="AH2075" t="str">
        <f t="shared" si="419"/>
        <v>Valid</v>
      </c>
      <c r="AI2075" t="str">
        <f t="shared" si="420"/>
        <v>Valid</v>
      </c>
      <c r="AJ2075" t="str">
        <f t="shared" si="421"/>
        <v>Valid</v>
      </c>
      <c r="AK2075" t="str">
        <f t="shared" si="428"/>
        <v xml:space="preserve">Valid </v>
      </c>
      <c r="AL2075" t="str">
        <f>IF(AND(Audit_Data[[#This Row],[Recency]]&gt;=0,Audit_Data[[#This Row],[Recency]]&lt;=100),"Valid","Invalid")</f>
        <v>Valid</v>
      </c>
      <c r="AM2075" t="str">
        <f t="shared" si="422"/>
        <v>Valid</v>
      </c>
      <c r="AN2075" t="str">
        <f t="shared" si="423"/>
        <v>Valid</v>
      </c>
      <c r="AO2075" t="str">
        <f t="shared" si="424"/>
        <v>Valid</v>
      </c>
      <c r="AP2075" t="str">
        <f t="shared" si="425"/>
        <v>Valid</v>
      </c>
      <c r="AQ2075" t="str">
        <f>IF(Audit_Data[[#This Row],[Z_CostContact]]=3,"Valid","Invalid")</f>
        <v>Valid</v>
      </c>
      <c r="AR2075" t="str">
        <f t="shared" si="426"/>
        <v>Valid</v>
      </c>
      <c r="AS2075" t="str">
        <f t="shared" si="427"/>
        <v>Valid</v>
      </c>
    </row>
    <row r="2076" spans="1:45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 t="str">
        <f t="shared" si="416"/>
        <v>Ok</v>
      </c>
      <c r="AE2076" t="str">
        <f>IF(AND(Audit_Data[[#This Row],[Year_Birth]]&gt;=1900,Audit_Data[[#This Row],[Year_Birth]]&lt;=2010),"OK","Invalid")</f>
        <v>OK</v>
      </c>
      <c r="AF2076" t="str">
        <f t="shared" si="417"/>
        <v>Valid</v>
      </c>
      <c r="AG2076" t="str">
        <f t="shared" si="418"/>
        <v>Valid</v>
      </c>
      <c r="AH2076" t="str">
        <f t="shared" si="419"/>
        <v>Valid</v>
      </c>
      <c r="AI2076" t="str">
        <f t="shared" si="420"/>
        <v>Valid</v>
      </c>
      <c r="AJ2076" t="str">
        <f t="shared" si="421"/>
        <v>Valid</v>
      </c>
      <c r="AK2076" t="str">
        <f t="shared" si="428"/>
        <v xml:space="preserve">Valid </v>
      </c>
      <c r="AL2076" t="str">
        <f>IF(AND(Audit_Data[[#This Row],[Recency]]&gt;=0,Audit_Data[[#This Row],[Recency]]&lt;=100),"Valid","Invalid")</f>
        <v>Valid</v>
      </c>
      <c r="AM2076" t="str">
        <f t="shared" si="422"/>
        <v>Valid</v>
      </c>
      <c r="AN2076" t="str">
        <f t="shared" si="423"/>
        <v>Valid</v>
      </c>
      <c r="AO2076" t="str">
        <f t="shared" si="424"/>
        <v>Valid</v>
      </c>
      <c r="AP2076" t="str">
        <f t="shared" si="425"/>
        <v>Valid</v>
      </c>
      <c r="AQ2076" t="str">
        <f>IF(Audit_Data[[#This Row],[Z_CostContact]]=3,"Valid","Invalid")</f>
        <v>Valid</v>
      </c>
      <c r="AR2076" t="str">
        <f t="shared" si="426"/>
        <v>Valid</v>
      </c>
      <c r="AS2076" t="str">
        <f t="shared" si="427"/>
        <v>Valid</v>
      </c>
    </row>
    <row r="2077" spans="1:45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 t="str">
        <f t="shared" si="416"/>
        <v>Ok</v>
      </c>
      <c r="AE2077" t="str">
        <f>IF(AND(Audit_Data[[#This Row],[Year_Birth]]&gt;=1900,Audit_Data[[#This Row],[Year_Birth]]&lt;=2010),"OK","Invalid")</f>
        <v>OK</v>
      </c>
      <c r="AF2077" t="str">
        <f t="shared" si="417"/>
        <v>Valid</v>
      </c>
      <c r="AG2077" t="str">
        <f t="shared" si="418"/>
        <v>Valid</v>
      </c>
      <c r="AH2077" t="str">
        <f t="shared" si="419"/>
        <v>Valid</v>
      </c>
      <c r="AI2077" t="str">
        <f t="shared" si="420"/>
        <v>Valid</v>
      </c>
      <c r="AJ2077" t="str">
        <f t="shared" si="421"/>
        <v>Valid</v>
      </c>
      <c r="AK2077" t="str">
        <f t="shared" si="428"/>
        <v xml:space="preserve">Valid </v>
      </c>
      <c r="AL2077" t="str">
        <f>IF(AND(Audit_Data[[#This Row],[Recency]]&gt;=0,Audit_Data[[#This Row],[Recency]]&lt;=100),"Valid","Invalid")</f>
        <v>Valid</v>
      </c>
      <c r="AM2077" t="str">
        <f t="shared" si="422"/>
        <v>Valid</v>
      </c>
      <c r="AN2077" t="str">
        <f t="shared" si="423"/>
        <v>Valid</v>
      </c>
      <c r="AO2077" t="str">
        <f t="shared" si="424"/>
        <v>Valid</v>
      </c>
      <c r="AP2077" t="str">
        <f t="shared" si="425"/>
        <v>Valid</v>
      </c>
      <c r="AQ2077" t="str">
        <f>IF(Audit_Data[[#This Row],[Z_CostContact]]=3,"Valid","Invalid")</f>
        <v>Valid</v>
      </c>
      <c r="AR2077" t="str">
        <f t="shared" si="426"/>
        <v>Valid</v>
      </c>
      <c r="AS2077" t="str">
        <f t="shared" si="427"/>
        <v>Valid</v>
      </c>
    </row>
    <row r="2078" spans="1:45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 t="str">
        <f t="shared" si="416"/>
        <v>Ok</v>
      </c>
      <c r="AE2078" t="str">
        <f>IF(AND(Audit_Data[[#This Row],[Year_Birth]]&gt;=1900,Audit_Data[[#This Row],[Year_Birth]]&lt;=2010),"OK","Invalid")</f>
        <v>OK</v>
      </c>
      <c r="AF2078" t="str">
        <f t="shared" si="417"/>
        <v>Valid</v>
      </c>
      <c r="AG2078" t="str">
        <f t="shared" si="418"/>
        <v>Valid</v>
      </c>
      <c r="AH2078" t="str">
        <f t="shared" si="419"/>
        <v>Valid</v>
      </c>
      <c r="AI2078" t="str">
        <f t="shared" si="420"/>
        <v>Valid</v>
      </c>
      <c r="AJ2078" t="str">
        <f t="shared" si="421"/>
        <v>Valid</v>
      </c>
      <c r="AK2078" t="str">
        <f t="shared" si="428"/>
        <v xml:space="preserve">Valid </v>
      </c>
      <c r="AL2078" t="str">
        <f>IF(AND(Audit_Data[[#This Row],[Recency]]&gt;=0,Audit_Data[[#This Row],[Recency]]&lt;=100),"Valid","Invalid")</f>
        <v>Valid</v>
      </c>
      <c r="AM2078" t="str">
        <f t="shared" si="422"/>
        <v>Valid</v>
      </c>
      <c r="AN2078" t="str">
        <f t="shared" si="423"/>
        <v>Valid</v>
      </c>
      <c r="AO2078" t="str">
        <f t="shared" si="424"/>
        <v>Valid</v>
      </c>
      <c r="AP2078" t="str">
        <f t="shared" si="425"/>
        <v>Valid</v>
      </c>
      <c r="AQ2078" t="str">
        <f>IF(Audit_Data[[#This Row],[Z_CostContact]]=3,"Valid","Invalid")</f>
        <v>Valid</v>
      </c>
      <c r="AR2078" t="str">
        <f t="shared" si="426"/>
        <v>Valid</v>
      </c>
      <c r="AS2078" t="str">
        <f t="shared" si="427"/>
        <v>Valid</v>
      </c>
    </row>
    <row r="2079" spans="1:45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 t="str">
        <f t="shared" si="416"/>
        <v>Ok</v>
      </c>
      <c r="AE2079" t="str">
        <f>IF(AND(Audit_Data[[#This Row],[Year_Birth]]&gt;=1900,Audit_Data[[#This Row],[Year_Birth]]&lt;=2010),"OK","Invalid")</f>
        <v>OK</v>
      </c>
      <c r="AF2079" t="str">
        <f t="shared" si="417"/>
        <v>Valid</v>
      </c>
      <c r="AG2079" t="str">
        <f t="shared" si="418"/>
        <v>Valid</v>
      </c>
      <c r="AH2079" t="str">
        <f t="shared" si="419"/>
        <v>Valid</v>
      </c>
      <c r="AI2079" t="str">
        <f t="shared" si="420"/>
        <v>Valid</v>
      </c>
      <c r="AJ2079" t="str">
        <f t="shared" si="421"/>
        <v>Valid</v>
      </c>
      <c r="AK2079" t="str">
        <f t="shared" si="428"/>
        <v xml:space="preserve">Valid </v>
      </c>
      <c r="AL2079" t="str">
        <f>IF(AND(Audit_Data[[#This Row],[Recency]]&gt;=0,Audit_Data[[#This Row],[Recency]]&lt;=100),"Valid","Invalid")</f>
        <v>Valid</v>
      </c>
      <c r="AM2079" t="str">
        <f t="shared" si="422"/>
        <v>Valid</v>
      </c>
      <c r="AN2079" t="str">
        <f t="shared" si="423"/>
        <v>Valid</v>
      </c>
      <c r="AO2079" t="str">
        <f t="shared" si="424"/>
        <v>Valid</v>
      </c>
      <c r="AP2079" t="str">
        <f t="shared" si="425"/>
        <v>Valid</v>
      </c>
      <c r="AQ2079" t="str">
        <f>IF(Audit_Data[[#This Row],[Z_CostContact]]=3,"Valid","Invalid")</f>
        <v>Valid</v>
      </c>
      <c r="AR2079" t="str">
        <f t="shared" si="426"/>
        <v>Valid</v>
      </c>
      <c r="AS2079" t="str">
        <f t="shared" si="427"/>
        <v>Valid</v>
      </c>
    </row>
    <row r="2080" spans="1:45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 t="str">
        <f t="shared" si="416"/>
        <v>Ok</v>
      </c>
      <c r="AE2080" t="str">
        <f>IF(AND(Audit_Data[[#This Row],[Year_Birth]]&gt;=1900,Audit_Data[[#This Row],[Year_Birth]]&lt;=2010),"OK","Invalid")</f>
        <v>OK</v>
      </c>
      <c r="AF2080" t="str">
        <f t="shared" si="417"/>
        <v>Valid</v>
      </c>
      <c r="AG2080" t="str">
        <f t="shared" si="418"/>
        <v>Valid</v>
      </c>
      <c r="AH2080" t="str">
        <f t="shared" si="419"/>
        <v>Invalid</v>
      </c>
      <c r="AI2080" t="str">
        <f t="shared" si="420"/>
        <v>Valid</v>
      </c>
      <c r="AJ2080" t="str">
        <f t="shared" si="421"/>
        <v>Valid</v>
      </c>
      <c r="AK2080" t="str">
        <f t="shared" si="428"/>
        <v xml:space="preserve">Valid </v>
      </c>
      <c r="AL2080" t="str">
        <f>IF(AND(Audit_Data[[#This Row],[Recency]]&gt;=0,Audit_Data[[#This Row],[Recency]]&lt;=100),"Valid","Invalid")</f>
        <v>Valid</v>
      </c>
      <c r="AM2080" t="str">
        <f t="shared" si="422"/>
        <v>Valid</v>
      </c>
      <c r="AN2080" t="str">
        <f t="shared" si="423"/>
        <v>Valid</v>
      </c>
      <c r="AO2080" t="str">
        <f t="shared" si="424"/>
        <v>Valid</v>
      </c>
      <c r="AP2080" t="str">
        <f t="shared" si="425"/>
        <v>Valid</v>
      </c>
      <c r="AQ2080" t="str">
        <f>IF(Audit_Data[[#This Row],[Z_CostContact]]=3,"Valid","Invalid")</f>
        <v>Valid</v>
      </c>
      <c r="AR2080" t="str">
        <f t="shared" si="426"/>
        <v>Valid</v>
      </c>
      <c r="AS2080" t="str">
        <f t="shared" si="427"/>
        <v>Valid</v>
      </c>
    </row>
    <row r="2081" spans="1:45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 t="str">
        <f t="shared" si="416"/>
        <v>Ok</v>
      </c>
      <c r="AE2081" t="str">
        <f>IF(AND(Audit_Data[[#This Row],[Year_Birth]]&gt;=1900,Audit_Data[[#This Row],[Year_Birth]]&lt;=2010),"OK","Invalid")</f>
        <v>OK</v>
      </c>
      <c r="AF2081" t="str">
        <f t="shared" si="417"/>
        <v>Valid</v>
      </c>
      <c r="AG2081" t="str">
        <f t="shared" si="418"/>
        <v>Valid</v>
      </c>
      <c r="AH2081" t="str">
        <f t="shared" si="419"/>
        <v>Invalid</v>
      </c>
      <c r="AI2081" t="str">
        <f t="shared" si="420"/>
        <v>Valid</v>
      </c>
      <c r="AJ2081" t="str">
        <f t="shared" si="421"/>
        <v>Valid</v>
      </c>
      <c r="AK2081" t="str">
        <f t="shared" si="428"/>
        <v xml:space="preserve">Valid </v>
      </c>
      <c r="AL2081" t="str">
        <f>IF(AND(Audit_Data[[#This Row],[Recency]]&gt;=0,Audit_Data[[#This Row],[Recency]]&lt;=100),"Valid","Invalid")</f>
        <v>Valid</v>
      </c>
      <c r="AM2081" t="str">
        <f t="shared" si="422"/>
        <v>Valid</v>
      </c>
      <c r="AN2081" t="str">
        <f t="shared" si="423"/>
        <v>Valid</v>
      </c>
      <c r="AO2081" t="str">
        <f t="shared" si="424"/>
        <v>Valid</v>
      </c>
      <c r="AP2081" t="str">
        <f t="shared" si="425"/>
        <v>Valid</v>
      </c>
      <c r="AQ2081" t="str">
        <f>IF(Audit_Data[[#This Row],[Z_CostContact]]=3,"Valid","Invalid")</f>
        <v>Valid</v>
      </c>
      <c r="AR2081" t="str">
        <f t="shared" si="426"/>
        <v>Valid</v>
      </c>
      <c r="AS2081" t="str">
        <f t="shared" si="427"/>
        <v>Valid</v>
      </c>
    </row>
    <row r="2082" spans="1:45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 t="str">
        <f t="shared" si="416"/>
        <v>Ok</v>
      </c>
      <c r="AE2082" t="str">
        <f>IF(AND(Audit_Data[[#This Row],[Year_Birth]]&gt;=1900,Audit_Data[[#This Row],[Year_Birth]]&lt;=2010),"OK","Invalid")</f>
        <v>OK</v>
      </c>
      <c r="AF2082" t="str">
        <f t="shared" si="417"/>
        <v>Valid</v>
      </c>
      <c r="AG2082" t="str">
        <f t="shared" si="418"/>
        <v>Valid</v>
      </c>
      <c r="AH2082" t="str">
        <f t="shared" si="419"/>
        <v>Valid</v>
      </c>
      <c r="AI2082" t="str">
        <f t="shared" si="420"/>
        <v>Valid</v>
      </c>
      <c r="AJ2082" t="str">
        <f t="shared" si="421"/>
        <v>Valid</v>
      </c>
      <c r="AK2082" t="str">
        <f t="shared" si="428"/>
        <v xml:space="preserve">Valid </v>
      </c>
      <c r="AL2082" t="str">
        <f>IF(AND(Audit_Data[[#This Row],[Recency]]&gt;=0,Audit_Data[[#This Row],[Recency]]&lt;=100),"Valid","Invalid")</f>
        <v>Valid</v>
      </c>
      <c r="AM2082" t="str">
        <f t="shared" si="422"/>
        <v>Valid</v>
      </c>
      <c r="AN2082" t="str">
        <f t="shared" si="423"/>
        <v>Valid</v>
      </c>
      <c r="AO2082" t="str">
        <f t="shared" si="424"/>
        <v>Valid</v>
      </c>
      <c r="AP2082" t="str">
        <f t="shared" si="425"/>
        <v>Valid</v>
      </c>
      <c r="AQ2082" t="str">
        <f>IF(Audit_Data[[#This Row],[Z_CostContact]]=3,"Valid","Invalid")</f>
        <v>Valid</v>
      </c>
      <c r="AR2082" t="str">
        <f t="shared" si="426"/>
        <v>Valid</v>
      </c>
      <c r="AS2082" t="str">
        <f t="shared" si="427"/>
        <v>Valid</v>
      </c>
    </row>
    <row r="2083" spans="1:45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 t="str">
        <f t="shared" si="416"/>
        <v>Ok</v>
      </c>
      <c r="AE2083" t="str">
        <f>IF(AND(Audit_Data[[#This Row],[Year_Birth]]&gt;=1900,Audit_Data[[#This Row],[Year_Birth]]&lt;=2010),"OK","Invalid")</f>
        <v>OK</v>
      </c>
      <c r="AF2083" t="str">
        <f t="shared" si="417"/>
        <v>Valid</v>
      </c>
      <c r="AG2083" t="str">
        <f t="shared" si="418"/>
        <v>Valid</v>
      </c>
      <c r="AH2083" t="str">
        <f t="shared" si="419"/>
        <v>Invalid</v>
      </c>
      <c r="AI2083" t="str">
        <f t="shared" si="420"/>
        <v>Valid</v>
      </c>
      <c r="AJ2083" t="str">
        <f t="shared" si="421"/>
        <v>Valid</v>
      </c>
      <c r="AK2083" t="str">
        <f t="shared" si="428"/>
        <v xml:space="preserve">Valid </v>
      </c>
      <c r="AL2083" t="str">
        <f>IF(AND(Audit_Data[[#This Row],[Recency]]&gt;=0,Audit_Data[[#This Row],[Recency]]&lt;=100),"Valid","Invalid")</f>
        <v>Valid</v>
      </c>
      <c r="AM2083" t="str">
        <f t="shared" si="422"/>
        <v>Valid</v>
      </c>
      <c r="AN2083" t="str">
        <f t="shared" si="423"/>
        <v>Valid</v>
      </c>
      <c r="AO2083" t="str">
        <f t="shared" si="424"/>
        <v>Valid</v>
      </c>
      <c r="AP2083" t="str">
        <f t="shared" si="425"/>
        <v>Valid</v>
      </c>
      <c r="AQ2083" t="str">
        <f>IF(Audit_Data[[#This Row],[Z_CostContact]]=3,"Valid","Invalid")</f>
        <v>Valid</v>
      </c>
      <c r="AR2083" t="str">
        <f t="shared" si="426"/>
        <v>Valid</v>
      </c>
      <c r="AS2083" t="str">
        <f t="shared" si="427"/>
        <v>Valid</v>
      </c>
    </row>
    <row r="2084" spans="1:45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 t="str">
        <f t="shared" si="416"/>
        <v>Ok</v>
      </c>
      <c r="AE2084" t="str">
        <f>IF(AND(Audit_Data[[#This Row],[Year_Birth]]&gt;=1900,Audit_Data[[#This Row],[Year_Birth]]&lt;=2010),"OK","Invalid")</f>
        <v>OK</v>
      </c>
      <c r="AF2084" t="str">
        <f t="shared" si="417"/>
        <v>Valid</v>
      </c>
      <c r="AG2084" t="str">
        <f t="shared" si="418"/>
        <v>Valid</v>
      </c>
      <c r="AH2084" t="str">
        <f t="shared" si="419"/>
        <v>Valid</v>
      </c>
      <c r="AI2084" t="str">
        <f t="shared" si="420"/>
        <v>Valid</v>
      </c>
      <c r="AJ2084" t="str">
        <f t="shared" si="421"/>
        <v>Valid</v>
      </c>
      <c r="AK2084" t="str">
        <f t="shared" si="428"/>
        <v xml:space="preserve">Valid </v>
      </c>
      <c r="AL2084" t="str">
        <f>IF(AND(Audit_Data[[#This Row],[Recency]]&gt;=0,Audit_Data[[#This Row],[Recency]]&lt;=100),"Valid","Invalid")</f>
        <v>Valid</v>
      </c>
      <c r="AM2084" t="str">
        <f t="shared" si="422"/>
        <v>Valid</v>
      </c>
      <c r="AN2084" t="str">
        <f t="shared" si="423"/>
        <v>Valid</v>
      </c>
      <c r="AO2084" t="str">
        <f t="shared" si="424"/>
        <v>Valid</v>
      </c>
      <c r="AP2084" t="str">
        <f t="shared" si="425"/>
        <v>Valid</v>
      </c>
      <c r="AQ2084" t="str">
        <f>IF(Audit_Data[[#This Row],[Z_CostContact]]=3,"Valid","Invalid")</f>
        <v>Valid</v>
      </c>
      <c r="AR2084" t="str">
        <f t="shared" si="426"/>
        <v>Valid</v>
      </c>
      <c r="AS2084" t="str">
        <f t="shared" si="427"/>
        <v>Valid</v>
      </c>
    </row>
    <row r="2085" spans="1:45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 t="str">
        <f t="shared" si="416"/>
        <v>Ok</v>
      </c>
      <c r="AE2085" t="str">
        <f>IF(AND(Audit_Data[[#This Row],[Year_Birth]]&gt;=1900,Audit_Data[[#This Row],[Year_Birth]]&lt;=2010),"OK","Invalid")</f>
        <v>OK</v>
      </c>
      <c r="AF2085" t="str">
        <f t="shared" si="417"/>
        <v>Valid</v>
      </c>
      <c r="AG2085" t="str">
        <f t="shared" si="418"/>
        <v>Valid</v>
      </c>
      <c r="AH2085" t="str">
        <f t="shared" si="419"/>
        <v>Valid</v>
      </c>
      <c r="AI2085" t="str">
        <f t="shared" si="420"/>
        <v>Valid</v>
      </c>
      <c r="AJ2085" t="str">
        <f t="shared" si="421"/>
        <v>Valid</v>
      </c>
      <c r="AK2085" t="str">
        <f t="shared" si="428"/>
        <v xml:space="preserve">Valid </v>
      </c>
      <c r="AL2085" t="str">
        <f>IF(AND(Audit_Data[[#This Row],[Recency]]&gt;=0,Audit_Data[[#This Row],[Recency]]&lt;=100),"Valid","Invalid")</f>
        <v>Valid</v>
      </c>
      <c r="AM2085" t="str">
        <f t="shared" si="422"/>
        <v>Valid</v>
      </c>
      <c r="AN2085" t="str">
        <f t="shared" si="423"/>
        <v>Valid</v>
      </c>
      <c r="AO2085" t="str">
        <f t="shared" si="424"/>
        <v>Valid</v>
      </c>
      <c r="AP2085" t="str">
        <f t="shared" si="425"/>
        <v>Valid</v>
      </c>
      <c r="AQ2085" t="str">
        <f>IF(Audit_Data[[#This Row],[Z_CostContact]]=3,"Valid","Invalid")</f>
        <v>Valid</v>
      </c>
      <c r="AR2085" t="str">
        <f t="shared" si="426"/>
        <v>Valid</v>
      </c>
      <c r="AS2085" t="str">
        <f t="shared" si="427"/>
        <v>Valid</v>
      </c>
    </row>
    <row r="2086" spans="1:45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 t="str">
        <f t="shared" si="416"/>
        <v>Ok</v>
      </c>
      <c r="AE2086" t="str">
        <f>IF(AND(Audit_Data[[#This Row],[Year_Birth]]&gt;=1900,Audit_Data[[#This Row],[Year_Birth]]&lt;=2010),"OK","Invalid")</f>
        <v>OK</v>
      </c>
      <c r="AF2086" t="str">
        <f t="shared" si="417"/>
        <v>Valid</v>
      </c>
      <c r="AG2086" t="str">
        <f t="shared" si="418"/>
        <v>Valid</v>
      </c>
      <c r="AH2086" t="str">
        <f t="shared" si="419"/>
        <v>Invalid</v>
      </c>
      <c r="AI2086" t="str">
        <f t="shared" si="420"/>
        <v>Valid</v>
      </c>
      <c r="AJ2086" t="str">
        <f t="shared" si="421"/>
        <v>Valid</v>
      </c>
      <c r="AK2086" t="str">
        <f t="shared" si="428"/>
        <v xml:space="preserve">Valid </v>
      </c>
      <c r="AL2086" t="str">
        <f>IF(AND(Audit_Data[[#This Row],[Recency]]&gt;=0,Audit_Data[[#This Row],[Recency]]&lt;=100),"Valid","Invalid")</f>
        <v>Valid</v>
      </c>
      <c r="AM2086" t="str">
        <f t="shared" si="422"/>
        <v>Valid</v>
      </c>
      <c r="AN2086" t="str">
        <f t="shared" si="423"/>
        <v>Valid</v>
      </c>
      <c r="AO2086" t="str">
        <f t="shared" si="424"/>
        <v>Valid</v>
      </c>
      <c r="AP2086" t="str">
        <f t="shared" si="425"/>
        <v>Valid</v>
      </c>
      <c r="AQ2086" t="str">
        <f>IF(Audit_Data[[#This Row],[Z_CostContact]]=3,"Valid","Invalid")</f>
        <v>Valid</v>
      </c>
      <c r="AR2086" t="str">
        <f t="shared" si="426"/>
        <v>Valid</v>
      </c>
      <c r="AS2086" t="str">
        <f t="shared" si="427"/>
        <v>Valid</v>
      </c>
    </row>
    <row r="2087" spans="1:45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 t="str">
        <f t="shared" si="416"/>
        <v>Ok</v>
      </c>
      <c r="AE2087" t="str">
        <f>IF(AND(Audit_Data[[#This Row],[Year_Birth]]&gt;=1900,Audit_Data[[#This Row],[Year_Birth]]&lt;=2010),"OK","Invalid")</f>
        <v>OK</v>
      </c>
      <c r="AF2087" t="str">
        <f t="shared" si="417"/>
        <v>Valid</v>
      </c>
      <c r="AG2087" t="str">
        <f t="shared" si="418"/>
        <v>Valid</v>
      </c>
      <c r="AH2087" t="str">
        <f t="shared" si="419"/>
        <v>Valid</v>
      </c>
      <c r="AI2087" t="str">
        <f t="shared" si="420"/>
        <v>Valid</v>
      </c>
      <c r="AJ2087" t="str">
        <f t="shared" si="421"/>
        <v>Valid</v>
      </c>
      <c r="AK2087" t="str">
        <f t="shared" si="428"/>
        <v xml:space="preserve">Valid </v>
      </c>
      <c r="AL2087" t="str">
        <f>IF(AND(Audit_Data[[#This Row],[Recency]]&gt;=0,Audit_Data[[#This Row],[Recency]]&lt;=100),"Valid","Invalid")</f>
        <v>Valid</v>
      </c>
      <c r="AM2087" t="str">
        <f t="shared" si="422"/>
        <v>Valid</v>
      </c>
      <c r="AN2087" t="str">
        <f t="shared" si="423"/>
        <v>Valid</v>
      </c>
      <c r="AO2087" t="str">
        <f t="shared" si="424"/>
        <v>Valid</v>
      </c>
      <c r="AP2087" t="str">
        <f t="shared" si="425"/>
        <v>Valid</v>
      </c>
      <c r="AQ2087" t="str">
        <f>IF(Audit_Data[[#This Row],[Z_CostContact]]=3,"Valid","Invalid")</f>
        <v>Valid</v>
      </c>
      <c r="AR2087" t="str">
        <f t="shared" si="426"/>
        <v>Valid</v>
      </c>
      <c r="AS2087" t="str">
        <f t="shared" si="427"/>
        <v>Valid</v>
      </c>
    </row>
    <row r="2088" spans="1:45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 t="str">
        <f t="shared" si="416"/>
        <v>Ok</v>
      </c>
      <c r="AE2088" t="str">
        <f>IF(AND(Audit_Data[[#This Row],[Year_Birth]]&gt;=1900,Audit_Data[[#This Row],[Year_Birth]]&lt;=2010),"OK","Invalid")</f>
        <v>OK</v>
      </c>
      <c r="AF2088" t="str">
        <f t="shared" si="417"/>
        <v>Valid</v>
      </c>
      <c r="AG2088" t="str">
        <f t="shared" si="418"/>
        <v>Valid</v>
      </c>
      <c r="AH2088" t="str">
        <f t="shared" si="419"/>
        <v>Valid</v>
      </c>
      <c r="AI2088" t="str">
        <f t="shared" si="420"/>
        <v>Valid</v>
      </c>
      <c r="AJ2088" t="str">
        <f t="shared" si="421"/>
        <v>Valid</v>
      </c>
      <c r="AK2088" t="str">
        <f t="shared" si="428"/>
        <v xml:space="preserve">Valid </v>
      </c>
      <c r="AL2088" t="str">
        <f>IF(AND(Audit_Data[[#This Row],[Recency]]&gt;=0,Audit_Data[[#This Row],[Recency]]&lt;=100),"Valid","Invalid")</f>
        <v>Valid</v>
      </c>
      <c r="AM2088" t="str">
        <f t="shared" si="422"/>
        <v>Valid</v>
      </c>
      <c r="AN2088" t="str">
        <f t="shared" si="423"/>
        <v>Valid</v>
      </c>
      <c r="AO2088" t="str">
        <f t="shared" si="424"/>
        <v>Valid</v>
      </c>
      <c r="AP2088" t="str">
        <f t="shared" si="425"/>
        <v>Valid</v>
      </c>
      <c r="AQ2088" t="str">
        <f>IF(Audit_Data[[#This Row],[Z_CostContact]]=3,"Valid","Invalid")</f>
        <v>Valid</v>
      </c>
      <c r="AR2088" t="str">
        <f t="shared" si="426"/>
        <v>Valid</v>
      </c>
      <c r="AS2088" t="str">
        <f t="shared" si="427"/>
        <v>Valid</v>
      </c>
    </row>
    <row r="2089" spans="1:45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 t="str">
        <f t="shared" si="416"/>
        <v>Ok</v>
      </c>
      <c r="AE2089" t="str">
        <f>IF(AND(Audit_Data[[#This Row],[Year_Birth]]&gt;=1900,Audit_Data[[#This Row],[Year_Birth]]&lt;=2010),"OK","Invalid")</f>
        <v>OK</v>
      </c>
      <c r="AF2089" t="str">
        <f t="shared" si="417"/>
        <v>Valid</v>
      </c>
      <c r="AG2089" t="str">
        <f t="shared" si="418"/>
        <v>Valid</v>
      </c>
      <c r="AH2089" t="str">
        <f t="shared" si="419"/>
        <v>Valid</v>
      </c>
      <c r="AI2089" t="str">
        <f t="shared" si="420"/>
        <v>Valid</v>
      </c>
      <c r="AJ2089" t="str">
        <f t="shared" si="421"/>
        <v>Valid</v>
      </c>
      <c r="AK2089" t="str">
        <f t="shared" si="428"/>
        <v xml:space="preserve">Valid </v>
      </c>
      <c r="AL2089" t="str">
        <f>IF(AND(Audit_Data[[#This Row],[Recency]]&gt;=0,Audit_Data[[#This Row],[Recency]]&lt;=100),"Valid","Invalid")</f>
        <v>Valid</v>
      </c>
      <c r="AM2089" t="str">
        <f t="shared" si="422"/>
        <v>Valid</v>
      </c>
      <c r="AN2089" t="str">
        <f t="shared" si="423"/>
        <v>Valid</v>
      </c>
      <c r="AO2089" t="str">
        <f t="shared" si="424"/>
        <v>Valid</v>
      </c>
      <c r="AP2089" t="str">
        <f t="shared" si="425"/>
        <v>Valid</v>
      </c>
      <c r="AQ2089" t="str">
        <f>IF(Audit_Data[[#This Row],[Z_CostContact]]=3,"Valid","Invalid")</f>
        <v>Valid</v>
      </c>
      <c r="AR2089" t="str">
        <f t="shared" si="426"/>
        <v>Valid</v>
      </c>
      <c r="AS2089" t="str">
        <f t="shared" si="427"/>
        <v>Valid</v>
      </c>
    </row>
    <row r="2090" spans="1:45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 t="str">
        <f t="shared" si="416"/>
        <v>Ok</v>
      </c>
      <c r="AE2090" t="str">
        <f>IF(AND(Audit_Data[[#This Row],[Year_Birth]]&gt;=1900,Audit_Data[[#This Row],[Year_Birth]]&lt;=2010),"OK","Invalid")</f>
        <v>OK</v>
      </c>
      <c r="AF2090" t="str">
        <f t="shared" si="417"/>
        <v>Valid</v>
      </c>
      <c r="AG2090" t="str">
        <f t="shared" si="418"/>
        <v>Valid</v>
      </c>
      <c r="AH2090" t="str">
        <f t="shared" si="419"/>
        <v>Valid</v>
      </c>
      <c r="AI2090" t="str">
        <f t="shared" si="420"/>
        <v>Valid</v>
      </c>
      <c r="AJ2090" t="str">
        <f t="shared" si="421"/>
        <v>Valid</v>
      </c>
      <c r="AK2090" t="str">
        <f t="shared" si="428"/>
        <v xml:space="preserve">Valid </v>
      </c>
      <c r="AL2090" t="str">
        <f>IF(AND(Audit_Data[[#This Row],[Recency]]&gt;=0,Audit_Data[[#This Row],[Recency]]&lt;=100),"Valid","Invalid")</f>
        <v>Valid</v>
      </c>
      <c r="AM2090" t="str">
        <f t="shared" si="422"/>
        <v>Valid</v>
      </c>
      <c r="AN2090" t="str">
        <f t="shared" si="423"/>
        <v>Valid</v>
      </c>
      <c r="AO2090" t="str">
        <f t="shared" si="424"/>
        <v>Valid</v>
      </c>
      <c r="AP2090" t="str">
        <f t="shared" si="425"/>
        <v>Valid</v>
      </c>
      <c r="AQ2090" t="str">
        <f>IF(Audit_Data[[#This Row],[Z_CostContact]]=3,"Valid","Invalid")</f>
        <v>Valid</v>
      </c>
      <c r="AR2090" t="str">
        <f t="shared" si="426"/>
        <v>Valid</v>
      </c>
      <c r="AS2090" t="str">
        <f t="shared" si="427"/>
        <v>Valid</v>
      </c>
    </row>
    <row r="2091" spans="1:45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 t="str">
        <f t="shared" si="416"/>
        <v>Ok</v>
      </c>
      <c r="AE2091" t="str">
        <f>IF(AND(Audit_Data[[#This Row],[Year_Birth]]&gt;=1900,Audit_Data[[#This Row],[Year_Birth]]&lt;=2010),"OK","Invalid")</f>
        <v>OK</v>
      </c>
      <c r="AF2091" t="str">
        <f t="shared" si="417"/>
        <v>Valid</v>
      </c>
      <c r="AG2091" t="str">
        <f t="shared" si="418"/>
        <v>Valid</v>
      </c>
      <c r="AH2091" t="str">
        <f t="shared" si="419"/>
        <v>Valid</v>
      </c>
      <c r="AI2091" t="str">
        <f t="shared" si="420"/>
        <v>Valid</v>
      </c>
      <c r="AJ2091" t="str">
        <f t="shared" si="421"/>
        <v>Valid</v>
      </c>
      <c r="AK2091" t="str">
        <f t="shared" si="428"/>
        <v xml:space="preserve">Valid </v>
      </c>
      <c r="AL2091" t="str">
        <f>IF(AND(Audit_Data[[#This Row],[Recency]]&gt;=0,Audit_Data[[#This Row],[Recency]]&lt;=100),"Valid","Invalid")</f>
        <v>Valid</v>
      </c>
      <c r="AM2091" t="str">
        <f t="shared" si="422"/>
        <v>Valid</v>
      </c>
      <c r="AN2091" t="str">
        <f t="shared" si="423"/>
        <v>Valid</v>
      </c>
      <c r="AO2091" t="str">
        <f t="shared" si="424"/>
        <v>Valid</v>
      </c>
      <c r="AP2091" t="str">
        <f t="shared" si="425"/>
        <v>Valid</v>
      </c>
      <c r="AQ2091" t="str">
        <f>IF(Audit_Data[[#This Row],[Z_CostContact]]=3,"Valid","Invalid")</f>
        <v>Valid</v>
      </c>
      <c r="AR2091" t="str">
        <f t="shared" si="426"/>
        <v>Valid</v>
      </c>
      <c r="AS2091" t="str">
        <f t="shared" si="427"/>
        <v>Valid</v>
      </c>
    </row>
    <row r="2092" spans="1:45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 t="str">
        <f t="shared" si="416"/>
        <v>Ok</v>
      </c>
      <c r="AE2092" t="str">
        <f>IF(AND(Audit_Data[[#This Row],[Year_Birth]]&gt;=1900,Audit_Data[[#This Row],[Year_Birth]]&lt;=2010),"OK","Invalid")</f>
        <v>OK</v>
      </c>
      <c r="AF2092" t="str">
        <f t="shared" si="417"/>
        <v>Valid</v>
      </c>
      <c r="AG2092" t="str">
        <f t="shared" si="418"/>
        <v>Valid</v>
      </c>
      <c r="AH2092" t="str">
        <f t="shared" si="419"/>
        <v>Valid</v>
      </c>
      <c r="AI2092" t="str">
        <f t="shared" si="420"/>
        <v>Valid</v>
      </c>
      <c r="AJ2092" t="str">
        <f t="shared" si="421"/>
        <v>Valid</v>
      </c>
      <c r="AK2092" t="str">
        <f t="shared" si="428"/>
        <v xml:space="preserve">Valid </v>
      </c>
      <c r="AL2092" t="str">
        <f>IF(AND(Audit_Data[[#This Row],[Recency]]&gt;=0,Audit_Data[[#This Row],[Recency]]&lt;=100),"Valid","Invalid")</f>
        <v>Valid</v>
      </c>
      <c r="AM2092" t="str">
        <f t="shared" si="422"/>
        <v>Valid</v>
      </c>
      <c r="AN2092" t="str">
        <f t="shared" si="423"/>
        <v>Valid</v>
      </c>
      <c r="AO2092" t="str">
        <f t="shared" si="424"/>
        <v>Valid</v>
      </c>
      <c r="AP2092" t="str">
        <f t="shared" si="425"/>
        <v>Valid</v>
      </c>
      <c r="AQ2092" t="str">
        <f>IF(Audit_Data[[#This Row],[Z_CostContact]]=3,"Valid","Invalid")</f>
        <v>Valid</v>
      </c>
      <c r="AR2092" t="str">
        <f t="shared" si="426"/>
        <v>Valid</v>
      </c>
      <c r="AS2092" t="str">
        <f t="shared" si="427"/>
        <v>Valid</v>
      </c>
    </row>
    <row r="2093" spans="1:45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 t="str">
        <f t="shared" si="416"/>
        <v>Ok</v>
      </c>
      <c r="AE2093" t="str">
        <f>IF(AND(Audit_Data[[#This Row],[Year_Birth]]&gt;=1900,Audit_Data[[#This Row],[Year_Birth]]&lt;=2010),"OK","Invalid")</f>
        <v>OK</v>
      </c>
      <c r="AF2093" t="str">
        <f t="shared" si="417"/>
        <v>Valid</v>
      </c>
      <c r="AG2093" t="str">
        <f t="shared" si="418"/>
        <v>Valid</v>
      </c>
      <c r="AH2093" t="str">
        <f t="shared" si="419"/>
        <v>Valid</v>
      </c>
      <c r="AI2093" t="str">
        <f t="shared" si="420"/>
        <v>Valid</v>
      </c>
      <c r="AJ2093" t="str">
        <f t="shared" si="421"/>
        <v>Valid</v>
      </c>
      <c r="AK2093" t="str">
        <f t="shared" si="428"/>
        <v xml:space="preserve">Valid </v>
      </c>
      <c r="AL2093" t="str">
        <f>IF(AND(Audit_Data[[#This Row],[Recency]]&gt;=0,Audit_Data[[#This Row],[Recency]]&lt;=100),"Valid","Invalid")</f>
        <v>Valid</v>
      </c>
      <c r="AM2093" t="str">
        <f t="shared" si="422"/>
        <v>Valid</v>
      </c>
      <c r="AN2093" t="str">
        <f t="shared" si="423"/>
        <v>Valid</v>
      </c>
      <c r="AO2093" t="str">
        <f t="shared" si="424"/>
        <v>Valid</v>
      </c>
      <c r="AP2093" t="str">
        <f t="shared" si="425"/>
        <v>Valid</v>
      </c>
      <c r="AQ2093" t="str">
        <f>IF(Audit_Data[[#This Row],[Z_CostContact]]=3,"Valid","Invalid")</f>
        <v>Valid</v>
      </c>
      <c r="AR2093" t="str">
        <f t="shared" si="426"/>
        <v>Valid</v>
      </c>
      <c r="AS2093" t="str">
        <f t="shared" si="427"/>
        <v>Valid</v>
      </c>
    </row>
    <row r="2094" spans="1:45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 t="str">
        <f t="shared" si="416"/>
        <v>Ok</v>
      </c>
      <c r="AE2094" t="str">
        <f>IF(AND(Audit_Data[[#This Row],[Year_Birth]]&gt;=1900,Audit_Data[[#This Row],[Year_Birth]]&lt;=2010),"OK","Invalid")</f>
        <v>OK</v>
      </c>
      <c r="AF2094" t="str">
        <f t="shared" si="417"/>
        <v>Valid</v>
      </c>
      <c r="AG2094" t="str">
        <f t="shared" si="418"/>
        <v>Valid</v>
      </c>
      <c r="AH2094" t="str">
        <f t="shared" si="419"/>
        <v>Valid</v>
      </c>
      <c r="AI2094" t="str">
        <f t="shared" si="420"/>
        <v>Valid</v>
      </c>
      <c r="AJ2094" t="str">
        <f t="shared" si="421"/>
        <v>Valid</v>
      </c>
      <c r="AK2094" t="str">
        <f t="shared" si="428"/>
        <v xml:space="preserve">Valid </v>
      </c>
      <c r="AL2094" t="str">
        <f>IF(AND(Audit_Data[[#This Row],[Recency]]&gt;=0,Audit_Data[[#This Row],[Recency]]&lt;=100),"Valid","Invalid")</f>
        <v>Valid</v>
      </c>
      <c r="AM2094" t="str">
        <f t="shared" si="422"/>
        <v>Valid</v>
      </c>
      <c r="AN2094" t="str">
        <f t="shared" si="423"/>
        <v>Valid</v>
      </c>
      <c r="AO2094" t="str">
        <f t="shared" si="424"/>
        <v>Valid</v>
      </c>
      <c r="AP2094" t="str">
        <f t="shared" si="425"/>
        <v>Valid</v>
      </c>
      <c r="AQ2094" t="str">
        <f>IF(Audit_Data[[#This Row],[Z_CostContact]]=3,"Valid","Invalid")</f>
        <v>Valid</v>
      </c>
      <c r="AR2094" t="str">
        <f t="shared" si="426"/>
        <v>Valid</v>
      </c>
      <c r="AS2094" t="str">
        <f t="shared" si="427"/>
        <v>Valid</v>
      </c>
    </row>
    <row r="2095" spans="1:45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 t="str">
        <f t="shared" si="416"/>
        <v>Ok</v>
      </c>
      <c r="AE2095" t="str">
        <f>IF(AND(Audit_Data[[#This Row],[Year_Birth]]&gt;=1900,Audit_Data[[#This Row],[Year_Birth]]&lt;=2010),"OK","Invalid")</f>
        <v>OK</v>
      </c>
      <c r="AF2095" t="str">
        <f t="shared" si="417"/>
        <v>Valid</v>
      </c>
      <c r="AG2095" t="str">
        <f t="shared" si="418"/>
        <v>Invalid</v>
      </c>
      <c r="AH2095" t="str">
        <f t="shared" si="419"/>
        <v>Valid</v>
      </c>
      <c r="AI2095" t="str">
        <f t="shared" si="420"/>
        <v>Valid</v>
      </c>
      <c r="AJ2095" t="str">
        <f t="shared" si="421"/>
        <v>Valid</v>
      </c>
      <c r="AK2095" t="str">
        <f t="shared" si="428"/>
        <v xml:space="preserve">Valid </v>
      </c>
      <c r="AL2095" t="str">
        <f>IF(AND(Audit_Data[[#This Row],[Recency]]&gt;=0,Audit_Data[[#This Row],[Recency]]&lt;=100),"Valid","Invalid")</f>
        <v>Valid</v>
      </c>
      <c r="AM2095" t="str">
        <f t="shared" si="422"/>
        <v>Valid</v>
      </c>
      <c r="AN2095" t="str">
        <f t="shared" si="423"/>
        <v>Valid</v>
      </c>
      <c r="AO2095" t="str">
        <f t="shared" si="424"/>
        <v>Valid</v>
      </c>
      <c r="AP2095" t="str">
        <f t="shared" si="425"/>
        <v>Valid</v>
      </c>
      <c r="AQ2095" t="str">
        <f>IF(Audit_Data[[#This Row],[Z_CostContact]]=3,"Valid","Invalid")</f>
        <v>Valid</v>
      </c>
      <c r="AR2095" t="str">
        <f t="shared" si="426"/>
        <v>Valid</v>
      </c>
      <c r="AS2095" t="str">
        <f t="shared" si="427"/>
        <v>Valid</v>
      </c>
    </row>
    <row r="2096" spans="1:45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 t="str">
        <f t="shared" si="416"/>
        <v>Ok</v>
      </c>
      <c r="AE2096" t="str">
        <f>IF(AND(Audit_Data[[#This Row],[Year_Birth]]&gt;=1900,Audit_Data[[#This Row],[Year_Birth]]&lt;=2010),"OK","Invalid")</f>
        <v>OK</v>
      </c>
      <c r="AF2096" t="str">
        <f t="shared" si="417"/>
        <v>Valid</v>
      </c>
      <c r="AG2096" t="str">
        <f t="shared" si="418"/>
        <v>Valid</v>
      </c>
      <c r="AH2096" t="str">
        <f t="shared" si="419"/>
        <v>Valid</v>
      </c>
      <c r="AI2096" t="str">
        <f t="shared" si="420"/>
        <v>Valid</v>
      </c>
      <c r="AJ2096" t="str">
        <f t="shared" si="421"/>
        <v>Valid</v>
      </c>
      <c r="AK2096" t="str">
        <f t="shared" si="428"/>
        <v xml:space="preserve">Valid </v>
      </c>
      <c r="AL2096" t="str">
        <f>IF(AND(Audit_Data[[#This Row],[Recency]]&gt;=0,Audit_Data[[#This Row],[Recency]]&lt;=100),"Valid","Invalid")</f>
        <v>Valid</v>
      </c>
      <c r="AM2096" t="str">
        <f t="shared" si="422"/>
        <v>Valid</v>
      </c>
      <c r="AN2096" t="str">
        <f t="shared" si="423"/>
        <v>Valid</v>
      </c>
      <c r="AO2096" t="str">
        <f t="shared" si="424"/>
        <v>Valid</v>
      </c>
      <c r="AP2096" t="str">
        <f t="shared" si="425"/>
        <v>Valid</v>
      </c>
      <c r="AQ2096" t="str">
        <f>IF(Audit_Data[[#This Row],[Z_CostContact]]=3,"Valid","Invalid")</f>
        <v>Valid</v>
      </c>
      <c r="AR2096" t="str">
        <f t="shared" si="426"/>
        <v>Valid</v>
      </c>
      <c r="AS2096" t="str">
        <f t="shared" si="427"/>
        <v>Valid</v>
      </c>
    </row>
    <row r="2097" spans="1:45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 t="str">
        <f t="shared" si="416"/>
        <v>Ok</v>
      </c>
      <c r="AE2097" t="str">
        <f>IF(AND(Audit_Data[[#This Row],[Year_Birth]]&gt;=1900,Audit_Data[[#This Row],[Year_Birth]]&lt;=2010),"OK","Invalid")</f>
        <v>OK</v>
      </c>
      <c r="AF2097" t="str">
        <f t="shared" si="417"/>
        <v>Valid</v>
      </c>
      <c r="AG2097" t="str">
        <f t="shared" si="418"/>
        <v>Valid</v>
      </c>
      <c r="AH2097" t="str">
        <f t="shared" si="419"/>
        <v>Valid</v>
      </c>
      <c r="AI2097" t="str">
        <f t="shared" si="420"/>
        <v>Valid</v>
      </c>
      <c r="AJ2097" t="str">
        <f t="shared" si="421"/>
        <v>Valid</v>
      </c>
      <c r="AK2097" t="str">
        <f t="shared" si="428"/>
        <v xml:space="preserve">Valid </v>
      </c>
      <c r="AL2097" t="str">
        <f>IF(AND(Audit_Data[[#This Row],[Recency]]&gt;=0,Audit_Data[[#This Row],[Recency]]&lt;=100),"Valid","Invalid")</f>
        <v>Valid</v>
      </c>
      <c r="AM2097" t="str">
        <f t="shared" si="422"/>
        <v>Valid</v>
      </c>
      <c r="AN2097" t="str">
        <f t="shared" si="423"/>
        <v>Valid</v>
      </c>
      <c r="AO2097" t="str">
        <f t="shared" si="424"/>
        <v>Valid</v>
      </c>
      <c r="AP2097" t="str">
        <f t="shared" si="425"/>
        <v>Valid</v>
      </c>
      <c r="AQ2097" t="str">
        <f>IF(Audit_Data[[#This Row],[Z_CostContact]]=3,"Valid","Invalid")</f>
        <v>Valid</v>
      </c>
      <c r="AR2097" t="str">
        <f t="shared" si="426"/>
        <v>Valid</v>
      </c>
      <c r="AS2097" t="str">
        <f t="shared" si="427"/>
        <v>Valid</v>
      </c>
    </row>
    <row r="2098" spans="1:45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 t="str">
        <f t="shared" si="416"/>
        <v>Ok</v>
      </c>
      <c r="AE2098" t="str">
        <f>IF(AND(Audit_Data[[#This Row],[Year_Birth]]&gt;=1900,Audit_Data[[#This Row],[Year_Birth]]&lt;=2010),"OK","Invalid")</f>
        <v>OK</v>
      </c>
      <c r="AF2098" t="str">
        <f t="shared" si="417"/>
        <v>Valid</v>
      </c>
      <c r="AG2098" t="str">
        <f t="shared" si="418"/>
        <v>Valid</v>
      </c>
      <c r="AH2098" t="str">
        <f t="shared" si="419"/>
        <v>Valid</v>
      </c>
      <c r="AI2098" t="str">
        <f t="shared" si="420"/>
        <v>Valid</v>
      </c>
      <c r="AJ2098" t="str">
        <f t="shared" si="421"/>
        <v>Valid</v>
      </c>
      <c r="AK2098" t="str">
        <f t="shared" si="428"/>
        <v xml:space="preserve">Valid </v>
      </c>
      <c r="AL2098" t="str">
        <f>IF(AND(Audit_Data[[#This Row],[Recency]]&gt;=0,Audit_Data[[#This Row],[Recency]]&lt;=100),"Valid","Invalid")</f>
        <v>Valid</v>
      </c>
      <c r="AM2098" t="str">
        <f t="shared" si="422"/>
        <v>Valid</v>
      </c>
      <c r="AN2098" t="str">
        <f t="shared" si="423"/>
        <v>Valid</v>
      </c>
      <c r="AO2098" t="str">
        <f t="shared" si="424"/>
        <v>Valid</v>
      </c>
      <c r="AP2098" t="str">
        <f t="shared" si="425"/>
        <v>Valid</v>
      </c>
      <c r="AQ2098" t="str">
        <f>IF(Audit_Data[[#This Row],[Z_CostContact]]=3,"Valid","Invalid")</f>
        <v>Valid</v>
      </c>
      <c r="AR2098" t="str">
        <f t="shared" si="426"/>
        <v>Valid</v>
      </c>
      <c r="AS2098" t="str">
        <f t="shared" si="427"/>
        <v>Valid</v>
      </c>
    </row>
    <row r="2099" spans="1:45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 t="str">
        <f t="shared" si="416"/>
        <v>Ok</v>
      </c>
      <c r="AE2099" t="str">
        <f>IF(AND(Audit_Data[[#This Row],[Year_Birth]]&gt;=1900,Audit_Data[[#This Row],[Year_Birth]]&lt;=2010),"OK","Invalid")</f>
        <v>OK</v>
      </c>
      <c r="AF2099" t="str">
        <f t="shared" si="417"/>
        <v>Valid</v>
      </c>
      <c r="AG2099" t="str">
        <f t="shared" si="418"/>
        <v>Valid</v>
      </c>
      <c r="AH2099" t="str">
        <f t="shared" si="419"/>
        <v>Valid</v>
      </c>
      <c r="AI2099" t="str">
        <f t="shared" si="420"/>
        <v>Valid</v>
      </c>
      <c r="AJ2099" t="str">
        <f t="shared" si="421"/>
        <v>Valid</v>
      </c>
      <c r="AK2099" t="str">
        <f t="shared" si="428"/>
        <v xml:space="preserve">Valid </v>
      </c>
      <c r="AL2099" t="str">
        <f>IF(AND(Audit_Data[[#This Row],[Recency]]&gt;=0,Audit_Data[[#This Row],[Recency]]&lt;=100),"Valid","Invalid")</f>
        <v>Valid</v>
      </c>
      <c r="AM2099" t="str">
        <f t="shared" si="422"/>
        <v>Valid</v>
      </c>
      <c r="AN2099" t="str">
        <f t="shared" si="423"/>
        <v>Valid</v>
      </c>
      <c r="AO2099" t="str">
        <f t="shared" si="424"/>
        <v>Valid</v>
      </c>
      <c r="AP2099" t="str">
        <f t="shared" si="425"/>
        <v>Valid</v>
      </c>
      <c r="AQ2099" t="str">
        <f>IF(Audit_Data[[#This Row],[Z_CostContact]]=3,"Valid","Invalid")</f>
        <v>Valid</v>
      </c>
      <c r="AR2099" t="str">
        <f t="shared" si="426"/>
        <v>Valid</v>
      </c>
      <c r="AS2099" t="str">
        <f t="shared" si="427"/>
        <v>Valid</v>
      </c>
    </row>
    <row r="2100" spans="1:45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 t="str">
        <f t="shared" si="416"/>
        <v>Ok</v>
      </c>
      <c r="AE2100" t="str">
        <f>IF(AND(Audit_Data[[#This Row],[Year_Birth]]&gt;=1900,Audit_Data[[#This Row],[Year_Birth]]&lt;=2010),"OK","Invalid")</f>
        <v>OK</v>
      </c>
      <c r="AF2100" t="str">
        <f t="shared" si="417"/>
        <v>Valid</v>
      </c>
      <c r="AG2100" t="str">
        <f t="shared" si="418"/>
        <v>Valid</v>
      </c>
      <c r="AH2100" t="str">
        <f t="shared" si="419"/>
        <v>Valid</v>
      </c>
      <c r="AI2100" t="str">
        <f t="shared" si="420"/>
        <v>Valid</v>
      </c>
      <c r="AJ2100" t="str">
        <f t="shared" si="421"/>
        <v>Valid</v>
      </c>
      <c r="AK2100" t="str">
        <f t="shared" si="428"/>
        <v xml:space="preserve">Valid </v>
      </c>
      <c r="AL2100" t="str">
        <f>IF(AND(Audit_Data[[#This Row],[Recency]]&gt;=0,Audit_Data[[#This Row],[Recency]]&lt;=100),"Valid","Invalid")</f>
        <v>Valid</v>
      </c>
      <c r="AM2100" t="str">
        <f t="shared" si="422"/>
        <v>Valid</v>
      </c>
      <c r="AN2100" t="str">
        <f t="shared" si="423"/>
        <v>Valid</v>
      </c>
      <c r="AO2100" t="str">
        <f t="shared" si="424"/>
        <v>Valid</v>
      </c>
      <c r="AP2100" t="str">
        <f t="shared" si="425"/>
        <v>Valid</v>
      </c>
      <c r="AQ2100" t="str">
        <f>IF(Audit_Data[[#This Row],[Z_CostContact]]=3,"Valid","Invalid")</f>
        <v>Valid</v>
      </c>
      <c r="AR2100" t="str">
        <f t="shared" si="426"/>
        <v>Valid</v>
      </c>
      <c r="AS2100" t="str">
        <f t="shared" si="427"/>
        <v>Valid</v>
      </c>
    </row>
    <row r="2101" spans="1:45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 t="str">
        <f t="shared" si="416"/>
        <v>Ok</v>
      </c>
      <c r="AE2101" t="str">
        <f>IF(AND(Audit_Data[[#This Row],[Year_Birth]]&gt;=1900,Audit_Data[[#This Row],[Year_Birth]]&lt;=2010),"OK","Invalid")</f>
        <v>OK</v>
      </c>
      <c r="AF2101" t="str">
        <f t="shared" si="417"/>
        <v>Valid</v>
      </c>
      <c r="AG2101" t="str">
        <f t="shared" si="418"/>
        <v>Valid</v>
      </c>
      <c r="AH2101" t="str">
        <f t="shared" si="419"/>
        <v>Valid</v>
      </c>
      <c r="AI2101" t="str">
        <f t="shared" si="420"/>
        <v>Valid</v>
      </c>
      <c r="AJ2101" t="str">
        <f t="shared" si="421"/>
        <v>Valid</v>
      </c>
      <c r="AK2101" t="str">
        <f t="shared" si="428"/>
        <v xml:space="preserve">Valid </v>
      </c>
      <c r="AL2101" t="str">
        <f>IF(AND(Audit_Data[[#This Row],[Recency]]&gt;=0,Audit_Data[[#This Row],[Recency]]&lt;=100),"Valid","Invalid")</f>
        <v>Valid</v>
      </c>
      <c r="AM2101" t="str">
        <f t="shared" si="422"/>
        <v>Valid</v>
      </c>
      <c r="AN2101" t="str">
        <f t="shared" si="423"/>
        <v>Valid</v>
      </c>
      <c r="AO2101" t="str">
        <f t="shared" si="424"/>
        <v>Valid</v>
      </c>
      <c r="AP2101" t="str">
        <f t="shared" si="425"/>
        <v>Valid</v>
      </c>
      <c r="AQ2101" t="str">
        <f>IF(Audit_Data[[#This Row],[Z_CostContact]]=3,"Valid","Invalid")</f>
        <v>Valid</v>
      </c>
      <c r="AR2101" t="str">
        <f t="shared" si="426"/>
        <v>Valid</v>
      </c>
      <c r="AS2101" t="str">
        <f t="shared" si="427"/>
        <v>Valid</v>
      </c>
    </row>
    <row r="2102" spans="1:45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 t="str">
        <f t="shared" si="416"/>
        <v>Ok</v>
      </c>
      <c r="AE2102" t="str">
        <f>IF(AND(Audit_Data[[#This Row],[Year_Birth]]&gt;=1900,Audit_Data[[#This Row],[Year_Birth]]&lt;=2010),"OK","Invalid")</f>
        <v>OK</v>
      </c>
      <c r="AF2102" t="str">
        <f t="shared" si="417"/>
        <v>Valid</v>
      </c>
      <c r="AG2102" t="str">
        <f t="shared" si="418"/>
        <v>Valid</v>
      </c>
      <c r="AH2102" t="str">
        <f t="shared" si="419"/>
        <v>Valid</v>
      </c>
      <c r="AI2102" t="str">
        <f t="shared" si="420"/>
        <v>Valid</v>
      </c>
      <c r="AJ2102" t="str">
        <f t="shared" si="421"/>
        <v>Valid</v>
      </c>
      <c r="AK2102" t="str">
        <f t="shared" si="428"/>
        <v xml:space="preserve">Valid </v>
      </c>
      <c r="AL2102" t="str">
        <f>IF(AND(Audit_Data[[#This Row],[Recency]]&gt;=0,Audit_Data[[#This Row],[Recency]]&lt;=100),"Valid","Invalid")</f>
        <v>Valid</v>
      </c>
      <c r="AM2102" t="str">
        <f t="shared" si="422"/>
        <v>Valid</v>
      </c>
      <c r="AN2102" t="str">
        <f t="shared" si="423"/>
        <v>Valid</v>
      </c>
      <c r="AO2102" t="str">
        <f t="shared" si="424"/>
        <v>Valid</v>
      </c>
      <c r="AP2102" t="str">
        <f t="shared" si="425"/>
        <v>Valid</v>
      </c>
      <c r="AQ2102" t="str">
        <f>IF(Audit_Data[[#This Row],[Z_CostContact]]=3,"Valid","Invalid")</f>
        <v>Valid</v>
      </c>
      <c r="AR2102" t="str">
        <f t="shared" si="426"/>
        <v>Valid</v>
      </c>
      <c r="AS2102" t="str">
        <f t="shared" si="427"/>
        <v>Valid</v>
      </c>
    </row>
    <row r="2103" spans="1:45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 t="str">
        <f t="shared" si="416"/>
        <v>Ok</v>
      </c>
      <c r="AE2103" t="str">
        <f>IF(AND(Audit_Data[[#This Row],[Year_Birth]]&gt;=1900,Audit_Data[[#This Row],[Year_Birth]]&lt;=2010),"OK","Invalid")</f>
        <v>OK</v>
      </c>
      <c r="AF2103" t="str">
        <f t="shared" si="417"/>
        <v>Valid</v>
      </c>
      <c r="AG2103" t="str">
        <f t="shared" si="418"/>
        <v>Valid</v>
      </c>
      <c r="AH2103" t="str">
        <f t="shared" si="419"/>
        <v>Valid</v>
      </c>
      <c r="AI2103" t="str">
        <f t="shared" si="420"/>
        <v>Valid</v>
      </c>
      <c r="AJ2103" t="str">
        <f t="shared" si="421"/>
        <v>Valid</v>
      </c>
      <c r="AK2103" t="str">
        <f t="shared" si="428"/>
        <v xml:space="preserve">Valid </v>
      </c>
      <c r="AL2103" t="str">
        <f>IF(AND(Audit_Data[[#This Row],[Recency]]&gt;=0,Audit_Data[[#This Row],[Recency]]&lt;=100),"Valid","Invalid")</f>
        <v>Valid</v>
      </c>
      <c r="AM2103" t="str">
        <f t="shared" si="422"/>
        <v>Valid</v>
      </c>
      <c r="AN2103" t="str">
        <f t="shared" si="423"/>
        <v>Valid</v>
      </c>
      <c r="AO2103" t="str">
        <f t="shared" si="424"/>
        <v>Valid</v>
      </c>
      <c r="AP2103" t="str">
        <f t="shared" si="425"/>
        <v>Valid</v>
      </c>
      <c r="AQ2103" t="str">
        <f>IF(Audit_Data[[#This Row],[Z_CostContact]]=3,"Valid","Invalid")</f>
        <v>Valid</v>
      </c>
      <c r="AR2103" t="str">
        <f t="shared" si="426"/>
        <v>Valid</v>
      </c>
      <c r="AS2103" t="str">
        <f t="shared" si="427"/>
        <v>Valid</v>
      </c>
    </row>
    <row r="2104" spans="1:45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 t="str">
        <f t="shared" si="416"/>
        <v>Ok</v>
      </c>
      <c r="AE2104" t="str">
        <f>IF(AND(Audit_Data[[#This Row],[Year_Birth]]&gt;=1900,Audit_Data[[#This Row],[Year_Birth]]&lt;=2010),"OK","Invalid")</f>
        <v>OK</v>
      </c>
      <c r="AF2104" t="str">
        <f t="shared" si="417"/>
        <v>Valid</v>
      </c>
      <c r="AG2104" t="str">
        <f t="shared" si="418"/>
        <v>Valid</v>
      </c>
      <c r="AH2104" t="str">
        <f t="shared" si="419"/>
        <v>Valid</v>
      </c>
      <c r="AI2104" t="str">
        <f t="shared" si="420"/>
        <v>Valid</v>
      </c>
      <c r="AJ2104" t="str">
        <f t="shared" si="421"/>
        <v>Valid</v>
      </c>
      <c r="AK2104" t="str">
        <f t="shared" si="428"/>
        <v xml:space="preserve">Valid </v>
      </c>
      <c r="AL2104" t="str">
        <f>IF(AND(Audit_Data[[#This Row],[Recency]]&gt;=0,Audit_Data[[#This Row],[Recency]]&lt;=100),"Valid","Invalid")</f>
        <v>Valid</v>
      </c>
      <c r="AM2104" t="str">
        <f t="shared" si="422"/>
        <v>Valid</v>
      </c>
      <c r="AN2104" t="str">
        <f t="shared" si="423"/>
        <v>Valid</v>
      </c>
      <c r="AO2104" t="str">
        <f t="shared" si="424"/>
        <v>Valid</v>
      </c>
      <c r="AP2104" t="str">
        <f t="shared" si="425"/>
        <v>Valid</v>
      </c>
      <c r="AQ2104" t="str">
        <f>IF(Audit_Data[[#This Row],[Z_CostContact]]=3,"Valid","Invalid")</f>
        <v>Valid</v>
      </c>
      <c r="AR2104" t="str">
        <f t="shared" si="426"/>
        <v>Valid</v>
      </c>
      <c r="AS2104" t="str">
        <f t="shared" si="427"/>
        <v>Valid</v>
      </c>
    </row>
    <row r="2105" spans="1:45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 t="str">
        <f t="shared" si="416"/>
        <v>Ok</v>
      </c>
      <c r="AE2105" t="str">
        <f>IF(AND(Audit_Data[[#This Row],[Year_Birth]]&gt;=1900,Audit_Data[[#This Row],[Year_Birth]]&lt;=2010),"OK","Invalid")</f>
        <v>OK</v>
      </c>
      <c r="AF2105" t="str">
        <f t="shared" si="417"/>
        <v>Valid</v>
      </c>
      <c r="AG2105" t="str">
        <f t="shared" si="418"/>
        <v>Valid</v>
      </c>
      <c r="AH2105" t="str">
        <f t="shared" si="419"/>
        <v>Valid</v>
      </c>
      <c r="AI2105" t="str">
        <f t="shared" si="420"/>
        <v>Valid</v>
      </c>
      <c r="AJ2105" t="str">
        <f t="shared" si="421"/>
        <v>Valid</v>
      </c>
      <c r="AK2105" t="str">
        <f t="shared" si="428"/>
        <v xml:space="preserve">Valid </v>
      </c>
      <c r="AL2105" t="str">
        <f>IF(AND(Audit_Data[[#This Row],[Recency]]&gt;=0,Audit_Data[[#This Row],[Recency]]&lt;=100),"Valid","Invalid")</f>
        <v>Valid</v>
      </c>
      <c r="AM2105" t="str">
        <f t="shared" si="422"/>
        <v>Valid</v>
      </c>
      <c r="AN2105" t="str">
        <f t="shared" si="423"/>
        <v>Valid</v>
      </c>
      <c r="AO2105" t="str">
        <f t="shared" si="424"/>
        <v>Valid</v>
      </c>
      <c r="AP2105" t="str">
        <f t="shared" si="425"/>
        <v>Valid</v>
      </c>
      <c r="AQ2105" t="str">
        <f>IF(Audit_Data[[#This Row],[Z_CostContact]]=3,"Valid","Invalid")</f>
        <v>Valid</v>
      </c>
      <c r="AR2105" t="str">
        <f t="shared" si="426"/>
        <v>Valid</v>
      </c>
      <c r="AS2105" t="str">
        <f t="shared" si="427"/>
        <v>Valid</v>
      </c>
    </row>
    <row r="2106" spans="1:45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 t="str">
        <f t="shared" si="416"/>
        <v>Ok</v>
      </c>
      <c r="AE2106" t="str">
        <f>IF(AND(Audit_Data[[#This Row],[Year_Birth]]&gt;=1900,Audit_Data[[#This Row],[Year_Birth]]&lt;=2010),"OK","Invalid")</f>
        <v>OK</v>
      </c>
      <c r="AF2106" t="str">
        <f t="shared" si="417"/>
        <v>Valid</v>
      </c>
      <c r="AG2106" t="str">
        <f t="shared" si="418"/>
        <v>Valid</v>
      </c>
      <c r="AH2106" t="str">
        <f t="shared" si="419"/>
        <v>Valid</v>
      </c>
      <c r="AI2106" t="str">
        <f t="shared" si="420"/>
        <v>Valid</v>
      </c>
      <c r="AJ2106" t="str">
        <f t="shared" si="421"/>
        <v>Valid</v>
      </c>
      <c r="AK2106" t="str">
        <f t="shared" si="428"/>
        <v xml:space="preserve">Valid </v>
      </c>
      <c r="AL2106" t="str">
        <f>IF(AND(Audit_Data[[#This Row],[Recency]]&gt;=0,Audit_Data[[#This Row],[Recency]]&lt;=100),"Valid","Invalid")</f>
        <v>Valid</v>
      </c>
      <c r="AM2106" t="str">
        <f t="shared" si="422"/>
        <v>Valid</v>
      </c>
      <c r="AN2106" t="str">
        <f t="shared" si="423"/>
        <v>Valid</v>
      </c>
      <c r="AO2106" t="str">
        <f t="shared" si="424"/>
        <v>Valid</v>
      </c>
      <c r="AP2106" t="str">
        <f t="shared" si="425"/>
        <v>Valid</v>
      </c>
      <c r="AQ2106" t="str">
        <f>IF(Audit_Data[[#This Row],[Z_CostContact]]=3,"Valid","Invalid")</f>
        <v>Valid</v>
      </c>
      <c r="AR2106" t="str">
        <f t="shared" si="426"/>
        <v>Valid</v>
      </c>
      <c r="AS2106" t="str">
        <f t="shared" si="427"/>
        <v>Valid</v>
      </c>
    </row>
    <row r="2107" spans="1:45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 t="str">
        <f t="shared" si="416"/>
        <v>Ok</v>
      </c>
      <c r="AE2107" t="str">
        <f>IF(AND(Audit_Data[[#This Row],[Year_Birth]]&gt;=1900,Audit_Data[[#This Row],[Year_Birth]]&lt;=2010),"OK","Invalid")</f>
        <v>OK</v>
      </c>
      <c r="AF2107" t="str">
        <f t="shared" si="417"/>
        <v>Valid</v>
      </c>
      <c r="AG2107" t="str">
        <f t="shared" si="418"/>
        <v>Valid</v>
      </c>
      <c r="AH2107" t="str">
        <f t="shared" si="419"/>
        <v>Valid</v>
      </c>
      <c r="AI2107" t="str">
        <f t="shared" si="420"/>
        <v>Valid</v>
      </c>
      <c r="AJ2107" t="str">
        <f t="shared" si="421"/>
        <v>Valid</v>
      </c>
      <c r="AK2107" t="str">
        <f t="shared" si="428"/>
        <v xml:space="preserve">Valid </v>
      </c>
      <c r="AL2107" t="str">
        <f>IF(AND(Audit_Data[[#This Row],[Recency]]&gt;=0,Audit_Data[[#This Row],[Recency]]&lt;=100),"Valid","Invalid")</f>
        <v>Valid</v>
      </c>
      <c r="AM2107" t="str">
        <f t="shared" si="422"/>
        <v>Valid</v>
      </c>
      <c r="AN2107" t="str">
        <f t="shared" si="423"/>
        <v>Valid</v>
      </c>
      <c r="AO2107" t="str">
        <f t="shared" si="424"/>
        <v>Valid</v>
      </c>
      <c r="AP2107" t="str">
        <f t="shared" si="425"/>
        <v>Valid</v>
      </c>
      <c r="AQ2107" t="str">
        <f>IF(Audit_Data[[#This Row],[Z_CostContact]]=3,"Valid","Invalid")</f>
        <v>Valid</v>
      </c>
      <c r="AR2107" t="str">
        <f t="shared" si="426"/>
        <v>Valid</v>
      </c>
      <c r="AS2107" t="str">
        <f t="shared" si="427"/>
        <v>Valid</v>
      </c>
    </row>
    <row r="2108" spans="1:45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 t="str">
        <f t="shared" si="416"/>
        <v>Ok</v>
      </c>
      <c r="AE2108" t="str">
        <f>IF(AND(Audit_Data[[#This Row],[Year_Birth]]&gt;=1900,Audit_Data[[#This Row],[Year_Birth]]&lt;=2010),"OK","Invalid")</f>
        <v>OK</v>
      </c>
      <c r="AF2108" t="str">
        <f t="shared" si="417"/>
        <v>Valid</v>
      </c>
      <c r="AG2108" t="str">
        <f t="shared" si="418"/>
        <v>Valid</v>
      </c>
      <c r="AH2108" t="str">
        <f t="shared" si="419"/>
        <v>Valid</v>
      </c>
      <c r="AI2108" t="str">
        <f t="shared" si="420"/>
        <v>Valid</v>
      </c>
      <c r="AJ2108" t="str">
        <f t="shared" si="421"/>
        <v>Valid</v>
      </c>
      <c r="AK2108" t="str">
        <f t="shared" si="428"/>
        <v xml:space="preserve">Valid </v>
      </c>
      <c r="AL2108" t="str">
        <f>IF(AND(Audit_Data[[#This Row],[Recency]]&gt;=0,Audit_Data[[#This Row],[Recency]]&lt;=100),"Valid","Invalid")</f>
        <v>Valid</v>
      </c>
      <c r="AM2108" t="str">
        <f t="shared" si="422"/>
        <v>Valid</v>
      </c>
      <c r="AN2108" t="str">
        <f t="shared" si="423"/>
        <v>Valid</v>
      </c>
      <c r="AO2108" t="str">
        <f t="shared" si="424"/>
        <v>Valid</v>
      </c>
      <c r="AP2108" t="str">
        <f t="shared" si="425"/>
        <v>Valid</v>
      </c>
      <c r="AQ2108" t="str">
        <f>IF(Audit_Data[[#This Row],[Z_CostContact]]=3,"Valid","Invalid")</f>
        <v>Valid</v>
      </c>
      <c r="AR2108" t="str">
        <f t="shared" si="426"/>
        <v>Valid</v>
      </c>
      <c r="AS2108" t="str">
        <f t="shared" si="427"/>
        <v>Valid</v>
      </c>
    </row>
    <row r="2109" spans="1:45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 t="str">
        <f t="shared" si="416"/>
        <v>Ok</v>
      </c>
      <c r="AE2109" t="str">
        <f>IF(AND(Audit_Data[[#This Row],[Year_Birth]]&gt;=1900,Audit_Data[[#This Row],[Year_Birth]]&lt;=2010),"OK","Invalid")</f>
        <v>OK</v>
      </c>
      <c r="AF2109" t="str">
        <f t="shared" si="417"/>
        <v>Valid</v>
      </c>
      <c r="AG2109" t="str">
        <f t="shared" si="418"/>
        <v>Valid</v>
      </c>
      <c r="AH2109" t="str">
        <f t="shared" si="419"/>
        <v>Valid</v>
      </c>
      <c r="AI2109" t="str">
        <f t="shared" si="420"/>
        <v>Valid</v>
      </c>
      <c r="AJ2109" t="str">
        <f t="shared" si="421"/>
        <v>Valid</v>
      </c>
      <c r="AK2109" t="str">
        <f t="shared" si="428"/>
        <v xml:space="preserve">Valid </v>
      </c>
      <c r="AL2109" t="str">
        <f>IF(AND(Audit_Data[[#This Row],[Recency]]&gt;=0,Audit_Data[[#This Row],[Recency]]&lt;=100),"Valid","Invalid")</f>
        <v>Valid</v>
      </c>
      <c r="AM2109" t="str">
        <f t="shared" si="422"/>
        <v>Valid</v>
      </c>
      <c r="AN2109" t="str">
        <f t="shared" si="423"/>
        <v>Valid</v>
      </c>
      <c r="AO2109" t="str">
        <f t="shared" si="424"/>
        <v>Valid</v>
      </c>
      <c r="AP2109" t="str">
        <f t="shared" si="425"/>
        <v>Valid</v>
      </c>
      <c r="AQ2109" t="str">
        <f>IF(Audit_Data[[#This Row],[Z_CostContact]]=3,"Valid","Invalid")</f>
        <v>Valid</v>
      </c>
      <c r="AR2109" t="str">
        <f t="shared" si="426"/>
        <v>Valid</v>
      </c>
      <c r="AS2109" t="str">
        <f t="shared" si="427"/>
        <v>Valid</v>
      </c>
    </row>
    <row r="2110" spans="1:45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 t="str">
        <f t="shared" si="416"/>
        <v>Ok</v>
      </c>
      <c r="AE2110" t="str">
        <f>IF(AND(Audit_Data[[#This Row],[Year_Birth]]&gt;=1900,Audit_Data[[#This Row],[Year_Birth]]&lt;=2010),"OK","Invalid")</f>
        <v>OK</v>
      </c>
      <c r="AF2110" t="str">
        <f t="shared" si="417"/>
        <v>Valid</v>
      </c>
      <c r="AG2110" t="str">
        <f t="shared" si="418"/>
        <v>Valid</v>
      </c>
      <c r="AH2110" t="str">
        <f t="shared" si="419"/>
        <v>Valid</v>
      </c>
      <c r="AI2110" t="str">
        <f t="shared" si="420"/>
        <v>Valid</v>
      </c>
      <c r="AJ2110" t="str">
        <f t="shared" si="421"/>
        <v>Valid</v>
      </c>
      <c r="AK2110" t="str">
        <f t="shared" si="428"/>
        <v xml:space="preserve">Valid </v>
      </c>
      <c r="AL2110" t="str">
        <f>IF(AND(Audit_Data[[#This Row],[Recency]]&gt;=0,Audit_Data[[#This Row],[Recency]]&lt;=100),"Valid","Invalid")</f>
        <v>Valid</v>
      </c>
      <c r="AM2110" t="str">
        <f t="shared" si="422"/>
        <v>Valid</v>
      </c>
      <c r="AN2110" t="str">
        <f t="shared" si="423"/>
        <v>Valid</v>
      </c>
      <c r="AO2110" t="str">
        <f t="shared" si="424"/>
        <v>Valid</v>
      </c>
      <c r="AP2110" t="str">
        <f t="shared" si="425"/>
        <v>Valid</v>
      </c>
      <c r="AQ2110" t="str">
        <f>IF(Audit_Data[[#This Row],[Z_CostContact]]=3,"Valid","Invalid")</f>
        <v>Valid</v>
      </c>
      <c r="AR2110" t="str">
        <f t="shared" si="426"/>
        <v>Valid</v>
      </c>
      <c r="AS2110" t="str">
        <f t="shared" si="427"/>
        <v>Valid</v>
      </c>
    </row>
    <row r="2111" spans="1:45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 t="str">
        <f t="shared" si="416"/>
        <v>Ok</v>
      </c>
      <c r="AE2111" t="str">
        <f>IF(AND(Audit_Data[[#This Row],[Year_Birth]]&gt;=1900,Audit_Data[[#This Row],[Year_Birth]]&lt;=2010),"OK","Invalid")</f>
        <v>OK</v>
      </c>
      <c r="AF2111" t="str">
        <f t="shared" si="417"/>
        <v>Valid</v>
      </c>
      <c r="AG2111" t="str">
        <f t="shared" si="418"/>
        <v>Valid</v>
      </c>
      <c r="AH2111" t="str">
        <f t="shared" si="419"/>
        <v>Valid</v>
      </c>
      <c r="AI2111" t="str">
        <f t="shared" si="420"/>
        <v>Valid</v>
      </c>
      <c r="AJ2111" t="str">
        <f t="shared" si="421"/>
        <v>Valid</v>
      </c>
      <c r="AK2111" t="str">
        <f t="shared" si="428"/>
        <v xml:space="preserve">Valid </v>
      </c>
      <c r="AL2111" t="str">
        <f>IF(AND(Audit_Data[[#This Row],[Recency]]&gt;=0,Audit_Data[[#This Row],[Recency]]&lt;=100),"Valid","Invalid")</f>
        <v>Valid</v>
      </c>
      <c r="AM2111" t="str">
        <f t="shared" si="422"/>
        <v>Valid</v>
      </c>
      <c r="AN2111" t="str">
        <f t="shared" si="423"/>
        <v>Valid</v>
      </c>
      <c r="AO2111" t="str">
        <f t="shared" si="424"/>
        <v>Valid</v>
      </c>
      <c r="AP2111" t="str">
        <f t="shared" si="425"/>
        <v>Valid</v>
      </c>
      <c r="AQ2111" t="str">
        <f>IF(Audit_Data[[#This Row],[Z_CostContact]]=3,"Valid","Invalid")</f>
        <v>Valid</v>
      </c>
      <c r="AR2111" t="str">
        <f t="shared" si="426"/>
        <v>Valid</v>
      </c>
      <c r="AS2111" t="str">
        <f t="shared" si="427"/>
        <v>Valid</v>
      </c>
    </row>
    <row r="2112" spans="1:45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 t="str">
        <f t="shared" si="416"/>
        <v>Ok</v>
      </c>
      <c r="AE2112" t="str">
        <f>IF(AND(Audit_Data[[#This Row],[Year_Birth]]&gt;=1900,Audit_Data[[#This Row],[Year_Birth]]&lt;=2010),"OK","Invalid")</f>
        <v>OK</v>
      </c>
      <c r="AF2112" t="str">
        <f t="shared" si="417"/>
        <v>Valid</v>
      </c>
      <c r="AG2112" t="str">
        <f t="shared" si="418"/>
        <v>Valid</v>
      </c>
      <c r="AH2112" t="str">
        <f t="shared" si="419"/>
        <v>Valid</v>
      </c>
      <c r="AI2112" t="str">
        <f t="shared" si="420"/>
        <v>Valid</v>
      </c>
      <c r="AJ2112" t="str">
        <f t="shared" si="421"/>
        <v>Valid</v>
      </c>
      <c r="AK2112" t="str">
        <f t="shared" si="428"/>
        <v xml:space="preserve">Valid </v>
      </c>
      <c r="AL2112" t="str">
        <f>IF(AND(Audit_Data[[#This Row],[Recency]]&gt;=0,Audit_Data[[#This Row],[Recency]]&lt;=100),"Valid","Invalid")</f>
        <v>Valid</v>
      </c>
      <c r="AM2112" t="str">
        <f t="shared" si="422"/>
        <v>Valid</v>
      </c>
      <c r="AN2112" t="str">
        <f t="shared" si="423"/>
        <v>Valid</v>
      </c>
      <c r="AO2112" t="str">
        <f t="shared" si="424"/>
        <v>Valid</v>
      </c>
      <c r="AP2112" t="str">
        <f t="shared" si="425"/>
        <v>Valid</v>
      </c>
      <c r="AQ2112" t="str">
        <f>IF(Audit_Data[[#This Row],[Z_CostContact]]=3,"Valid","Invalid")</f>
        <v>Valid</v>
      </c>
      <c r="AR2112" t="str">
        <f t="shared" si="426"/>
        <v>Valid</v>
      </c>
      <c r="AS2112" t="str">
        <f t="shared" si="427"/>
        <v>Valid</v>
      </c>
    </row>
    <row r="2113" spans="1:45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 t="str">
        <f t="shared" si="416"/>
        <v>Ok</v>
      </c>
      <c r="AE2113" t="str">
        <f>IF(AND(Audit_Data[[#This Row],[Year_Birth]]&gt;=1900,Audit_Data[[#This Row],[Year_Birth]]&lt;=2010),"OK","Invalid")</f>
        <v>OK</v>
      </c>
      <c r="AF2113" t="str">
        <f t="shared" si="417"/>
        <v>Valid</v>
      </c>
      <c r="AG2113" t="str">
        <f t="shared" si="418"/>
        <v>Valid</v>
      </c>
      <c r="AH2113" t="str">
        <f t="shared" si="419"/>
        <v>Valid</v>
      </c>
      <c r="AI2113" t="str">
        <f t="shared" si="420"/>
        <v>Valid</v>
      </c>
      <c r="AJ2113" t="str">
        <f t="shared" si="421"/>
        <v>Valid</v>
      </c>
      <c r="AK2113" t="str">
        <f t="shared" si="428"/>
        <v xml:space="preserve">Valid </v>
      </c>
      <c r="AL2113" t="str">
        <f>IF(AND(Audit_Data[[#This Row],[Recency]]&gt;=0,Audit_Data[[#This Row],[Recency]]&lt;=100),"Valid","Invalid")</f>
        <v>Valid</v>
      </c>
      <c r="AM2113" t="str">
        <f t="shared" si="422"/>
        <v>Valid</v>
      </c>
      <c r="AN2113" t="str">
        <f t="shared" si="423"/>
        <v>Valid</v>
      </c>
      <c r="AO2113" t="str">
        <f t="shared" si="424"/>
        <v>Valid</v>
      </c>
      <c r="AP2113" t="str">
        <f t="shared" si="425"/>
        <v>Valid</v>
      </c>
      <c r="AQ2113" t="str">
        <f>IF(Audit_Data[[#This Row],[Z_CostContact]]=3,"Valid","Invalid")</f>
        <v>Valid</v>
      </c>
      <c r="AR2113" t="str">
        <f t="shared" si="426"/>
        <v>Valid</v>
      </c>
      <c r="AS2113" t="str">
        <f t="shared" si="427"/>
        <v>Valid</v>
      </c>
    </row>
    <row r="2114" spans="1:45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 t="str">
        <f t="shared" ref="AD2114:AD2177" si="429">IF(COUNTIF(A:A,A2114)&gt;1,"Duplicate","Ok")</f>
        <v>Ok</v>
      </c>
      <c r="AE2114" t="str">
        <f>IF(AND(Audit_Data[[#This Row],[Year_Birth]]&gt;=1900,Audit_Data[[#This Row],[Year_Birth]]&lt;=2010),"OK","Invalid")</f>
        <v>OK</v>
      </c>
      <c r="AF2114" t="str">
        <f t="shared" ref="AF2114:AF2177" si="430">IF(OR(C2114="Graduation",C2114="phD",C2114="Master",C2114="Basic",C2114="2n Cycle"),"Valid","Invalid")</f>
        <v>Valid</v>
      </c>
      <c r="AG2114" t="str">
        <f t="shared" ref="AG2114:AG2177" si="431">IF(OR(D2114="Single",D2114="Married",D2114="Divorced",D2114="Together",D2114="Widow",D2114="Alone"),"Valid","Invalid")</f>
        <v>Valid</v>
      </c>
      <c r="AH2114" t="str">
        <f t="shared" ref="AH2114:AH2177" si="432">IF(AND(ISNUMBER(E2114),E2114&lt;&gt;""),"Valid","Invalid")</f>
        <v>Valid</v>
      </c>
      <c r="AI2114" t="str">
        <f t="shared" ref="AI2114:AI2177" si="433">IF(AND(F2114&gt;=0,F2114&lt;=2),"Valid","Invalid")</f>
        <v>Valid</v>
      </c>
      <c r="AJ2114" t="str">
        <f t="shared" ref="AJ2114:AJ2177" si="434">IF(AND(G2114&gt;=0,G2114&lt;=2),"Valid","Invalid")</f>
        <v>Valid</v>
      </c>
      <c r="AK2114" t="str">
        <f t="shared" si="428"/>
        <v xml:space="preserve">Valid </v>
      </c>
      <c r="AL2114" t="str">
        <f>IF(AND(Audit_Data[[#This Row],[Recency]]&gt;=0,Audit_Data[[#This Row],[Recency]]&lt;=100),"Valid","Invalid")</f>
        <v>Valid</v>
      </c>
      <c r="AM2114" t="str">
        <f t="shared" ref="AM2114:AM2177" si="435">IF(AND(ISNUMBER(J2114),J2114&gt;=0,ISNUMBER(K2114),K2114&gt;=0,ISNUMBER(L2114),L2114&gt;=0,ISNUMBER(M2114),M2114&gt;=0,ISNUMBER(N2114),N2114&gt;=0,ISNUMBER(O2114),O2114&gt;=0),"Valid","Invalid")</f>
        <v>Valid</v>
      </c>
      <c r="AN2114" t="str">
        <f t="shared" ref="AN2114:AN2177" si="436">IF(AND(ISNUMBER(P2114),P2114&gt;=0,ISNUMBER(Q2114),Q2114&gt;=0,ISNUMBER(R2114),R2114&gt;=0,ISNUMBER(S2114),S2114&gt;=0,ISNUMBER(T2114),T2114&gt;=0),"Valid","Invalid")</f>
        <v>Valid</v>
      </c>
      <c r="AO2114" t="str">
        <f t="shared" ref="AO2114:AO2177" si="437">IF(AND(U2114&lt;=1,V2114&lt;=1,W2114&lt;=1,X2114&lt;=1,Y2114&lt;=1),"Valid","Invalid")</f>
        <v>Valid</v>
      </c>
      <c r="AP2114" t="str">
        <f t="shared" ref="AP2114:AP2177" si="438">IF(OR(Z2114=0,Z2114=1),"Valid","Invalid")</f>
        <v>Valid</v>
      </c>
      <c r="AQ2114" t="str">
        <f>IF(Audit_Data[[#This Row],[Z_CostContact]]=3,"Valid","Invalid")</f>
        <v>Valid</v>
      </c>
      <c r="AR2114" t="str">
        <f t="shared" ref="AR2114:AR2177" si="439">IF(AB2114=11,"Valid","Invalid")</f>
        <v>Valid</v>
      </c>
      <c r="AS2114" t="str">
        <f t="shared" ref="AS2114:AS2177" si="440">IF(OR(AC2114=0,AC2114=1),"Valid","Invalid")</f>
        <v>Valid</v>
      </c>
    </row>
    <row r="2115" spans="1:45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 t="str">
        <f t="shared" si="429"/>
        <v>Ok</v>
      </c>
      <c r="AE2115" t="str">
        <f>IF(AND(Audit_Data[[#This Row],[Year_Birth]]&gt;=1900,Audit_Data[[#This Row],[Year_Birth]]&lt;=2010),"OK","Invalid")</f>
        <v>OK</v>
      </c>
      <c r="AF2115" t="str">
        <f t="shared" si="430"/>
        <v>Valid</v>
      </c>
      <c r="AG2115" t="str">
        <f t="shared" si="431"/>
        <v>Valid</v>
      </c>
      <c r="AH2115" t="str">
        <f t="shared" si="432"/>
        <v>Valid</v>
      </c>
      <c r="AI2115" t="str">
        <f t="shared" si="433"/>
        <v>Valid</v>
      </c>
      <c r="AJ2115" t="str">
        <f t="shared" si="434"/>
        <v>Valid</v>
      </c>
      <c r="AK2115" t="str">
        <f t="shared" ref="AK2115:AK2178" si="441">IF(AND(ISNUMBER(H2115),H2115&gt;=DATE(2012,1,1),H2115&lt;=DATE(2014,12,31)),"Valid ","Invalid")</f>
        <v xml:space="preserve">Valid </v>
      </c>
      <c r="AL2115" t="str">
        <f>IF(AND(Audit_Data[[#This Row],[Recency]]&gt;=0,Audit_Data[[#This Row],[Recency]]&lt;=100),"Valid","Invalid")</f>
        <v>Valid</v>
      </c>
      <c r="AM2115" t="str">
        <f t="shared" si="435"/>
        <v>Valid</v>
      </c>
      <c r="AN2115" t="str">
        <f t="shared" si="436"/>
        <v>Valid</v>
      </c>
      <c r="AO2115" t="str">
        <f t="shared" si="437"/>
        <v>Valid</v>
      </c>
      <c r="AP2115" t="str">
        <f t="shared" si="438"/>
        <v>Valid</v>
      </c>
      <c r="AQ2115" t="str">
        <f>IF(Audit_Data[[#This Row],[Z_CostContact]]=3,"Valid","Invalid")</f>
        <v>Valid</v>
      </c>
      <c r="AR2115" t="str">
        <f t="shared" si="439"/>
        <v>Valid</v>
      </c>
      <c r="AS2115" t="str">
        <f t="shared" si="440"/>
        <v>Valid</v>
      </c>
    </row>
    <row r="2116" spans="1:45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 t="str">
        <f t="shared" si="429"/>
        <v>Ok</v>
      </c>
      <c r="AE2116" t="str">
        <f>IF(AND(Audit_Data[[#This Row],[Year_Birth]]&gt;=1900,Audit_Data[[#This Row],[Year_Birth]]&lt;=2010),"OK","Invalid")</f>
        <v>OK</v>
      </c>
      <c r="AF2116" t="str">
        <f t="shared" si="430"/>
        <v>Valid</v>
      </c>
      <c r="AG2116" t="str">
        <f t="shared" si="431"/>
        <v>Valid</v>
      </c>
      <c r="AH2116" t="str">
        <f t="shared" si="432"/>
        <v>Valid</v>
      </c>
      <c r="AI2116" t="str">
        <f t="shared" si="433"/>
        <v>Valid</v>
      </c>
      <c r="AJ2116" t="str">
        <f t="shared" si="434"/>
        <v>Valid</v>
      </c>
      <c r="AK2116" t="str">
        <f t="shared" si="441"/>
        <v xml:space="preserve">Valid </v>
      </c>
      <c r="AL2116" t="str">
        <f>IF(AND(Audit_Data[[#This Row],[Recency]]&gt;=0,Audit_Data[[#This Row],[Recency]]&lt;=100),"Valid","Invalid")</f>
        <v>Valid</v>
      </c>
      <c r="AM2116" t="str">
        <f t="shared" si="435"/>
        <v>Valid</v>
      </c>
      <c r="AN2116" t="str">
        <f t="shared" si="436"/>
        <v>Valid</v>
      </c>
      <c r="AO2116" t="str">
        <f t="shared" si="437"/>
        <v>Valid</v>
      </c>
      <c r="AP2116" t="str">
        <f t="shared" si="438"/>
        <v>Valid</v>
      </c>
      <c r="AQ2116" t="str">
        <f>IF(Audit_Data[[#This Row],[Z_CostContact]]=3,"Valid","Invalid")</f>
        <v>Valid</v>
      </c>
      <c r="AR2116" t="str">
        <f t="shared" si="439"/>
        <v>Valid</v>
      </c>
      <c r="AS2116" t="str">
        <f t="shared" si="440"/>
        <v>Valid</v>
      </c>
    </row>
    <row r="2117" spans="1:45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 t="str">
        <f t="shared" si="429"/>
        <v>Ok</v>
      </c>
      <c r="AE2117" t="str">
        <f>IF(AND(Audit_Data[[#This Row],[Year_Birth]]&gt;=1900,Audit_Data[[#This Row],[Year_Birth]]&lt;=2010),"OK","Invalid")</f>
        <v>OK</v>
      </c>
      <c r="AF2117" t="str">
        <f t="shared" si="430"/>
        <v>Valid</v>
      </c>
      <c r="AG2117" t="str">
        <f t="shared" si="431"/>
        <v>Valid</v>
      </c>
      <c r="AH2117" t="str">
        <f t="shared" si="432"/>
        <v>Valid</v>
      </c>
      <c r="AI2117" t="str">
        <f t="shared" si="433"/>
        <v>Valid</v>
      </c>
      <c r="AJ2117" t="str">
        <f t="shared" si="434"/>
        <v>Valid</v>
      </c>
      <c r="AK2117" t="str">
        <f t="shared" si="441"/>
        <v xml:space="preserve">Valid </v>
      </c>
      <c r="AL2117" t="str">
        <f>IF(AND(Audit_Data[[#This Row],[Recency]]&gt;=0,Audit_Data[[#This Row],[Recency]]&lt;=100),"Valid","Invalid")</f>
        <v>Valid</v>
      </c>
      <c r="AM2117" t="str">
        <f t="shared" si="435"/>
        <v>Valid</v>
      </c>
      <c r="AN2117" t="str">
        <f t="shared" si="436"/>
        <v>Valid</v>
      </c>
      <c r="AO2117" t="str">
        <f t="shared" si="437"/>
        <v>Valid</v>
      </c>
      <c r="AP2117" t="str">
        <f t="shared" si="438"/>
        <v>Valid</v>
      </c>
      <c r="AQ2117" t="str">
        <f>IF(Audit_Data[[#This Row],[Z_CostContact]]=3,"Valid","Invalid")</f>
        <v>Valid</v>
      </c>
      <c r="AR2117" t="str">
        <f t="shared" si="439"/>
        <v>Valid</v>
      </c>
      <c r="AS2117" t="str">
        <f t="shared" si="440"/>
        <v>Valid</v>
      </c>
    </row>
    <row r="2118" spans="1:45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 t="str">
        <f t="shared" si="429"/>
        <v>Ok</v>
      </c>
      <c r="AE2118" t="str">
        <f>IF(AND(Audit_Data[[#This Row],[Year_Birth]]&gt;=1900,Audit_Data[[#This Row],[Year_Birth]]&lt;=2010),"OK","Invalid")</f>
        <v>OK</v>
      </c>
      <c r="AF2118" t="str">
        <f t="shared" si="430"/>
        <v>Valid</v>
      </c>
      <c r="AG2118" t="str">
        <f t="shared" si="431"/>
        <v>Valid</v>
      </c>
      <c r="AH2118" t="str">
        <f t="shared" si="432"/>
        <v>Valid</v>
      </c>
      <c r="AI2118" t="str">
        <f t="shared" si="433"/>
        <v>Valid</v>
      </c>
      <c r="AJ2118" t="str">
        <f t="shared" si="434"/>
        <v>Valid</v>
      </c>
      <c r="AK2118" t="str">
        <f t="shared" si="441"/>
        <v xml:space="preserve">Valid </v>
      </c>
      <c r="AL2118" t="str">
        <f>IF(AND(Audit_Data[[#This Row],[Recency]]&gt;=0,Audit_Data[[#This Row],[Recency]]&lt;=100),"Valid","Invalid")</f>
        <v>Valid</v>
      </c>
      <c r="AM2118" t="str">
        <f t="shared" si="435"/>
        <v>Valid</v>
      </c>
      <c r="AN2118" t="str">
        <f t="shared" si="436"/>
        <v>Valid</v>
      </c>
      <c r="AO2118" t="str">
        <f t="shared" si="437"/>
        <v>Valid</v>
      </c>
      <c r="AP2118" t="str">
        <f t="shared" si="438"/>
        <v>Valid</v>
      </c>
      <c r="AQ2118" t="str">
        <f>IF(Audit_Data[[#This Row],[Z_CostContact]]=3,"Valid","Invalid")</f>
        <v>Valid</v>
      </c>
      <c r="AR2118" t="str">
        <f t="shared" si="439"/>
        <v>Valid</v>
      </c>
      <c r="AS2118" t="str">
        <f t="shared" si="440"/>
        <v>Valid</v>
      </c>
    </row>
    <row r="2119" spans="1:45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 t="str">
        <f t="shared" si="429"/>
        <v>Ok</v>
      </c>
      <c r="AE2119" t="str">
        <f>IF(AND(Audit_Data[[#This Row],[Year_Birth]]&gt;=1900,Audit_Data[[#This Row],[Year_Birth]]&lt;=2010),"OK","Invalid")</f>
        <v>OK</v>
      </c>
      <c r="AF2119" t="str">
        <f t="shared" si="430"/>
        <v>Valid</v>
      </c>
      <c r="AG2119" t="str">
        <f t="shared" si="431"/>
        <v>Valid</v>
      </c>
      <c r="AH2119" t="str">
        <f t="shared" si="432"/>
        <v>Valid</v>
      </c>
      <c r="AI2119" t="str">
        <f t="shared" si="433"/>
        <v>Valid</v>
      </c>
      <c r="AJ2119" t="str">
        <f t="shared" si="434"/>
        <v>Valid</v>
      </c>
      <c r="AK2119" t="str">
        <f t="shared" si="441"/>
        <v xml:space="preserve">Valid </v>
      </c>
      <c r="AL2119" t="str">
        <f>IF(AND(Audit_Data[[#This Row],[Recency]]&gt;=0,Audit_Data[[#This Row],[Recency]]&lt;=100),"Valid","Invalid")</f>
        <v>Valid</v>
      </c>
      <c r="AM2119" t="str">
        <f t="shared" si="435"/>
        <v>Valid</v>
      </c>
      <c r="AN2119" t="str">
        <f t="shared" si="436"/>
        <v>Valid</v>
      </c>
      <c r="AO2119" t="str">
        <f t="shared" si="437"/>
        <v>Valid</v>
      </c>
      <c r="AP2119" t="str">
        <f t="shared" si="438"/>
        <v>Valid</v>
      </c>
      <c r="AQ2119" t="str">
        <f>IF(Audit_Data[[#This Row],[Z_CostContact]]=3,"Valid","Invalid")</f>
        <v>Valid</v>
      </c>
      <c r="AR2119" t="str">
        <f t="shared" si="439"/>
        <v>Valid</v>
      </c>
      <c r="AS2119" t="str">
        <f t="shared" si="440"/>
        <v>Valid</v>
      </c>
    </row>
    <row r="2120" spans="1:45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 t="str">
        <f t="shared" si="429"/>
        <v>Ok</v>
      </c>
      <c r="AE2120" t="str">
        <f>IF(AND(Audit_Data[[#This Row],[Year_Birth]]&gt;=1900,Audit_Data[[#This Row],[Year_Birth]]&lt;=2010),"OK","Invalid")</f>
        <v>OK</v>
      </c>
      <c r="AF2120" t="str">
        <f t="shared" si="430"/>
        <v>Valid</v>
      </c>
      <c r="AG2120" t="str">
        <f t="shared" si="431"/>
        <v>Valid</v>
      </c>
      <c r="AH2120" t="str">
        <f t="shared" si="432"/>
        <v>Valid</v>
      </c>
      <c r="AI2120" t="str">
        <f t="shared" si="433"/>
        <v>Valid</v>
      </c>
      <c r="AJ2120" t="str">
        <f t="shared" si="434"/>
        <v>Valid</v>
      </c>
      <c r="AK2120" t="str">
        <f t="shared" si="441"/>
        <v xml:space="preserve">Valid </v>
      </c>
      <c r="AL2120" t="str">
        <f>IF(AND(Audit_Data[[#This Row],[Recency]]&gt;=0,Audit_Data[[#This Row],[Recency]]&lt;=100),"Valid","Invalid")</f>
        <v>Valid</v>
      </c>
      <c r="AM2120" t="str">
        <f t="shared" si="435"/>
        <v>Valid</v>
      </c>
      <c r="AN2120" t="str">
        <f t="shared" si="436"/>
        <v>Valid</v>
      </c>
      <c r="AO2120" t="str">
        <f t="shared" si="437"/>
        <v>Valid</v>
      </c>
      <c r="AP2120" t="str">
        <f t="shared" si="438"/>
        <v>Valid</v>
      </c>
      <c r="AQ2120" t="str">
        <f>IF(Audit_Data[[#This Row],[Z_CostContact]]=3,"Valid","Invalid")</f>
        <v>Valid</v>
      </c>
      <c r="AR2120" t="str">
        <f t="shared" si="439"/>
        <v>Valid</v>
      </c>
      <c r="AS2120" t="str">
        <f t="shared" si="440"/>
        <v>Valid</v>
      </c>
    </row>
    <row r="2121" spans="1:45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 t="str">
        <f t="shared" si="429"/>
        <v>Ok</v>
      </c>
      <c r="AE2121" t="str">
        <f>IF(AND(Audit_Data[[#This Row],[Year_Birth]]&gt;=1900,Audit_Data[[#This Row],[Year_Birth]]&lt;=2010),"OK","Invalid")</f>
        <v>OK</v>
      </c>
      <c r="AF2121" t="str">
        <f t="shared" si="430"/>
        <v>Valid</v>
      </c>
      <c r="AG2121" t="str">
        <f t="shared" si="431"/>
        <v>Valid</v>
      </c>
      <c r="AH2121" t="str">
        <f t="shared" si="432"/>
        <v>Valid</v>
      </c>
      <c r="AI2121" t="str">
        <f t="shared" si="433"/>
        <v>Valid</v>
      </c>
      <c r="AJ2121" t="str">
        <f t="shared" si="434"/>
        <v>Valid</v>
      </c>
      <c r="AK2121" t="str">
        <f t="shared" si="441"/>
        <v xml:space="preserve">Valid </v>
      </c>
      <c r="AL2121" t="str">
        <f>IF(AND(Audit_Data[[#This Row],[Recency]]&gt;=0,Audit_Data[[#This Row],[Recency]]&lt;=100),"Valid","Invalid")</f>
        <v>Valid</v>
      </c>
      <c r="AM2121" t="str">
        <f t="shared" si="435"/>
        <v>Valid</v>
      </c>
      <c r="AN2121" t="str">
        <f t="shared" si="436"/>
        <v>Valid</v>
      </c>
      <c r="AO2121" t="str">
        <f t="shared" si="437"/>
        <v>Valid</v>
      </c>
      <c r="AP2121" t="str">
        <f t="shared" si="438"/>
        <v>Valid</v>
      </c>
      <c r="AQ2121" t="str">
        <f>IF(Audit_Data[[#This Row],[Z_CostContact]]=3,"Valid","Invalid")</f>
        <v>Valid</v>
      </c>
      <c r="AR2121" t="str">
        <f t="shared" si="439"/>
        <v>Valid</v>
      </c>
      <c r="AS2121" t="str">
        <f t="shared" si="440"/>
        <v>Valid</v>
      </c>
    </row>
    <row r="2122" spans="1:45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 t="str">
        <f t="shared" si="429"/>
        <v>Ok</v>
      </c>
      <c r="AE2122" t="str">
        <f>IF(AND(Audit_Data[[#This Row],[Year_Birth]]&gt;=1900,Audit_Data[[#This Row],[Year_Birth]]&lt;=2010),"OK","Invalid")</f>
        <v>OK</v>
      </c>
      <c r="AF2122" t="str">
        <f t="shared" si="430"/>
        <v>Valid</v>
      </c>
      <c r="AG2122" t="str">
        <f t="shared" si="431"/>
        <v>Valid</v>
      </c>
      <c r="AH2122" t="str">
        <f t="shared" si="432"/>
        <v>Valid</v>
      </c>
      <c r="AI2122" t="str">
        <f t="shared" si="433"/>
        <v>Valid</v>
      </c>
      <c r="AJ2122" t="str">
        <f t="shared" si="434"/>
        <v>Valid</v>
      </c>
      <c r="AK2122" t="str">
        <f t="shared" si="441"/>
        <v xml:space="preserve">Valid </v>
      </c>
      <c r="AL2122" t="str">
        <f>IF(AND(Audit_Data[[#This Row],[Recency]]&gt;=0,Audit_Data[[#This Row],[Recency]]&lt;=100),"Valid","Invalid")</f>
        <v>Valid</v>
      </c>
      <c r="AM2122" t="str">
        <f t="shared" si="435"/>
        <v>Valid</v>
      </c>
      <c r="AN2122" t="str">
        <f t="shared" si="436"/>
        <v>Valid</v>
      </c>
      <c r="AO2122" t="str">
        <f t="shared" si="437"/>
        <v>Valid</v>
      </c>
      <c r="AP2122" t="str">
        <f t="shared" si="438"/>
        <v>Valid</v>
      </c>
      <c r="AQ2122" t="str">
        <f>IF(Audit_Data[[#This Row],[Z_CostContact]]=3,"Valid","Invalid")</f>
        <v>Valid</v>
      </c>
      <c r="AR2122" t="str">
        <f t="shared" si="439"/>
        <v>Valid</v>
      </c>
      <c r="AS2122" t="str">
        <f t="shared" si="440"/>
        <v>Valid</v>
      </c>
    </row>
    <row r="2123" spans="1:45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 t="str">
        <f t="shared" si="429"/>
        <v>Ok</v>
      </c>
      <c r="AE2123" t="str">
        <f>IF(AND(Audit_Data[[#This Row],[Year_Birth]]&gt;=1900,Audit_Data[[#This Row],[Year_Birth]]&lt;=2010),"OK","Invalid")</f>
        <v>OK</v>
      </c>
      <c r="AF2123" t="str">
        <f t="shared" si="430"/>
        <v>Valid</v>
      </c>
      <c r="AG2123" t="str">
        <f t="shared" si="431"/>
        <v>Valid</v>
      </c>
      <c r="AH2123" t="str">
        <f t="shared" si="432"/>
        <v>Valid</v>
      </c>
      <c r="AI2123" t="str">
        <f t="shared" si="433"/>
        <v>Valid</v>
      </c>
      <c r="AJ2123" t="str">
        <f t="shared" si="434"/>
        <v>Valid</v>
      </c>
      <c r="AK2123" t="str">
        <f t="shared" si="441"/>
        <v xml:space="preserve">Valid </v>
      </c>
      <c r="AL2123" t="str">
        <f>IF(AND(Audit_Data[[#This Row],[Recency]]&gt;=0,Audit_Data[[#This Row],[Recency]]&lt;=100),"Valid","Invalid")</f>
        <v>Valid</v>
      </c>
      <c r="AM2123" t="str">
        <f t="shared" si="435"/>
        <v>Valid</v>
      </c>
      <c r="AN2123" t="str">
        <f t="shared" si="436"/>
        <v>Valid</v>
      </c>
      <c r="AO2123" t="str">
        <f t="shared" si="437"/>
        <v>Valid</v>
      </c>
      <c r="AP2123" t="str">
        <f t="shared" si="438"/>
        <v>Valid</v>
      </c>
      <c r="AQ2123" t="str">
        <f>IF(Audit_Data[[#This Row],[Z_CostContact]]=3,"Valid","Invalid")</f>
        <v>Valid</v>
      </c>
      <c r="AR2123" t="str">
        <f t="shared" si="439"/>
        <v>Valid</v>
      </c>
      <c r="AS2123" t="str">
        <f t="shared" si="440"/>
        <v>Valid</v>
      </c>
    </row>
    <row r="2124" spans="1:45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 t="str">
        <f t="shared" si="429"/>
        <v>Ok</v>
      </c>
      <c r="AE2124" t="str">
        <f>IF(AND(Audit_Data[[#This Row],[Year_Birth]]&gt;=1900,Audit_Data[[#This Row],[Year_Birth]]&lt;=2010),"OK","Invalid")</f>
        <v>OK</v>
      </c>
      <c r="AF2124" t="str">
        <f t="shared" si="430"/>
        <v>Valid</v>
      </c>
      <c r="AG2124" t="str">
        <f t="shared" si="431"/>
        <v>Valid</v>
      </c>
      <c r="AH2124" t="str">
        <f t="shared" si="432"/>
        <v>Valid</v>
      </c>
      <c r="AI2124" t="str">
        <f t="shared" si="433"/>
        <v>Valid</v>
      </c>
      <c r="AJ2124" t="str">
        <f t="shared" si="434"/>
        <v>Valid</v>
      </c>
      <c r="AK2124" t="str">
        <f t="shared" si="441"/>
        <v xml:space="preserve">Valid </v>
      </c>
      <c r="AL2124" t="str">
        <f>IF(AND(Audit_Data[[#This Row],[Recency]]&gt;=0,Audit_Data[[#This Row],[Recency]]&lt;=100),"Valid","Invalid")</f>
        <v>Valid</v>
      </c>
      <c r="AM2124" t="str">
        <f t="shared" si="435"/>
        <v>Valid</v>
      </c>
      <c r="AN2124" t="str">
        <f t="shared" si="436"/>
        <v>Valid</v>
      </c>
      <c r="AO2124" t="str">
        <f t="shared" si="437"/>
        <v>Valid</v>
      </c>
      <c r="AP2124" t="str">
        <f t="shared" si="438"/>
        <v>Valid</v>
      </c>
      <c r="AQ2124" t="str">
        <f>IF(Audit_Data[[#This Row],[Z_CostContact]]=3,"Valid","Invalid")</f>
        <v>Valid</v>
      </c>
      <c r="AR2124" t="str">
        <f t="shared" si="439"/>
        <v>Valid</v>
      </c>
      <c r="AS2124" t="str">
        <f t="shared" si="440"/>
        <v>Valid</v>
      </c>
    </row>
    <row r="2125" spans="1:45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 t="str">
        <f t="shared" si="429"/>
        <v>Ok</v>
      </c>
      <c r="AE2125" t="str">
        <f>IF(AND(Audit_Data[[#This Row],[Year_Birth]]&gt;=1900,Audit_Data[[#This Row],[Year_Birth]]&lt;=2010),"OK","Invalid")</f>
        <v>OK</v>
      </c>
      <c r="AF2125" t="str">
        <f t="shared" si="430"/>
        <v>Valid</v>
      </c>
      <c r="AG2125" t="str">
        <f t="shared" si="431"/>
        <v>Valid</v>
      </c>
      <c r="AH2125" t="str">
        <f t="shared" si="432"/>
        <v>Valid</v>
      </c>
      <c r="AI2125" t="str">
        <f t="shared" si="433"/>
        <v>Valid</v>
      </c>
      <c r="AJ2125" t="str">
        <f t="shared" si="434"/>
        <v>Valid</v>
      </c>
      <c r="AK2125" t="str">
        <f t="shared" si="441"/>
        <v xml:space="preserve">Valid </v>
      </c>
      <c r="AL2125" t="str">
        <f>IF(AND(Audit_Data[[#This Row],[Recency]]&gt;=0,Audit_Data[[#This Row],[Recency]]&lt;=100),"Valid","Invalid")</f>
        <v>Valid</v>
      </c>
      <c r="AM2125" t="str">
        <f t="shared" si="435"/>
        <v>Valid</v>
      </c>
      <c r="AN2125" t="str">
        <f t="shared" si="436"/>
        <v>Valid</v>
      </c>
      <c r="AO2125" t="str">
        <f t="shared" si="437"/>
        <v>Valid</v>
      </c>
      <c r="AP2125" t="str">
        <f t="shared" si="438"/>
        <v>Valid</v>
      </c>
      <c r="AQ2125" t="str">
        <f>IF(Audit_Data[[#This Row],[Z_CostContact]]=3,"Valid","Invalid")</f>
        <v>Valid</v>
      </c>
      <c r="AR2125" t="str">
        <f t="shared" si="439"/>
        <v>Valid</v>
      </c>
      <c r="AS2125" t="str">
        <f t="shared" si="440"/>
        <v>Valid</v>
      </c>
    </row>
    <row r="2126" spans="1:45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 t="str">
        <f t="shared" si="429"/>
        <v>Ok</v>
      </c>
      <c r="AE2126" t="str">
        <f>IF(AND(Audit_Data[[#This Row],[Year_Birth]]&gt;=1900,Audit_Data[[#This Row],[Year_Birth]]&lt;=2010),"OK","Invalid")</f>
        <v>OK</v>
      </c>
      <c r="AF2126" t="str">
        <f t="shared" si="430"/>
        <v>Valid</v>
      </c>
      <c r="AG2126" t="str">
        <f t="shared" si="431"/>
        <v>Valid</v>
      </c>
      <c r="AH2126" t="str">
        <f t="shared" si="432"/>
        <v>Valid</v>
      </c>
      <c r="AI2126" t="str">
        <f t="shared" si="433"/>
        <v>Valid</v>
      </c>
      <c r="AJ2126" t="str">
        <f t="shared" si="434"/>
        <v>Valid</v>
      </c>
      <c r="AK2126" t="str">
        <f t="shared" si="441"/>
        <v xml:space="preserve">Valid </v>
      </c>
      <c r="AL2126" t="str">
        <f>IF(AND(Audit_Data[[#This Row],[Recency]]&gt;=0,Audit_Data[[#This Row],[Recency]]&lt;=100),"Valid","Invalid")</f>
        <v>Valid</v>
      </c>
      <c r="AM2126" t="str">
        <f t="shared" si="435"/>
        <v>Valid</v>
      </c>
      <c r="AN2126" t="str">
        <f t="shared" si="436"/>
        <v>Valid</v>
      </c>
      <c r="AO2126" t="str">
        <f t="shared" si="437"/>
        <v>Valid</v>
      </c>
      <c r="AP2126" t="str">
        <f t="shared" si="438"/>
        <v>Valid</v>
      </c>
      <c r="AQ2126" t="str">
        <f>IF(Audit_Data[[#This Row],[Z_CostContact]]=3,"Valid","Invalid")</f>
        <v>Valid</v>
      </c>
      <c r="AR2126" t="str">
        <f t="shared" si="439"/>
        <v>Valid</v>
      </c>
      <c r="AS2126" t="str">
        <f t="shared" si="440"/>
        <v>Valid</v>
      </c>
    </row>
    <row r="2127" spans="1:45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 t="str">
        <f t="shared" si="429"/>
        <v>Ok</v>
      </c>
      <c r="AE2127" t="str">
        <f>IF(AND(Audit_Data[[#This Row],[Year_Birth]]&gt;=1900,Audit_Data[[#This Row],[Year_Birth]]&lt;=2010),"OK","Invalid")</f>
        <v>OK</v>
      </c>
      <c r="AF2127" t="str">
        <f t="shared" si="430"/>
        <v>Valid</v>
      </c>
      <c r="AG2127" t="str">
        <f t="shared" si="431"/>
        <v>Valid</v>
      </c>
      <c r="AH2127" t="str">
        <f t="shared" si="432"/>
        <v>Valid</v>
      </c>
      <c r="AI2127" t="str">
        <f t="shared" si="433"/>
        <v>Valid</v>
      </c>
      <c r="AJ2127" t="str">
        <f t="shared" si="434"/>
        <v>Valid</v>
      </c>
      <c r="AK2127" t="str">
        <f t="shared" si="441"/>
        <v xml:space="preserve">Valid </v>
      </c>
      <c r="AL2127" t="str">
        <f>IF(AND(Audit_Data[[#This Row],[Recency]]&gt;=0,Audit_Data[[#This Row],[Recency]]&lt;=100),"Valid","Invalid")</f>
        <v>Valid</v>
      </c>
      <c r="AM2127" t="str">
        <f t="shared" si="435"/>
        <v>Valid</v>
      </c>
      <c r="AN2127" t="str">
        <f t="shared" si="436"/>
        <v>Valid</v>
      </c>
      <c r="AO2127" t="str">
        <f t="shared" si="437"/>
        <v>Valid</v>
      </c>
      <c r="AP2127" t="str">
        <f t="shared" si="438"/>
        <v>Valid</v>
      </c>
      <c r="AQ2127" t="str">
        <f>IF(Audit_Data[[#This Row],[Z_CostContact]]=3,"Valid","Invalid")</f>
        <v>Valid</v>
      </c>
      <c r="AR2127" t="str">
        <f t="shared" si="439"/>
        <v>Valid</v>
      </c>
      <c r="AS2127" t="str">
        <f t="shared" si="440"/>
        <v>Valid</v>
      </c>
    </row>
    <row r="2128" spans="1:45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 t="str">
        <f t="shared" si="429"/>
        <v>Ok</v>
      </c>
      <c r="AE2128" t="str">
        <f>IF(AND(Audit_Data[[#This Row],[Year_Birth]]&gt;=1900,Audit_Data[[#This Row],[Year_Birth]]&lt;=2010),"OK","Invalid")</f>
        <v>OK</v>
      </c>
      <c r="AF2128" t="str">
        <f t="shared" si="430"/>
        <v>Valid</v>
      </c>
      <c r="AG2128" t="str">
        <f t="shared" si="431"/>
        <v>Valid</v>
      </c>
      <c r="AH2128" t="str">
        <f t="shared" si="432"/>
        <v>Valid</v>
      </c>
      <c r="AI2128" t="str">
        <f t="shared" si="433"/>
        <v>Valid</v>
      </c>
      <c r="AJ2128" t="str">
        <f t="shared" si="434"/>
        <v>Valid</v>
      </c>
      <c r="AK2128" t="str">
        <f t="shared" si="441"/>
        <v xml:space="preserve">Valid </v>
      </c>
      <c r="AL2128" t="str">
        <f>IF(AND(Audit_Data[[#This Row],[Recency]]&gt;=0,Audit_Data[[#This Row],[Recency]]&lt;=100),"Valid","Invalid")</f>
        <v>Valid</v>
      </c>
      <c r="AM2128" t="str">
        <f t="shared" si="435"/>
        <v>Valid</v>
      </c>
      <c r="AN2128" t="str">
        <f t="shared" si="436"/>
        <v>Valid</v>
      </c>
      <c r="AO2128" t="str">
        <f t="shared" si="437"/>
        <v>Valid</v>
      </c>
      <c r="AP2128" t="str">
        <f t="shared" si="438"/>
        <v>Valid</v>
      </c>
      <c r="AQ2128" t="str">
        <f>IF(Audit_Data[[#This Row],[Z_CostContact]]=3,"Valid","Invalid")</f>
        <v>Valid</v>
      </c>
      <c r="AR2128" t="str">
        <f t="shared" si="439"/>
        <v>Valid</v>
      </c>
      <c r="AS2128" t="str">
        <f t="shared" si="440"/>
        <v>Valid</v>
      </c>
    </row>
    <row r="2129" spans="1:45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 t="str">
        <f t="shared" si="429"/>
        <v>Ok</v>
      </c>
      <c r="AE2129" t="str">
        <f>IF(AND(Audit_Data[[#This Row],[Year_Birth]]&gt;=1900,Audit_Data[[#This Row],[Year_Birth]]&lt;=2010),"OK","Invalid")</f>
        <v>OK</v>
      </c>
      <c r="AF2129" t="str">
        <f t="shared" si="430"/>
        <v>Valid</v>
      </c>
      <c r="AG2129" t="str">
        <f t="shared" si="431"/>
        <v>Valid</v>
      </c>
      <c r="AH2129" t="str">
        <f t="shared" si="432"/>
        <v>Valid</v>
      </c>
      <c r="AI2129" t="str">
        <f t="shared" si="433"/>
        <v>Valid</v>
      </c>
      <c r="AJ2129" t="str">
        <f t="shared" si="434"/>
        <v>Valid</v>
      </c>
      <c r="AK2129" t="str">
        <f t="shared" si="441"/>
        <v xml:space="preserve">Valid </v>
      </c>
      <c r="AL2129" t="str">
        <f>IF(AND(Audit_Data[[#This Row],[Recency]]&gt;=0,Audit_Data[[#This Row],[Recency]]&lt;=100),"Valid","Invalid")</f>
        <v>Valid</v>
      </c>
      <c r="AM2129" t="str">
        <f t="shared" si="435"/>
        <v>Valid</v>
      </c>
      <c r="AN2129" t="str">
        <f t="shared" si="436"/>
        <v>Valid</v>
      </c>
      <c r="AO2129" t="str">
        <f t="shared" si="437"/>
        <v>Valid</v>
      </c>
      <c r="AP2129" t="str">
        <f t="shared" si="438"/>
        <v>Valid</v>
      </c>
      <c r="AQ2129" t="str">
        <f>IF(Audit_Data[[#This Row],[Z_CostContact]]=3,"Valid","Invalid")</f>
        <v>Valid</v>
      </c>
      <c r="AR2129" t="str">
        <f t="shared" si="439"/>
        <v>Valid</v>
      </c>
      <c r="AS2129" t="str">
        <f t="shared" si="440"/>
        <v>Valid</v>
      </c>
    </row>
    <row r="2130" spans="1:45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 t="str">
        <f t="shared" si="429"/>
        <v>Ok</v>
      </c>
      <c r="AE2130" t="str">
        <f>IF(AND(Audit_Data[[#This Row],[Year_Birth]]&gt;=1900,Audit_Data[[#This Row],[Year_Birth]]&lt;=2010),"OK","Invalid")</f>
        <v>OK</v>
      </c>
      <c r="AF2130" t="str">
        <f t="shared" si="430"/>
        <v>Valid</v>
      </c>
      <c r="AG2130" t="str">
        <f t="shared" si="431"/>
        <v>Valid</v>
      </c>
      <c r="AH2130" t="str">
        <f t="shared" si="432"/>
        <v>Valid</v>
      </c>
      <c r="AI2130" t="str">
        <f t="shared" si="433"/>
        <v>Valid</v>
      </c>
      <c r="AJ2130" t="str">
        <f t="shared" si="434"/>
        <v>Valid</v>
      </c>
      <c r="AK2130" t="str">
        <f t="shared" si="441"/>
        <v xml:space="preserve">Valid </v>
      </c>
      <c r="AL2130" t="str">
        <f>IF(AND(Audit_Data[[#This Row],[Recency]]&gt;=0,Audit_Data[[#This Row],[Recency]]&lt;=100),"Valid","Invalid")</f>
        <v>Valid</v>
      </c>
      <c r="AM2130" t="str">
        <f t="shared" si="435"/>
        <v>Valid</v>
      </c>
      <c r="AN2130" t="str">
        <f t="shared" si="436"/>
        <v>Valid</v>
      </c>
      <c r="AO2130" t="str">
        <f t="shared" si="437"/>
        <v>Valid</v>
      </c>
      <c r="AP2130" t="str">
        <f t="shared" si="438"/>
        <v>Valid</v>
      </c>
      <c r="AQ2130" t="str">
        <f>IF(Audit_Data[[#This Row],[Z_CostContact]]=3,"Valid","Invalid")</f>
        <v>Valid</v>
      </c>
      <c r="AR2130" t="str">
        <f t="shared" si="439"/>
        <v>Valid</v>
      </c>
      <c r="AS2130" t="str">
        <f t="shared" si="440"/>
        <v>Valid</v>
      </c>
    </row>
    <row r="2131" spans="1:45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 t="str">
        <f t="shared" si="429"/>
        <v>Ok</v>
      </c>
      <c r="AE2131" t="str">
        <f>IF(AND(Audit_Data[[#This Row],[Year_Birth]]&gt;=1900,Audit_Data[[#This Row],[Year_Birth]]&lt;=2010),"OK","Invalid")</f>
        <v>OK</v>
      </c>
      <c r="AF2131" t="str">
        <f t="shared" si="430"/>
        <v>Valid</v>
      </c>
      <c r="AG2131" t="str">
        <f t="shared" si="431"/>
        <v>Valid</v>
      </c>
      <c r="AH2131" t="str">
        <f t="shared" si="432"/>
        <v>Valid</v>
      </c>
      <c r="AI2131" t="str">
        <f t="shared" si="433"/>
        <v>Valid</v>
      </c>
      <c r="AJ2131" t="str">
        <f t="shared" si="434"/>
        <v>Valid</v>
      </c>
      <c r="AK2131" t="str">
        <f t="shared" si="441"/>
        <v xml:space="preserve">Valid </v>
      </c>
      <c r="AL2131" t="str">
        <f>IF(AND(Audit_Data[[#This Row],[Recency]]&gt;=0,Audit_Data[[#This Row],[Recency]]&lt;=100),"Valid","Invalid")</f>
        <v>Valid</v>
      </c>
      <c r="AM2131" t="str">
        <f t="shared" si="435"/>
        <v>Valid</v>
      </c>
      <c r="AN2131" t="str">
        <f t="shared" si="436"/>
        <v>Valid</v>
      </c>
      <c r="AO2131" t="str">
        <f t="shared" si="437"/>
        <v>Valid</v>
      </c>
      <c r="AP2131" t="str">
        <f t="shared" si="438"/>
        <v>Valid</v>
      </c>
      <c r="AQ2131" t="str">
        <f>IF(Audit_Data[[#This Row],[Z_CostContact]]=3,"Valid","Invalid")</f>
        <v>Valid</v>
      </c>
      <c r="AR2131" t="str">
        <f t="shared" si="439"/>
        <v>Valid</v>
      </c>
      <c r="AS2131" t="str">
        <f t="shared" si="440"/>
        <v>Valid</v>
      </c>
    </row>
    <row r="2132" spans="1:45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 t="str">
        <f t="shared" si="429"/>
        <v>Ok</v>
      </c>
      <c r="AE2132" t="str">
        <f>IF(AND(Audit_Data[[#This Row],[Year_Birth]]&gt;=1900,Audit_Data[[#This Row],[Year_Birth]]&lt;=2010),"OK","Invalid")</f>
        <v>OK</v>
      </c>
      <c r="AF2132" t="str">
        <f t="shared" si="430"/>
        <v>Valid</v>
      </c>
      <c r="AG2132" t="str">
        <f t="shared" si="431"/>
        <v>Valid</v>
      </c>
      <c r="AH2132" t="str">
        <f t="shared" si="432"/>
        <v>Valid</v>
      </c>
      <c r="AI2132" t="str">
        <f t="shared" si="433"/>
        <v>Valid</v>
      </c>
      <c r="AJ2132" t="str">
        <f t="shared" si="434"/>
        <v>Valid</v>
      </c>
      <c r="AK2132" t="str">
        <f t="shared" si="441"/>
        <v xml:space="preserve">Valid </v>
      </c>
      <c r="AL2132" t="str">
        <f>IF(AND(Audit_Data[[#This Row],[Recency]]&gt;=0,Audit_Data[[#This Row],[Recency]]&lt;=100),"Valid","Invalid")</f>
        <v>Valid</v>
      </c>
      <c r="AM2132" t="str">
        <f t="shared" si="435"/>
        <v>Valid</v>
      </c>
      <c r="AN2132" t="str">
        <f t="shared" si="436"/>
        <v>Valid</v>
      </c>
      <c r="AO2132" t="str">
        <f t="shared" si="437"/>
        <v>Valid</v>
      </c>
      <c r="AP2132" t="str">
        <f t="shared" si="438"/>
        <v>Valid</v>
      </c>
      <c r="AQ2132" t="str">
        <f>IF(Audit_Data[[#This Row],[Z_CostContact]]=3,"Valid","Invalid")</f>
        <v>Valid</v>
      </c>
      <c r="AR2132" t="str">
        <f t="shared" si="439"/>
        <v>Valid</v>
      </c>
      <c r="AS2132" t="str">
        <f t="shared" si="440"/>
        <v>Valid</v>
      </c>
    </row>
    <row r="2133" spans="1:45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 t="str">
        <f t="shared" si="429"/>
        <v>Ok</v>
      </c>
      <c r="AE2133" t="str">
        <f>IF(AND(Audit_Data[[#This Row],[Year_Birth]]&gt;=1900,Audit_Data[[#This Row],[Year_Birth]]&lt;=2010),"OK","Invalid")</f>
        <v>OK</v>
      </c>
      <c r="AF2133" t="str">
        <f t="shared" si="430"/>
        <v>Valid</v>
      </c>
      <c r="AG2133" t="str">
        <f t="shared" si="431"/>
        <v>Valid</v>
      </c>
      <c r="AH2133" t="str">
        <f t="shared" si="432"/>
        <v>Valid</v>
      </c>
      <c r="AI2133" t="str">
        <f t="shared" si="433"/>
        <v>Valid</v>
      </c>
      <c r="AJ2133" t="str">
        <f t="shared" si="434"/>
        <v>Valid</v>
      </c>
      <c r="AK2133" t="str">
        <f t="shared" si="441"/>
        <v xml:space="preserve">Valid </v>
      </c>
      <c r="AL2133" t="str">
        <f>IF(AND(Audit_Data[[#This Row],[Recency]]&gt;=0,Audit_Data[[#This Row],[Recency]]&lt;=100),"Valid","Invalid")</f>
        <v>Valid</v>
      </c>
      <c r="AM2133" t="str">
        <f t="shared" si="435"/>
        <v>Valid</v>
      </c>
      <c r="AN2133" t="str">
        <f t="shared" si="436"/>
        <v>Valid</v>
      </c>
      <c r="AO2133" t="str">
        <f t="shared" si="437"/>
        <v>Valid</v>
      </c>
      <c r="AP2133" t="str">
        <f t="shared" si="438"/>
        <v>Valid</v>
      </c>
      <c r="AQ2133" t="str">
        <f>IF(Audit_Data[[#This Row],[Z_CostContact]]=3,"Valid","Invalid")</f>
        <v>Valid</v>
      </c>
      <c r="AR2133" t="str">
        <f t="shared" si="439"/>
        <v>Valid</v>
      </c>
      <c r="AS2133" t="str">
        <f t="shared" si="440"/>
        <v>Valid</v>
      </c>
    </row>
    <row r="2134" spans="1:45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 t="str">
        <f t="shared" si="429"/>
        <v>Ok</v>
      </c>
      <c r="AE2134" t="str">
        <f>IF(AND(Audit_Data[[#This Row],[Year_Birth]]&gt;=1900,Audit_Data[[#This Row],[Year_Birth]]&lt;=2010),"OK","Invalid")</f>
        <v>OK</v>
      </c>
      <c r="AF2134" t="str">
        <f t="shared" si="430"/>
        <v>Valid</v>
      </c>
      <c r="AG2134" t="str">
        <f t="shared" si="431"/>
        <v>Valid</v>
      </c>
      <c r="AH2134" t="str">
        <f t="shared" si="432"/>
        <v>Valid</v>
      </c>
      <c r="AI2134" t="str">
        <f t="shared" si="433"/>
        <v>Valid</v>
      </c>
      <c r="AJ2134" t="str">
        <f t="shared" si="434"/>
        <v>Valid</v>
      </c>
      <c r="AK2134" t="str">
        <f t="shared" si="441"/>
        <v xml:space="preserve">Valid </v>
      </c>
      <c r="AL2134" t="str">
        <f>IF(AND(Audit_Data[[#This Row],[Recency]]&gt;=0,Audit_Data[[#This Row],[Recency]]&lt;=100),"Valid","Invalid")</f>
        <v>Valid</v>
      </c>
      <c r="AM2134" t="str">
        <f t="shared" si="435"/>
        <v>Valid</v>
      </c>
      <c r="AN2134" t="str">
        <f t="shared" si="436"/>
        <v>Valid</v>
      </c>
      <c r="AO2134" t="str">
        <f t="shared" si="437"/>
        <v>Valid</v>
      </c>
      <c r="AP2134" t="str">
        <f t="shared" si="438"/>
        <v>Valid</v>
      </c>
      <c r="AQ2134" t="str">
        <f>IF(Audit_Data[[#This Row],[Z_CostContact]]=3,"Valid","Invalid")</f>
        <v>Valid</v>
      </c>
      <c r="AR2134" t="str">
        <f t="shared" si="439"/>
        <v>Valid</v>
      </c>
      <c r="AS2134" t="str">
        <f t="shared" si="440"/>
        <v>Valid</v>
      </c>
    </row>
    <row r="2135" spans="1:45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 t="str">
        <f t="shared" si="429"/>
        <v>Ok</v>
      </c>
      <c r="AE2135" t="str">
        <f>IF(AND(Audit_Data[[#This Row],[Year_Birth]]&gt;=1900,Audit_Data[[#This Row],[Year_Birth]]&lt;=2010),"OK","Invalid")</f>
        <v>OK</v>
      </c>
      <c r="AF2135" t="str">
        <f t="shared" si="430"/>
        <v>Valid</v>
      </c>
      <c r="AG2135" t="str">
        <f t="shared" si="431"/>
        <v>Valid</v>
      </c>
      <c r="AH2135" t="str">
        <f t="shared" si="432"/>
        <v>Valid</v>
      </c>
      <c r="AI2135" t="str">
        <f t="shared" si="433"/>
        <v>Valid</v>
      </c>
      <c r="AJ2135" t="str">
        <f t="shared" si="434"/>
        <v>Valid</v>
      </c>
      <c r="AK2135" t="str">
        <f t="shared" si="441"/>
        <v xml:space="preserve">Valid </v>
      </c>
      <c r="AL2135" t="str">
        <f>IF(AND(Audit_Data[[#This Row],[Recency]]&gt;=0,Audit_Data[[#This Row],[Recency]]&lt;=100),"Valid","Invalid")</f>
        <v>Valid</v>
      </c>
      <c r="AM2135" t="str">
        <f t="shared" si="435"/>
        <v>Valid</v>
      </c>
      <c r="AN2135" t="str">
        <f t="shared" si="436"/>
        <v>Valid</v>
      </c>
      <c r="AO2135" t="str">
        <f t="shared" si="437"/>
        <v>Valid</v>
      </c>
      <c r="AP2135" t="str">
        <f t="shared" si="438"/>
        <v>Valid</v>
      </c>
      <c r="AQ2135" t="str">
        <f>IF(Audit_Data[[#This Row],[Z_CostContact]]=3,"Valid","Invalid")</f>
        <v>Valid</v>
      </c>
      <c r="AR2135" t="str">
        <f t="shared" si="439"/>
        <v>Valid</v>
      </c>
      <c r="AS2135" t="str">
        <f t="shared" si="440"/>
        <v>Valid</v>
      </c>
    </row>
    <row r="2136" spans="1:45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 t="str">
        <f t="shared" si="429"/>
        <v>Ok</v>
      </c>
      <c r="AE2136" t="str">
        <f>IF(AND(Audit_Data[[#This Row],[Year_Birth]]&gt;=1900,Audit_Data[[#This Row],[Year_Birth]]&lt;=2010),"OK","Invalid")</f>
        <v>OK</v>
      </c>
      <c r="AF2136" t="str">
        <f t="shared" si="430"/>
        <v>Valid</v>
      </c>
      <c r="AG2136" t="str">
        <f t="shared" si="431"/>
        <v>Invalid</v>
      </c>
      <c r="AH2136" t="str">
        <f t="shared" si="432"/>
        <v>Valid</v>
      </c>
      <c r="AI2136" t="str">
        <f t="shared" si="433"/>
        <v>Valid</v>
      </c>
      <c r="AJ2136" t="str">
        <f t="shared" si="434"/>
        <v>Valid</v>
      </c>
      <c r="AK2136" t="str">
        <f t="shared" si="441"/>
        <v xml:space="preserve">Valid </v>
      </c>
      <c r="AL2136" t="str">
        <f>IF(AND(Audit_Data[[#This Row],[Recency]]&gt;=0,Audit_Data[[#This Row],[Recency]]&lt;=100),"Valid","Invalid")</f>
        <v>Valid</v>
      </c>
      <c r="AM2136" t="str">
        <f t="shared" si="435"/>
        <v>Valid</v>
      </c>
      <c r="AN2136" t="str">
        <f t="shared" si="436"/>
        <v>Valid</v>
      </c>
      <c r="AO2136" t="str">
        <f t="shared" si="437"/>
        <v>Valid</v>
      </c>
      <c r="AP2136" t="str">
        <f t="shared" si="438"/>
        <v>Valid</v>
      </c>
      <c r="AQ2136" t="str">
        <f>IF(Audit_Data[[#This Row],[Z_CostContact]]=3,"Valid","Invalid")</f>
        <v>Valid</v>
      </c>
      <c r="AR2136" t="str">
        <f t="shared" si="439"/>
        <v>Valid</v>
      </c>
      <c r="AS2136" t="str">
        <f t="shared" si="440"/>
        <v>Valid</v>
      </c>
    </row>
    <row r="2137" spans="1:45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 t="str">
        <f t="shared" si="429"/>
        <v>Ok</v>
      </c>
      <c r="AE2137" t="str">
        <f>IF(AND(Audit_Data[[#This Row],[Year_Birth]]&gt;=1900,Audit_Data[[#This Row],[Year_Birth]]&lt;=2010),"OK","Invalid")</f>
        <v>OK</v>
      </c>
      <c r="AF2137" t="str">
        <f t="shared" si="430"/>
        <v>Valid</v>
      </c>
      <c r="AG2137" t="str">
        <f t="shared" si="431"/>
        <v>Valid</v>
      </c>
      <c r="AH2137" t="str">
        <f t="shared" si="432"/>
        <v>Valid</v>
      </c>
      <c r="AI2137" t="str">
        <f t="shared" si="433"/>
        <v>Valid</v>
      </c>
      <c r="AJ2137" t="str">
        <f t="shared" si="434"/>
        <v>Valid</v>
      </c>
      <c r="AK2137" t="str">
        <f t="shared" si="441"/>
        <v xml:space="preserve">Valid </v>
      </c>
      <c r="AL2137" t="str">
        <f>IF(AND(Audit_Data[[#This Row],[Recency]]&gt;=0,Audit_Data[[#This Row],[Recency]]&lt;=100),"Valid","Invalid")</f>
        <v>Valid</v>
      </c>
      <c r="AM2137" t="str">
        <f t="shared" si="435"/>
        <v>Valid</v>
      </c>
      <c r="AN2137" t="str">
        <f t="shared" si="436"/>
        <v>Valid</v>
      </c>
      <c r="AO2137" t="str">
        <f t="shared" si="437"/>
        <v>Valid</v>
      </c>
      <c r="AP2137" t="str">
        <f t="shared" si="438"/>
        <v>Valid</v>
      </c>
      <c r="AQ2137" t="str">
        <f>IF(Audit_Data[[#This Row],[Z_CostContact]]=3,"Valid","Invalid")</f>
        <v>Valid</v>
      </c>
      <c r="AR2137" t="str">
        <f t="shared" si="439"/>
        <v>Valid</v>
      </c>
      <c r="AS2137" t="str">
        <f t="shared" si="440"/>
        <v>Valid</v>
      </c>
    </row>
    <row r="2138" spans="1:45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 t="str">
        <f t="shared" si="429"/>
        <v>Ok</v>
      </c>
      <c r="AE2138" t="str">
        <f>IF(AND(Audit_Data[[#This Row],[Year_Birth]]&gt;=1900,Audit_Data[[#This Row],[Year_Birth]]&lt;=2010),"OK","Invalid")</f>
        <v>OK</v>
      </c>
      <c r="AF2138" t="str">
        <f t="shared" si="430"/>
        <v>Valid</v>
      </c>
      <c r="AG2138" t="str">
        <f t="shared" si="431"/>
        <v>Valid</v>
      </c>
      <c r="AH2138" t="str">
        <f t="shared" si="432"/>
        <v>Valid</v>
      </c>
      <c r="AI2138" t="str">
        <f t="shared" si="433"/>
        <v>Valid</v>
      </c>
      <c r="AJ2138" t="str">
        <f t="shared" si="434"/>
        <v>Valid</v>
      </c>
      <c r="AK2138" t="str">
        <f t="shared" si="441"/>
        <v xml:space="preserve">Valid </v>
      </c>
      <c r="AL2138" t="str">
        <f>IF(AND(Audit_Data[[#This Row],[Recency]]&gt;=0,Audit_Data[[#This Row],[Recency]]&lt;=100),"Valid","Invalid")</f>
        <v>Valid</v>
      </c>
      <c r="AM2138" t="str">
        <f t="shared" si="435"/>
        <v>Valid</v>
      </c>
      <c r="AN2138" t="str">
        <f t="shared" si="436"/>
        <v>Valid</v>
      </c>
      <c r="AO2138" t="str">
        <f t="shared" si="437"/>
        <v>Valid</v>
      </c>
      <c r="AP2138" t="str">
        <f t="shared" si="438"/>
        <v>Valid</v>
      </c>
      <c r="AQ2138" t="str">
        <f>IF(Audit_Data[[#This Row],[Z_CostContact]]=3,"Valid","Invalid")</f>
        <v>Valid</v>
      </c>
      <c r="AR2138" t="str">
        <f t="shared" si="439"/>
        <v>Valid</v>
      </c>
      <c r="AS2138" t="str">
        <f t="shared" si="440"/>
        <v>Valid</v>
      </c>
    </row>
    <row r="2139" spans="1:45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 t="str">
        <f t="shared" si="429"/>
        <v>Ok</v>
      </c>
      <c r="AE2139" t="str">
        <f>IF(AND(Audit_Data[[#This Row],[Year_Birth]]&gt;=1900,Audit_Data[[#This Row],[Year_Birth]]&lt;=2010),"OK","Invalid")</f>
        <v>OK</v>
      </c>
      <c r="AF2139" t="str">
        <f t="shared" si="430"/>
        <v>Valid</v>
      </c>
      <c r="AG2139" t="str">
        <f t="shared" si="431"/>
        <v>Valid</v>
      </c>
      <c r="AH2139" t="str">
        <f t="shared" si="432"/>
        <v>Valid</v>
      </c>
      <c r="AI2139" t="str">
        <f t="shared" si="433"/>
        <v>Valid</v>
      </c>
      <c r="AJ2139" t="str">
        <f t="shared" si="434"/>
        <v>Valid</v>
      </c>
      <c r="AK2139" t="str">
        <f t="shared" si="441"/>
        <v xml:space="preserve">Valid </v>
      </c>
      <c r="AL2139" t="str">
        <f>IF(AND(Audit_Data[[#This Row],[Recency]]&gt;=0,Audit_Data[[#This Row],[Recency]]&lt;=100),"Valid","Invalid")</f>
        <v>Valid</v>
      </c>
      <c r="AM2139" t="str">
        <f t="shared" si="435"/>
        <v>Valid</v>
      </c>
      <c r="AN2139" t="str">
        <f t="shared" si="436"/>
        <v>Valid</v>
      </c>
      <c r="AO2139" t="str">
        <f t="shared" si="437"/>
        <v>Valid</v>
      </c>
      <c r="AP2139" t="str">
        <f t="shared" si="438"/>
        <v>Valid</v>
      </c>
      <c r="AQ2139" t="str">
        <f>IF(Audit_Data[[#This Row],[Z_CostContact]]=3,"Valid","Invalid")</f>
        <v>Valid</v>
      </c>
      <c r="AR2139" t="str">
        <f t="shared" si="439"/>
        <v>Valid</v>
      </c>
      <c r="AS2139" t="str">
        <f t="shared" si="440"/>
        <v>Valid</v>
      </c>
    </row>
    <row r="2140" spans="1:45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 t="str">
        <f t="shared" si="429"/>
        <v>Ok</v>
      </c>
      <c r="AE2140" t="str">
        <f>IF(AND(Audit_Data[[#This Row],[Year_Birth]]&gt;=1900,Audit_Data[[#This Row],[Year_Birth]]&lt;=2010),"OK","Invalid")</f>
        <v>OK</v>
      </c>
      <c r="AF2140" t="str">
        <f t="shared" si="430"/>
        <v>Valid</v>
      </c>
      <c r="AG2140" t="str">
        <f t="shared" si="431"/>
        <v>Valid</v>
      </c>
      <c r="AH2140" t="str">
        <f t="shared" si="432"/>
        <v>Valid</v>
      </c>
      <c r="AI2140" t="str">
        <f t="shared" si="433"/>
        <v>Valid</v>
      </c>
      <c r="AJ2140" t="str">
        <f t="shared" si="434"/>
        <v>Valid</v>
      </c>
      <c r="AK2140" t="str">
        <f t="shared" si="441"/>
        <v xml:space="preserve">Valid </v>
      </c>
      <c r="AL2140" t="str">
        <f>IF(AND(Audit_Data[[#This Row],[Recency]]&gt;=0,Audit_Data[[#This Row],[Recency]]&lt;=100),"Valid","Invalid")</f>
        <v>Valid</v>
      </c>
      <c r="AM2140" t="str">
        <f t="shared" si="435"/>
        <v>Valid</v>
      </c>
      <c r="AN2140" t="str">
        <f t="shared" si="436"/>
        <v>Valid</v>
      </c>
      <c r="AO2140" t="str">
        <f t="shared" si="437"/>
        <v>Valid</v>
      </c>
      <c r="AP2140" t="str">
        <f t="shared" si="438"/>
        <v>Valid</v>
      </c>
      <c r="AQ2140" t="str">
        <f>IF(Audit_Data[[#This Row],[Z_CostContact]]=3,"Valid","Invalid")</f>
        <v>Valid</v>
      </c>
      <c r="AR2140" t="str">
        <f t="shared" si="439"/>
        <v>Valid</v>
      </c>
      <c r="AS2140" t="str">
        <f t="shared" si="440"/>
        <v>Valid</v>
      </c>
    </row>
    <row r="2141" spans="1:45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 t="str">
        <f t="shared" si="429"/>
        <v>Ok</v>
      </c>
      <c r="AE2141" t="str">
        <f>IF(AND(Audit_Data[[#This Row],[Year_Birth]]&gt;=1900,Audit_Data[[#This Row],[Year_Birth]]&lt;=2010),"OK","Invalid")</f>
        <v>OK</v>
      </c>
      <c r="AF2141" t="str">
        <f t="shared" si="430"/>
        <v>Valid</v>
      </c>
      <c r="AG2141" t="str">
        <f t="shared" si="431"/>
        <v>Valid</v>
      </c>
      <c r="AH2141" t="str">
        <f t="shared" si="432"/>
        <v>Valid</v>
      </c>
      <c r="AI2141" t="str">
        <f t="shared" si="433"/>
        <v>Valid</v>
      </c>
      <c r="AJ2141" t="str">
        <f t="shared" si="434"/>
        <v>Valid</v>
      </c>
      <c r="AK2141" t="str">
        <f t="shared" si="441"/>
        <v xml:space="preserve">Valid </v>
      </c>
      <c r="AL2141" t="str">
        <f>IF(AND(Audit_Data[[#This Row],[Recency]]&gt;=0,Audit_Data[[#This Row],[Recency]]&lt;=100),"Valid","Invalid")</f>
        <v>Valid</v>
      </c>
      <c r="AM2141" t="str">
        <f t="shared" si="435"/>
        <v>Valid</v>
      </c>
      <c r="AN2141" t="str">
        <f t="shared" si="436"/>
        <v>Valid</v>
      </c>
      <c r="AO2141" t="str">
        <f t="shared" si="437"/>
        <v>Valid</v>
      </c>
      <c r="AP2141" t="str">
        <f t="shared" si="438"/>
        <v>Valid</v>
      </c>
      <c r="AQ2141" t="str">
        <f>IF(Audit_Data[[#This Row],[Z_CostContact]]=3,"Valid","Invalid")</f>
        <v>Valid</v>
      </c>
      <c r="AR2141" t="str">
        <f t="shared" si="439"/>
        <v>Valid</v>
      </c>
      <c r="AS2141" t="str">
        <f t="shared" si="440"/>
        <v>Valid</v>
      </c>
    </row>
    <row r="2142" spans="1:45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 t="str">
        <f t="shared" si="429"/>
        <v>Ok</v>
      </c>
      <c r="AE2142" t="str">
        <f>IF(AND(Audit_Data[[#This Row],[Year_Birth]]&gt;=1900,Audit_Data[[#This Row],[Year_Birth]]&lt;=2010),"OK","Invalid")</f>
        <v>OK</v>
      </c>
      <c r="AF2142" t="str">
        <f t="shared" si="430"/>
        <v>Valid</v>
      </c>
      <c r="AG2142" t="str">
        <f t="shared" si="431"/>
        <v>Valid</v>
      </c>
      <c r="AH2142" t="str">
        <f t="shared" si="432"/>
        <v>Valid</v>
      </c>
      <c r="AI2142" t="str">
        <f t="shared" si="433"/>
        <v>Valid</v>
      </c>
      <c r="AJ2142" t="str">
        <f t="shared" si="434"/>
        <v>Valid</v>
      </c>
      <c r="AK2142" t="str">
        <f t="shared" si="441"/>
        <v xml:space="preserve">Valid </v>
      </c>
      <c r="AL2142" t="str">
        <f>IF(AND(Audit_Data[[#This Row],[Recency]]&gt;=0,Audit_Data[[#This Row],[Recency]]&lt;=100),"Valid","Invalid")</f>
        <v>Valid</v>
      </c>
      <c r="AM2142" t="str">
        <f t="shared" si="435"/>
        <v>Valid</v>
      </c>
      <c r="AN2142" t="str">
        <f t="shared" si="436"/>
        <v>Valid</v>
      </c>
      <c r="AO2142" t="str">
        <f t="shared" si="437"/>
        <v>Valid</v>
      </c>
      <c r="AP2142" t="str">
        <f t="shared" si="438"/>
        <v>Valid</v>
      </c>
      <c r="AQ2142" t="str">
        <f>IF(Audit_Data[[#This Row],[Z_CostContact]]=3,"Valid","Invalid")</f>
        <v>Valid</v>
      </c>
      <c r="AR2142" t="str">
        <f t="shared" si="439"/>
        <v>Valid</v>
      </c>
      <c r="AS2142" t="str">
        <f t="shared" si="440"/>
        <v>Valid</v>
      </c>
    </row>
    <row r="2143" spans="1:45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 t="str">
        <f t="shared" si="429"/>
        <v>Ok</v>
      </c>
      <c r="AE2143" t="str">
        <f>IF(AND(Audit_Data[[#This Row],[Year_Birth]]&gt;=1900,Audit_Data[[#This Row],[Year_Birth]]&lt;=2010),"OK","Invalid")</f>
        <v>OK</v>
      </c>
      <c r="AF2143" t="str">
        <f t="shared" si="430"/>
        <v>Valid</v>
      </c>
      <c r="AG2143" t="str">
        <f t="shared" si="431"/>
        <v>Valid</v>
      </c>
      <c r="AH2143" t="str">
        <f t="shared" si="432"/>
        <v>Valid</v>
      </c>
      <c r="AI2143" t="str">
        <f t="shared" si="433"/>
        <v>Valid</v>
      </c>
      <c r="AJ2143" t="str">
        <f t="shared" si="434"/>
        <v>Valid</v>
      </c>
      <c r="AK2143" t="str">
        <f t="shared" si="441"/>
        <v xml:space="preserve">Valid </v>
      </c>
      <c r="AL2143" t="str">
        <f>IF(AND(Audit_Data[[#This Row],[Recency]]&gt;=0,Audit_Data[[#This Row],[Recency]]&lt;=100),"Valid","Invalid")</f>
        <v>Valid</v>
      </c>
      <c r="AM2143" t="str">
        <f t="shared" si="435"/>
        <v>Valid</v>
      </c>
      <c r="AN2143" t="str">
        <f t="shared" si="436"/>
        <v>Valid</v>
      </c>
      <c r="AO2143" t="str">
        <f t="shared" si="437"/>
        <v>Valid</v>
      </c>
      <c r="AP2143" t="str">
        <f t="shared" si="438"/>
        <v>Valid</v>
      </c>
      <c r="AQ2143" t="str">
        <f>IF(Audit_Data[[#This Row],[Z_CostContact]]=3,"Valid","Invalid")</f>
        <v>Valid</v>
      </c>
      <c r="AR2143" t="str">
        <f t="shared" si="439"/>
        <v>Valid</v>
      </c>
      <c r="AS2143" t="str">
        <f t="shared" si="440"/>
        <v>Valid</v>
      </c>
    </row>
    <row r="2144" spans="1:45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 t="str">
        <f t="shared" si="429"/>
        <v>Ok</v>
      </c>
      <c r="AE2144" t="str">
        <f>IF(AND(Audit_Data[[#This Row],[Year_Birth]]&gt;=1900,Audit_Data[[#This Row],[Year_Birth]]&lt;=2010),"OK","Invalid")</f>
        <v>OK</v>
      </c>
      <c r="AF2144" t="str">
        <f t="shared" si="430"/>
        <v>Valid</v>
      </c>
      <c r="AG2144" t="str">
        <f t="shared" si="431"/>
        <v>Valid</v>
      </c>
      <c r="AH2144" t="str">
        <f t="shared" si="432"/>
        <v>Valid</v>
      </c>
      <c r="AI2144" t="str">
        <f t="shared" si="433"/>
        <v>Valid</v>
      </c>
      <c r="AJ2144" t="str">
        <f t="shared" si="434"/>
        <v>Valid</v>
      </c>
      <c r="AK2144" t="str">
        <f t="shared" si="441"/>
        <v xml:space="preserve">Valid </v>
      </c>
      <c r="AL2144" t="str">
        <f>IF(AND(Audit_Data[[#This Row],[Recency]]&gt;=0,Audit_Data[[#This Row],[Recency]]&lt;=100),"Valid","Invalid")</f>
        <v>Valid</v>
      </c>
      <c r="AM2144" t="str">
        <f t="shared" si="435"/>
        <v>Valid</v>
      </c>
      <c r="AN2144" t="str">
        <f t="shared" si="436"/>
        <v>Valid</v>
      </c>
      <c r="AO2144" t="str">
        <f t="shared" si="437"/>
        <v>Valid</v>
      </c>
      <c r="AP2144" t="str">
        <f t="shared" si="438"/>
        <v>Valid</v>
      </c>
      <c r="AQ2144" t="str">
        <f>IF(Audit_Data[[#This Row],[Z_CostContact]]=3,"Valid","Invalid")</f>
        <v>Valid</v>
      </c>
      <c r="AR2144" t="str">
        <f t="shared" si="439"/>
        <v>Valid</v>
      </c>
      <c r="AS2144" t="str">
        <f t="shared" si="440"/>
        <v>Valid</v>
      </c>
    </row>
    <row r="2145" spans="1:45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 t="str">
        <f t="shared" si="429"/>
        <v>Ok</v>
      </c>
      <c r="AE2145" t="str">
        <f>IF(AND(Audit_Data[[#This Row],[Year_Birth]]&gt;=1900,Audit_Data[[#This Row],[Year_Birth]]&lt;=2010),"OK","Invalid")</f>
        <v>OK</v>
      </c>
      <c r="AF2145" t="str">
        <f t="shared" si="430"/>
        <v>Valid</v>
      </c>
      <c r="AG2145" t="str">
        <f t="shared" si="431"/>
        <v>Valid</v>
      </c>
      <c r="AH2145" t="str">
        <f t="shared" si="432"/>
        <v>Valid</v>
      </c>
      <c r="AI2145" t="str">
        <f t="shared" si="433"/>
        <v>Valid</v>
      </c>
      <c r="AJ2145" t="str">
        <f t="shared" si="434"/>
        <v>Valid</v>
      </c>
      <c r="AK2145" t="str">
        <f t="shared" si="441"/>
        <v xml:space="preserve">Valid </v>
      </c>
      <c r="AL2145" t="str">
        <f>IF(AND(Audit_Data[[#This Row],[Recency]]&gt;=0,Audit_Data[[#This Row],[Recency]]&lt;=100),"Valid","Invalid")</f>
        <v>Valid</v>
      </c>
      <c r="AM2145" t="str">
        <f t="shared" si="435"/>
        <v>Valid</v>
      </c>
      <c r="AN2145" t="str">
        <f t="shared" si="436"/>
        <v>Valid</v>
      </c>
      <c r="AO2145" t="str">
        <f t="shared" si="437"/>
        <v>Valid</v>
      </c>
      <c r="AP2145" t="str">
        <f t="shared" si="438"/>
        <v>Valid</v>
      </c>
      <c r="AQ2145" t="str">
        <f>IF(Audit_Data[[#This Row],[Z_CostContact]]=3,"Valid","Invalid")</f>
        <v>Valid</v>
      </c>
      <c r="AR2145" t="str">
        <f t="shared" si="439"/>
        <v>Valid</v>
      </c>
      <c r="AS2145" t="str">
        <f t="shared" si="440"/>
        <v>Valid</v>
      </c>
    </row>
    <row r="2146" spans="1:45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 t="str">
        <f t="shared" si="429"/>
        <v>Ok</v>
      </c>
      <c r="AE2146" t="str">
        <f>IF(AND(Audit_Data[[#This Row],[Year_Birth]]&gt;=1900,Audit_Data[[#This Row],[Year_Birth]]&lt;=2010),"OK","Invalid")</f>
        <v>OK</v>
      </c>
      <c r="AF2146" t="str">
        <f t="shared" si="430"/>
        <v>Valid</v>
      </c>
      <c r="AG2146" t="str">
        <f t="shared" si="431"/>
        <v>Valid</v>
      </c>
      <c r="AH2146" t="str">
        <f t="shared" si="432"/>
        <v>Valid</v>
      </c>
      <c r="AI2146" t="str">
        <f t="shared" si="433"/>
        <v>Valid</v>
      </c>
      <c r="AJ2146" t="str">
        <f t="shared" si="434"/>
        <v>Valid</v>
      </c>
      <c r="AK2146" t="str">
        <f t="shared" si="441"/>
        <v xml:space="preserve">Valid </v>
      </c>
      <c r="AL2146" t="str">
        <f>IF(AND(Audit_Data[[#This Row],[Recency]]&gt;=0,Audit_Data[[#This Row],[Recency]]&lt;=100),"Valid","Invalid")</f>
        <v>Valid</v>
      </c>
      <c r="AM2146" t="str">
        <f t="shared" si="435"/>
        <v>Valid</v>
      </c>
      <c r="AN2146" t="str">
        <f t="shared" si="436"/>
        <v>Valid</v>
      </c>
      <c r="AO2146" t="str">
        <f t="shared" si="437"/>
        <v>Valid</v>
      </c>
      <c r="AP2146" t="str">
        <f t="shared" si="438"/>
        <v>Valid</v>
      </c>
      <c r="AQ2146" t="str">
        <f>IF(Audit_Data[[#This Row],[Z_CostContact]]=3,"Valid","Invalid")</f>
        <v>Valid</v>
      </c>
      <c r="AR2146" t="str">
        <f t="shared" si="439"/>
        <v>Valid</v>
      </c>
      <c r="AS2146" t="str">
        <f t="shared" si="440"/>
        <v>Valid</v>
      </c>
    </row>
    <row r="2147" spans="1:45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 t="str">
        <f t="shared" si="429"/>
        <v>Ok</v>
      </c>
      <c r="AE2147" t="str">
        <f>IF(AND(Audit_Data[[#This Row],[Year_Birth]]&gt;=1900,Audit_Data[[#This Row],[Year_Birth]]&lt;=2010),"OK","Invalid")</f>
        <v>OK</v>
      </c>
      <c r="AF2147" t="str">
        <f t="shared" si="430"/>
        <v>Valid</v>
      </c>
      <c r="AG2147" t="str">
        <f t="shared" si="431"/>
        <v>Valid</v>
      </c>
      <c r="AH2147" t="str">
        <f t="shared" si="432"/>
        <v>Valid</v>
      </c>
      <c r="AI2147" t="str">
        <f t="shared" si="433"/>
        <v>Valid</v>
      </c>
      <c r="AJ2147" t="str">
        <f t="shared" si="434"/>
        <v>Valid</v>
      </c>
      <c r="AK2147" t="str">
        <f t="shared" si="441"/>
        <v xml:space="preserve">Valid </v>
      </c>
      <c r="AL2147" t="str">
        <f>IF(AND(Audit_Data[[#This Row],[Recency]]&gt;=0,Audit_Data[[#This Row],[Recency]]&lt;=100),"Valid","Invalid")</f>
        <v>Valid</v>
      </c>
      <c r="AM2147" t="str">
        <f t="shared" si="435"/>
        <v>Valid</v>
      </c>
      <c r="AN2147" t="str">
        <f t="shared" si="436"/>
        <v>Valid</v>
      </c>
      <c r="AO2147" t="str">
        <f t="shared" si="437"/>
        <v>Valid</v>
      </c>
      <c r="AP2147" t="str">
        <f t="shared" si="438"/>
        <v>Valid</v>
      </c>
      <c r="AQ2147" t="str">
        <f>IF(Audit_Data[[#This Row],[Z_CostContact]]=3,"Valid","Invalid")</f>
        <v>Valid</v>
      </c>
      <c r="AR2147" t="str">
        <f t="shared" si="439"/>
        <v>Valid</v>
      </c>
      <c r="AS2147" t="str">
        <f t="shared" si="440"/>
        <v>Valid</v>
      </c>
    </row>
    <row r="2148" spans="1:45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 t="str">
        <f t="shared" si="429"/>
        <v>Ok</v>
      </c>
      <c r="AE2148" t="str">
        <f>IF(AND(Audit_Data[[#This Row],[Year_Birth]]&gt;=1900,Audit_Data[[#This Row],[Year_Birth]]&lt;=2010),"OK","Invalid")</f>
        <v>OK</v>
      </c>
      <c r="AF2148" t="str">
        <f t="shared" si="430"/>
        <v>Valid</v>
      </c>
      <c r="AG2148" t="str">
        <f t="shared" si="431"/>
        <v>Valid</v>
      </c>
      <c r="AH2148" t="str">
        <f t="shared" si="432"/>
        <v>Valid</v>
      </c>
      <c r="AI2148" t="str">
        <f t="shared" si="433"/>
        <v>Valid</v>
      </c>
      <c r="AJ2148" t="str">
        <f t="shared" si="434"/>
        <v>Valid</v>
      </c>
      <c r="AK2148" t="str">
        <f t="shared" si="441"/>
        <v xml:space="preserve">Valid </v>
      </c>
      <c r="AL2148" t="str">
        <f>IF(AND(Audit_Data[[#This Row],[Recency]]&gt;=0,Audit_Data[[#This Row],[Recency]]&lt;=100),"Valid","Invalid")</f>
        <v>Valid</v>
      </c>
      <c r="AM2148" t="str">
        <f t="shared" si="435"/>
        <v>Valid</v>
      </c>
      <c r="AN2148" t="str">
        <f t="shared" si="436"/>
        <v>Valid</v>
      </c>
      <c r="AO2148" t="str">
        <f t="shared" si="437"/>
        <v>Valid</v>
      </c>
      <c r="AP2148" t="str">
        <f t="shared" si="438"/>
        <v>Valid</v>
      </c>
      <c r="AQ2148" t="str">
        <f>IF(Audit_Data[[#This Row],[Z_CostContact]]=3,"Valid","Invalid")</f>
        <v>Valid</v>
      </c>
      <c r="AR2148" t="str">
        <f t="shared" si="439"/>
        <v>Valid</v>
      </c>
      <c r="AS2148" t="str">
        <f t="shared" si="440"/>
        <v>Valid</v>
      </c>
    </row>
    <row r="2149" spans="1:45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 t="str">
        <f t="shared" si="429"/>
        <v>Ok</v>
      </c>
      <c r="AE2149" t="str">
        <f>IF(AND(Audit_Data[[#This Row],[Year_Birth]]&gt;=1900,Audit_Data[[#This Row],[Year_Birth]]&lt;=2010),"OK","Invalid")</f>
        <v>OK</v>
      </c>
      <c r="AF2149" t="str">
        <f t="shared" si="430"/>
        <v>Valid</v>
      </c>
      <c r="AG2149" t="str">
        <f t="shared" si="431"/>
        <v>Valid</v>
      </c>
      <c r="AH2149" t="str">
        <f t="shared" si="432"/>
        <v>Valid</v>
      </c>
      <c r="AI2149" t="str">
        <f t="shared" si="433"/>
        <v>Valid</v>
      </c>
      <c r="AJ2149" t="str">
        <f t="shared" si="434"/>
        <v>Valid</v>
      </c>
      <c r="AK2149" t="str">
        <f t="shared" si="441"/>
        <v xml:space="preserve">Valid </v>
      </c>
      <c r="AL2149" t="str">
        <f>IF(AND(Audit_Data[[#This Row],[Recency]]&gt;=0,Audit_Data[[#This Row],[Recency]]&lt;=100),"Valid","Invalid")</f>
        <v>Valid</v>
      </c>
      <c r="AM2149" t="str">
        <f t="shared" si="435"/>
        <v>Valid</v>
      </c>
      <c r="AN2149" t="str">
        <f t="shared" si="436"/>
        <v>Valid</v>
      </c>
      <c r="AO2149" t="str">
        <f t="shared" si="437"/>
        <v>Valid</v>
      </c>
      <c r="AP2149" t="str">
        <f t="shared" si="438"/>
        <v>Valid</v>
      </c>
      <c r="AQ2149" t="str">
        <f>IF(Audit_Data[[#This Row],[Z_CostContact]]=3,"Valid","Invalid")</f>
        <v>Valid</v>
      </c>
      <c r="AR2149" t="str">
        <f t="shared" si="439"/>
        <v>Valid</v>
      </c>
      <c r="AS2149" t="str">
        <f t="shared" si="440"/>
        <v>Valid</v>
      </c>
    </row>
    <row r="2150" spans="1:45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 t="str">
        <f t="shared" si="429"/>
        <v>Ok</v>
      </c>
      <c r="AE2150" t="str">
        <f>IF(AND(Audit_Data[[#This Row],[Year_Birth]]&gt;=1900,Audit_Data[[#This Row],[Year_Birth]]&lt;=2010),"OK","Invalid")</f>
        <v>OK</v>
      </c>
      <c r="AF2150" t="str">
        <f t="shared" si="430"/>
        <v>Valid</v>
      </c>
      <c r="AG2150" t="str">
        <f t="shared" si="431"/>
        <v>Valid</v>
      </c>
      <c r="AH2150" t="str">
        <f t="shared" si="432"/>
        <v>Valid</v>
      </c>
      <c r="AI2150" t="str">
        <f t="shared" si="433"/>
        <v>Valid</v>
      </c>
      <c r="AJ2150" t="str">
        <f t="shared" si="434"/>
        <v>Valid</v>
      </c>
      <c r="AK2150" t="str">
        <f t="shared" si="441"/>
        <v xml:space="preserve">Valid </v>
      </c>
      <c r="AL2150" t="str">
        <f>IF(AND(Audit_Data[[#This Row],[Recency]]&gt;=0,Audit_Data[[#This Row],[Recency]]&lt;=100),"Valid","Invalid")</f>
        <v>Valid</v>
      </c>
      <c r="AM2150" t="str">
        <f t="shared" si="435"/>
        <v>Valid</v>
      </c>
      <c r="AN2150" t="str">
        <f t="shared" si="436"/>
        <v>Valid</v>
      </c>
      <c r="AO2150" t="str">
        <f t="shared" si="437"/>
        <v>Valid</v>
      </c>
      <c r="AP2150" t="str">
        <f t="shared" si="438"/>
        <v>Valid</v>
      </c>
      <c r="AQ2150" t="str">
        <f>IF(Audit_Data[[#This Row],[Z_CostContact]]=3,"Valid","Invalid")</f>
        <v>Valid</v>
      </c>
      <c r="AR2150" t="str">
        <f t="shared" si="439"/>
        <v>Valid</v>
      </c>
      <c r="AS2150" t="str">
        <f t="shared" si="440"/>
        <v>Valid</v>
      </c>
    </row>
    <row r="2151" spans="1:45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 t="str">
        <f t="shared" si="429"/>
        <v>Ok</v>
      </c>
      <c r="AE2151" t="str">
        <f>IF(AND(Audit_Data[[#This Row],[Year_Birth]]&gt;=1900,Audit_Data[[#This Row],[Year_Birth]]&lt;=2010),"OK","Invalid")</f>
        <v>OK</v>
      </c>
      <c r="AF2151" t="str">
        <f t="shared" si="430"/>
        <v>Valid</v>
      </c>
      <c r="AG2151" t="str">
        <f t="shared" si="431"/>
        <v>Valid</v>
      </c>
      <c r="AH2151" t="str">
        <f t="shared" si="432"/>
        <v>Valid</v>
      </c>
      <c r="AI2151" t="str">
        <f t="shared" si="433"/>
        <v>Valid</v>
      </c>
      <c r="AJ2151" t="str">
        <f t="shared" si="434"/>
        <v>Valid</v>
      </c>
      <c r="AK2151" t="str">
        <f t="shared" si="441"/>
        <v xml:space="preserve">Valid </v>
      </c>
      <c r="AL2151" t="str">
        <f>IF(AND(Audit_Data[[#This Row],[Recency]]&gt;=0,Audit_Data[[#This Row],[Recency]]&lt;=100),"Valid","Invalid")</f>
        <v>Valid</v>
      </c>
      <c r="AM2151" t="str">
        <f t="shared" si="435"/>
        <v>Valid</v>
      </c>
      <c r="AN2151" t="str">
        <f t="shared" si="436"/>
        <v>Valid</v>
      </c>
      <c r="AO2151" t="str">
        <f t="shared" si="437"/>
        <v>Valid</v>
      </c>
      <c r="AP2151" t="str">
        <f t="shared" si="438"/>
        <v>Valid</v>
      </c>
      <c r="AQ2151" t="str">
        <f>IF(Audit_Data[[#This Row],[Z_CostContact]]=3,"Valid","Invalid")</f>
        <v>Valid</v>
      </c>
      <c r="AR2151" t="str">
        <f t="shared" si="439"/>
        <v>Valid</v>
      </c>
      <c r="AS2151" t="str">
        <f t="shared" si="440"/>
        <v>Valid</v>
      </c>
    </row>
    <row r="2152" spans="1:45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 t="str">
        <f t="shared" si="429"/>
        <v>Ok</v>
      </c>
      <c r="AE2152" t="str">
        <f>IF(AND(Audit_Data[[#This Row],[Year_Birth]]&gt;=1900,Audit_Data[[#This Row],[Year_Birth]]&lt;=2010),"OK","Invalid")</f>
        <v>OK</v>
      </c>
      <c r="AF2152" t="str">
        <f t="shared" si="430"/>
        <v>Valid</v>
      </c>
      <c r="AG2152" t="str">
        <f t="shared" si="431"/>
        <v>Valid</v>
      </c>
      <c r="AH2152" t="str">
        <f t="shared" si="432"/>
        <v>Valid</v>
      </c>
      <c r="AI2152" t="str">
        <f t="shared" si="433"/>
        <v>Valid</v>
      </c>
      <c r="AJ2152" t="str">
        <f t="shared" si="434"/>
        <v>Valid</v>
      </c>
      <c r="AK2152" t="str">
        <f t="shared" si="441"/>
        <v xml:space="preserve">Valid </v>
      </c>
      <c r="AL2152" t="str">
        <f>IF(AND(Audit_Data[[#This Row],[Recency]]&gt;=0,Audit_Data[[#This Row],[Recency]]&lt;=100),"Valid","Invalid")</f>
        <v>Valid</v>
      </c>
      <c r="AM2152" t="str">
        <f t="shared" si="435"/>
        <v>Valid</v>
      </c>
      <c r="AN2152" t="str">
        <f t="shared" si="436"/>
        <v>Valid</v>
      </c>
      <c r="AO2152" t="str">
        <f t="shared" si="437"/>
        <v>Valid</v>
      </c>
      <c r="AP2152" t="str">
        <f t="shared" si="438"/>
        <v>Valid</v>
      </c>
      <c r="AQ2152" t="str">
        <f>IF(Audit_Data[[#This Row],[Z_CostContact]]=3,"Valid","Invalid")</f>
        <v>Valid</v>
      </c>
      <c r="AR2152" t="str">
        <f t="shared" si="439"/>
        <v>Valid</v>
      </c>
      <c r="AS2152" t="str">
        <f t="shared" si="440"/>
        <v>Valid</v>
      </c>
    </row>
    <row r="2153" spans="1:45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 t="str">
        <f t="shared" si="429"/>
        <v>Ok</v>
      </c>
      <c r="AE2153" t="str">
        <f>IF(AND(Audit_Data[[#This Row],[Year_Birth]]&gt;=1900,Audit_Data[[#This Row],[Year_Birth]]&lt;=2010),"OK","Invalid")</f>
        <v>OK</v>
      </c>
      <c r="AF2153" t="str">
        <f t="shared" si="430"/>
        <v>Valid</v>
      </c>
      <c r="AG2153" t="str">
        <f t="shared" si="431"/>
        <v>Valid</v>
      </c>
      <c r="AH2153" t="str">
        <f t="shared" si="432"/>
        <v>Valid</v>
      </c>
      <c r="AI2153" t="str">
        <f t="shared" si="433"/>
        <v>Valid</v>
      </c>
      <c r="AJ2153" t="str">
        <f t="shared" si="434"/>
        <v>Valid</v>
      </c>
      <c r="AK2153" t="str">
        <f t="shared" si="441"/>
        <v xml:space="preserve">Valid </v>
      </c>
      <c r="AL2153" t="str">
        <f>IF(AND(Audit_Data[[#This Row],[Recency]]&gt;=0,Audit_Data[[#This Row],[Recency]]&lt;=100),"Valid","Invalid")</f>
        <v>Valid</v>
      </c>
      <c r="AM2153" t="str">
        <f t="shared" si="435"/>
        <v>Valid</v>
      </c>
      <c r="AN2153" t="str">
        <f t="shared" si="436"/>
        <v>Valid</v>
      </c>
      <c r="AO2153" t="str">
        <f t="shared" si="437"/>
        <v>Valid</v>
      </c>
      <c r="AP2153" t="str">
        <f t="shared" si="438"/>
        <v>Valid</v>
      </c>
      <c r="AQ2153" t="str">
        <f>IF(Audit_Data[[#This Row],[Z_CostContact]]=3,"Valid","Invalid")</f>
        <v>Valid</v>
      </c>
      <c r="AR2153" t="str">
        <f t="shared" si="439"/>
        <v>Valid</v>
      </c>
      <c r="AS2153" t="str">
        <f t="shared" si="440"/>
        <v>Valid</v>
      </c>
    </row>
    <row r="2154" spans="1:45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 t="str">
        <f t="shared" si="429"/>
        <v>Ok</v>
      </c>
      <c r="AE2154" t="str">
        <f>IF(AND(Audit_Data[[#This Row],[Year_Birth]]&gt;=1900,Audit_Data[[#This Row],[Year_Birth]]&lt;=2010),"OK","Invalid")</f>
        <v>OK</v>
      </c>
      <c r="AF2154" t="str">
        <f t="shared" si="430"/>
        <v>Valid</v>
      </c>
      <c r="AG2154" t="str">
        <f t="shared" si="431"/>
        <v>Valid</v>
      </c>
      <c r="AH2154" t="str">
        <f t="shared" si="432"/>
        <v>Valid</v>
      </c>
      <c r="AI2154" t="str">
        <f t="shared" si="433"/>
        <v>Valid</v>
      </c>
      <c r="AJ2154" t="str">
        <f t="shared" si="434"/>
        <v>Valid</v>
      </c>
      <c r="AK2154" t="str">
        <f t="shared" si="441"/>
        <v xml:space="preserve">Valid </v>
      </c>
      <c r="AL2154" t="str">
        <f>IF(AND(Audit_Data[[#This Row],[Recency]]&gt;=0,Audit_Data[[#This Row],[Recency]]&lt;=100),"Valid","Invalid")</f>
        <v>Valid</v>
      </c>
      <c r="AM2154" t="str">
        <f t="shared" si="435"/>
        <v>Valid</v>
      </c>
      <c r="AN2154" t="str">
        <f t="shared" si="436"/>
        <v>Valid</v>
      </c>
      <c r="AO2154" t="str">
        <f t="shared" si="437"/>
        <v>Valid</v>
      </c>
      <c r="AP2154" t="str">
        <f t="shared" si="438"/>
        <v>Valid</v>
      </c>
      <c r="AQ2154" t="str">
        <f>IF(Audit_Data[[#This Row],[Z_CostContact]]=3,"Valid","Invalid")</f>
        <v>Valid</v>
      </c>
      <c r="AR2154" t="str">
        <f t="shared" si="439"/>
        <v>Valid</v>
      </c>
      <c r="AS2154" t="str">
        <f t="shared" si="440"/>
        <v>Valid</v>
      </c>
    </row>
    <row r="2155" spans="1:45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 t="str">
        <f t="shared" si="429"/>
        <v>Ok</v>
      </c>
      <c r="AE2155" t="str">
        <f>IF(AND(Audit_Data[[#This Row],[Year_Birth]]&gt;=1900,Audit_Data[[#This Row],[Year_Birth]]&lt;=2010),"OK","Invalid")</f>
        <v>OK</v>
      </c>
      <c r="AF2155" t="str">
        <f t="shared" si="430"/>
        <v>Valid</v>
      </c>
      <c r="AG2155" t="str">
        <f t="shared" si="431"/>
        <v>Valid</v>
      </c>
      <c r="AH2155" t="str">
        <f t="shared" si="432"/>
        <v>Valid</v>
      </c>
      <c r="AI2155" t="str">
        <f t="shared" si="433"/>
        <v>Valid</v>
      </c>
      <c r="AJ2155" t="str">
        <f t="shared" si="434"/>
        <v>Valid</v>
      </c>
      <c r="AK2155" t="str">
        <f t="shared" si="441"/>
        <v xml:space="preserve">Valid </v>
      </c>
      <c r="AL2155" t="str">
        <f>IF(AND(Audit_Data[[#This Row],[Recency]]&gt;=0,Audit_Data[[#This Row],[Recency]]&lt;=100),"Valid","Invalid")</f>
        <v>Valid</v>
      </c>
      <c r="AM2155" t="str">
        <f t="shared" si="435"/>
        <v>Valid</v>
      </c>
      <c r="AN2155" t="str">
        <f t="shared" si="436"/>
        <v>Valid</v>
      </c>
      <c r="AO2155" t="str">
        <f t="shared" si="437"/>
        <v>Valid</v>
      </c>
      <c r="AP2155" t="str">
        <f t="shared" si="438"/>
        <v>Valid</v>
      </c>
      <c r="AQ2155" t="str">
        <f>IF(Audit_Data[[#This Row],[Z_CostContact]]=3,"Valid","Invalid")</f>
        <v>Valid</v>
      </c>
      <c r="AR2155" t="str">
        <f t="shared" si="439"/>
        <v>Valid</v>
      </c>
      <c r="AS2155" t="str">
        <f t="shared" si="440"/>
        <v>Valid</v>
      </c>
    </row>
    <row r="2156" spans="1:45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 t="str">
        <f t="shared" si="429"/>
        <v>Ok</v>
      </c>
      <c r="AE2156" t="str">
        <f>IF(AND(Audit_Data[[#This Row],[Year_Birth]]&gt;=1900,Audit_Data[[#This Row],[Year_Birth]]&lt;=2010),"OK","Invalid")</f>
        <v>OK</v>
      </c>
      <c r="AF2156" t="str">
        <f t="shared" si="430"/>
        <v>Valid</v>
      </c>
      <c r="AG2156" t="str">
        <f t="shared" si="431"/>
        <v>Valid</v>
      </c>
      <c r="AH2156" t="str">
        <f t="shared" si="432"/>
        <v>Valid</v>
      </c>
      <c r="AI2156" t="str">
        <f t="shared" si="433"/>
        <v>Valid</v>
      </c>
      <c r="AJ2156" t="str">
        <f t="shared" si="434"/>
        <v>Valid</v>
      </c>
      <c r="AK2156" t="str">
        <f t="shared" si="441"/>
        <v xml:space="preserve">Valid </v>
      </c>
      <c r="AL2156" t="str">
        <f>IF(AND(Audit_Data[[#This Row],[Recency]]&gt;=0,Audit_Data[[#This Row],[Recency]]&lt;=100),"Valid","Invalid")</f>
        <v>Valid</v>
      </c>
      <c r="AM2156" t="str">
        <f t="shared" si="435"/>
        <v>Valid</v>
      </c>
      <c r="AN2156" t="str">
        <f t="shared" si="436"/>
        <v>Valid</v>
      </c>
      <c r="AO2156" t="str">
        <f t="shared" si="437"/>
        <v>Valid</v>
      </c>
      <c r="AP2156" t="str">
        <f t="shared" si="438"/>
        <v>Valid</v>
      </c>
      <c r="AQ2156" t="str">
        <f>IF(Audit_Data[[#This Row],[Z_CostContact]]=3,"Valid","Invalid")</f>
        <v>Valid</v>
      </c>
      <c r="AR2156" t="str">
        <f t="shared" si="439"/>
        <v>Valid</v>
      </c>
      <c r="AS2156" t="str">
        <f t="shared" si="440"/>
        <v>Valid</v>
      </c>
    </row>
    <row r="2157" spans="1:45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 t="str">
        <f t="shared" si="429"/>
        <v>Ok</v>
      </c>
      <c r="AE2157" t="str">
        <f>IF(AND(Audit_Data[[#This Row],[Year_Birth]]&gt;=1900,Audit_Data[[#This Row],[Year_Birth]]&lt;=2010),"OK","Invalid")</f>
        <v>OK</v>
      </c>
      <c r="AF2157" t="str">
        <f t="shared" si="430"/>
        <v>Valid</v>
      </c>
      <c r="AG2157" t="str">
        <f t="shared" si="431"/>
        <v>Valid</v>
      </c>
      <c r="AH2157" t="str">
        <f t="shared" si="432"/>
        <v>Valid</v>
      </c>
      <c r="AI2157" t="str">
        <f t="shared" si="433"/>
        <v>Valid</v>
      </c>
      <c r="AJ2157" t="str">
        <f t="shared" si="434"/>
        <v>Valid</v>
      </c>
      <c r="AK2157" t="str">
        <f t="shared" si="441"/>
        <v xml:space="preserve">Valid </v>
      </c>
      <c r="AL2157" t="str">
        <f>IF(AND(Audit_Data[[#This Row],[Recency]]&gt;=0,Audit_Data[[#This Row],[Recency]]&lt;=100),"Valid","Invalid")</f>
        <v>Valid</v>
      </c>
      <c r="AM2157" t="str">
        <f t="shared" si="435"/>
        <v>Valid</v>
      </c>
      <c r="AN2157" t="str">
        <f t="shared" si="436"/>
        <v>Valid</v>
      </c>
      <c r="AO2157" t="str">
        <f t="shared" si="437"/>
        <v>Valid</v>
      </c>
      <c r="AP2157" t="str">
        <f t="shared" si="438"/>
        <v>Valid</v>
      </c>
      <c r="AQ2157" t="str">
        <f>IF(Audit_Data[[#This Row],[Z_CostContact]]=3,"Valid","Invalid")</f>
        <v>Valid</v>
      </c>
      <c r="AR2157" t="str">
        <f t="shared" si="439"/>
        <v>Valid</v>
      </c>
      <c r="AS2157" t="str">
        <f t="shared" si="440"/>
        <v>Valid</v>
      </c>
    </row>
    <row r="2158" spans="1:45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 t="str">
        <f t="shared" si="429"/>
        <v>Ok</v>
      </c>
      <c r="AE2158" t="str">
        <f>IF(AND(Audit_Data[[#This Row],[Year_Birth]]&gt;=1900,Audit_Data[[#This Row],[Year_Birth]]&lt;=2010),"OK","Invalid")</f>
        <v>OK</v>
      </c>
      <c r="AF2158" t="str">
        <f t="shared" si="430"/>
        <v>Valid</v>
      </c>
      <c r="AG2158" t="str">
        <f t="shared" si="431"/>
        <v>Valid</v>
      </c>
      <c r="AH2158" t="str">
        <f t="shared" si="432"/>
        <v>Valid</v>
      </c>
      <c r="AI2158" t="str">
        <f t="shared" si="433"/>
        <v>Valid</v>
      </c>
      <c r="AJ2158" t="str">
        <f t="shared" si="434"/>
        <v>Valid</v>
      </c>
      <c r="AK2158" t="str">
        <f t="shared" si="441"/>
        <v xml:space="preserve">Valid </v>
      </c>
      <c r="AL2158" t="str">
        <f>IF(AND(Audit_Data[[#This Row],[Recency]]&gt;=0,Audit_Data[[#This Row],[Recency]]&lt;=100),"Valid","Invalid")</f>
        <v>Valid</v>
      </c>
      <c r="AM2158" t="str">
        <f t="shared" si="435"/>
        <v>Valid</v>
      </c>
      <c r="AN2158" t="str">
        <f t="shared" si="436"/>
        <v>Valid</v>
      </c>
      <c r="AO2158" t="str">
        <f t="shared" si="437"/>
        <v>Valid</v>
      </c>
      <c r="AP2158" t="str">
        <f t="shared" si="438"/>
        <v>Valid</v>
      </c>
      <c r="AQ2158" t="str">
        <f>IF(Audit_Data[[#This Row],[Z_CostContact]]=3,"Valid","Invalid")</f>
        <v>Valid</v>
      </c>
      <c r="AR2158" t="str">
        <f t="shared" si="439"/>
        <v>Valid</v>
      </c>
      <c r="AS2158" t="str">
        <f t="shared" si="440"/>
        <v>Valid</v>
      </c>
    </row>
    <row r="2159" spans="1:45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 t="str">
        <f t="shared" si="429"/>
        <v>Ok</v>
      </c>
      <c r="AE2159" t="str">
        <f>IF(AND(Audit_Data[[#This Row],[Year_Birth]]&gt;=1900,Audit_Data[[#This Row],[Year_Birth]]&lt;=2010),"OK","Invalid")</f>
        <v>OK</v>
      </c>
      <c r="AF2159" t="str">
        <f t="shared" si="430"/>
        <v>Valid</v>
      </c>
      <c r="AG2159" t="str">
        <f t="shared" si="431"/>
        <v>Valid</v>
      </c>
      <c r="AH2159" t="str">
        <f t="shared" si="432"/>
        <v>Valid</v>
      </c>
      <c r="AI2159" t="str">
        <f t="shared" si="433"/>
        <v>Valid</v>
      </c>
      <c r="AJ2159" t="str">
        <f t="shared" si="434"/>
        <v>Valid</v>
      </c>
      <c r="AK2159" t="str">
        <f t="shared" si="441"/>
        <v xml:space="preserve">Valid </v>
      </c>
      <c r="AL2159" t="str">
        <f>IF(AND(Audit_Data[[#This Row],[Recency]]&gt;=0,Audit_Data[[#This Row],[Recency]]&lt;=100),"Valid","Invalid")</f>
        <v>Valid</v>
      </c>
      <c r="AM2159" t="str">
        <f t="shared" si="435"/>
        <v>Valid</v>
      </c>
      <c r="AN2159" t="str">
        <f t="shared" si="436"/>
        <v>Valid</v>
      </c>
      <c r="AO2159" t="str">
        <f t="shared" si="437"/>
        <v>Valid</v>
      </c>
      <c r="AP2159" t="str">
        <f t="shared" si="438"/>
        <v>Valid</v>
      </c>
      <c r="AQ2159" t="str">
        <f>IF(Audit_Data[[#This Row],[Z_CostContact]]=3,"Valid","Invalid")</f>
        <v>Valid</v>
      </c>
      <c r="AR2159" t="str">
        <f t="shared" si="439"/>
        <v>Valid</v>
      </c>
      <c r="AS2159" t="str">
        <f t="shared" si="440"/>
        <v>Valid</v>
      </c>
    </row>
    <row r="2160" spans="1:45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 t="str">
        <f t="shared" si="429"/>
        <v>Ok</v>
      </c>
      <c r="AE2160" t="str">
        <f>IF(AND(Audit_Data[[#This Row],[Year_Birth]]&gt;=1900,Audit_Data[[#This Row],[Year_Birth]]&lt;=2010),"OK","Invalid")</f>
        <v>OK</v>
      </c>
      <c r="AF2160" t="str">
        <f t="shared" si="430"/>
        <v>Valid</v>
      </c>
      <c r="AG2160" t="str">
        <f t="shared" si="431"/>
        <v>Valid</v>
      </c>
      <c r="AH2160" t="str">
        <f t="shared" si="432"/>
        <v>Valid</v>
      </c>
      <c r="AI2160" t="str">
        <f t="shared" si="433"/>
        <v>Valid</v>
      </c>
      <c r="AJ2160" t="str">
        <f t="shared" si="434"/>
        <v>Valid</v>
      </c>
      <c r="AK2160" t="str">
        <f t="shared" si="441"/>
        <v xml:space="preserve">Valid </v>
      </c>
      <c r="AL2160" t="str">
        <f>IF(AND(Audit_Data[[#This Row],[Recency]]&gt;=0,Audit_Data[[#This Row],[Recency]]&lt;=100),"Valid","Invalid")</f>
        <v>Valid</v>
      </c>
      <c r="AM2160" t="str">
        <f t="shared" si="435"/>
        <v>Valid</v>
      </c>
      <c r="AN2160" t="str">
        <f t="shared" si="436"/>
        <v>Valid</v>
      </c>
      <c r="AO2160" t="str">
        <f t="shared" si="437"/>
        <v>Valid</v>
      </c>
      <c r="AP2160" t="str">
        <f t="shared" si="438"/>
        <v>Valid</v>
      </c>
      <c r="AQ2160" t="str">
        <f>IF(Audit_Data[[#This Row],[Z_CostContact]]=3,"Valid","Invalid")</f>
        <v>Valid</v>
      </c>
      <c r="AR2160" t="str">
        <f t="shared" si="439"/>
        <v>Valid</v>
      </c>
      <c r="AS2160" t="str">
        <f t="shared" si="440"/>
        <v>Valid</v>
      </c>
    </row>
    <row r="2161" spans="1:45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 t="str">
        <f t="shared" si="429"/>
        <v>Ok</v>
      </c>
      <c r="AE2161" t="str">
        <f>IF(AND(Audit_Data[[#This Row],[Year_Birth]]&gt;=1900,Audit_Data[[#This Row],[Year_Birth]]&lt;=2010),"OK","Invalid")</f>
        <v>OK</v>
      </c>
      <c r="AF2161" t="str">
        <f t="shared" si="430"/>
        <v>Valid</v>
      </c>
      <c r="AG2161" t="str">
        <f t="shared" si="431"/>
        <v>Valid</v>
      </c>
      <c r="AH2161" t="str">
        <f t="shared" si="432"/>
        <v>Valid</v>
      </c>
      <c r="AI2161" t="str">
        <f t="shared" si="433"/>
        <v>Valid</v>
      </c>
      <c r="AJ2161" t="str">
        <f t="shared" si="434"/>
        <v>Valid</v>
      </c>
      <c r="AK2161" t="str">
        <f t="shared" si="441"/>
        <v xml:space="preserve">Valid </v>
      </c>
      <c r="AL2161" t="str">
        <f>IF(AND(Audit_Data[[#This Row],[Recency]]&gt;=0,Audit_Data[[#This Row],[Recency]]&lt;=100),"Valid","Invalid")</f>
        <v>Valid</v>
      </c>
      <c r="AM2161" t="str">
        <f t="shared" si="435"/>
        <v>Valid</v>
      </c>
      <c r="AN2161" t="str">
        <f t="shared" si="436"/>
        <v>Valid</v>
      </c>
      <c r="AO2161" t="str">
        <f t="shared" si="437"/>
        <v>Valid</v>
      </c>
      <c r="AP2161" t="str">
        <f t="shared" si="438"/>
        <v>Valid</v>
      </c>
      <c r="AQ2161" t="str">
        <f>IF(Audit_Data[[#This Row],[Z_CostContact]]=3,"Valid","Invalid")</f>
        <v>Valid</v>
      </c>
      <c r="AR2161" t="str">
        <f t="shared" si="439"/>
        <v>Valid</v>
      </c>
      <c r="AS2161" t="str">
        <f t="shared" si="440"/>
        <v>Valid</v>
      </c>
    </row>
    <row r="2162" spans="1:45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 t="str">
        <f t="shared" si="429"/>
        <v>Ok</v>
      </c>
      <c r="AE2162" t="str">
        <f>IF(AND(Audit_Data[[#This Row],[Year_Birth]]&gt;=1900,Audit_Data[[#This Row],[Year_Birth]]&lt;=2010),"OK","Invalid")</f>
        <v>OK</v>
      </c>
      <c r="AF2162" t="str">
        <f t="shared" si="430"/>
        <v>Valid</v>
      </c>
      <c r="AG2162" t="str">
        <f t="shared" si="431"/>
        <v>Valid</v>
      </c>
      <c r="AH2162" t="str">
        <f t="shared" si="432"/>
        <v>Valid</v>
      </c>
      <c r="AI2162" t="str">
        <f t="shared" si="433"/>
        <v>Valid</v>
      </c>
      <c r="AJ2162" t="str">
        <f t="shared" si="434"/>
        <v>Valid</v>
      </c>
      <c r="AK2162" t="str">
        <f t="shared" si="441"/>
        <v xml:space="preserve">Valid </v>
      </c>
      <c r="AL2162" t="str">
        <f>IF(AND(Audit_Data[[#This Row],[Recency]]&gt;=0,Audit_Data[[#This Row],[Recency]]&lt;=100),"Valid","Invalid")</f>
        <v>Valid</v>
      </c>
      <c r="AM2162" t="str">
        <f t="shared" si="435"/>
        <v>Valid</v>
      </c>
      <c r="AN2162" t="str">
        <f t="shared" si="436"/>
        <v>Valid</v>
      </c>
      <c r="AO2162" t="str">
        <f t="shared" si="437"/>
        <v>Valid</v>
      </c>
      <c r="AP2162" t="str">
        <f t="shared" si="438"/>
        <v>Valid</v>
      </c>
      <c r="AQ2162" t="str">
        <f>IF(Audit_Data[[#This Row],[Z_CostContact]]=3,"Valid","Invalid")</f>
        <v>Valid</v>
      </c>
      <c r="AR2162" t="str">
        <f t="shared" si="439"/>
        <v>Valid</v>
      </c>
      <c r="AS2162" t="str">
        <f t="shared" si="440"/>
        <v>Valid</v>
      </c>
    </row>
    <row r="2163" spans="1:45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 t="str">
        <f t="shared" si="429"/>
        <v>Ok</v>
      </c>
      <c r="AE2163" t="str">
        <f>IF(AND(Audit_Data[[#This Row],[Year_Birth]]&gt;=1900,Audit_Data[[#This Row],[Year_Birth]]&lt;=2010),"OK","Invalid")</f>
        <v>OK</v>
      </c>
      <c r="AF2163" t="str">
        <f t="shared" si="430"/>
        <v>Valid</v>
      </c>
      <c r="AG2163" t="str">
        <f t="shared" si="431"/>
        <v>Valid</v>
      </c>
      <c r="AH2163" t="str">
        <f t="shared" si="432"/>
        <v>Valid</v>
      </c>
      <c r="AI2163" t="str">
        <f t="shared" si="433"/>
        <v>Valid</v>
      </c>
      <c r="AJ2163" t="str">
        <f t="shared" si="434"/>
        <v>Valid</v>
      </c>
      <c r="AK2163" t="str">
        <f t="shared" si="441"/>
        <v xml:space="preserve">Valid </v>
      </c>
      <c r="AL2163" t="str">
        <f>IF(AND(Audit_Data[[#This Row],[Recency]]&gt;=0,Audit_Data[[#This Row],[Recency]]&lt;=100),"Valid","Invalid")</f>
        <v>Valid</v>
      </c>
      <c r="AM2163" t="str">
        <f t="shared" si="435"/>
        <v>Valid</v>
      </c>
      <c r="AN2163" t="str">
        <f t="shared" si="436"/>
        <v>Valid</v>
      </c>
      <c r="AO2163" t="str">
        <f t="shared" si="437"/>
        <v>Valid</v>
      </c>
      <c r="AP2163" t="str">
        <f t="shared" si="438"/>
        <v>Valid</v>
      </c>
      <c r="AQ2163" t="str">
        <f>IF(Audit_Data[[#This Row],[Z_CostContact]]=3,"Valid","Invalid")</f>
        <v>Valid</v>
      </c>
      <c r="AR2163" t="str">
        <f t="shared" si="439"/>
        <v>Valid</v>
      </c>
      <c r="AS2163" t="str">
        <f t="shared" si="440"/>
        <v>Valid</v>
      </c>
    </row>
    <row r="2164" spans="1:45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 t="str">
        <f t="shared" si="429"/>
        <v>Ok</v>
      </c>
      <c r="AE2164" t="str">
        <f>IF(AND(Audit_Data[[#This Row],[Year_Birth]]&gt;=1900,Audit_Data[[#This Row],[Year_Birth]]&lt;=2010),"OK","Invalid")</f>
        <v>OK</v>
      </c>
      <c r="AF2164" t="str">
        <f t="shared" si="430"/>
        <v>Valid</v>
      </c>
      <c r="AG2164" t="str">
        <f t="shared" si="431"/>
        <v>Valid</v>
      </c>
      <c r="AH2164" t="str">
        <f t="shared" si="432"/>
        <v>Valid</v>
      </c>
      <c r="AI2164" t="str">
        <f t="shared" si="433"/>
        <v>Valid</v>
      </c>
      <c r="AJ2164" t="str">
        <f t="shared" si="434"/>
        <v>Valid</v>
      </c>
      <c r="AK2164" t="str">
        <f t="shared" si="441"/>
        <v xml:space="preserve">Valid </v>
      </c>
      <c r="AL2164" t="str">
        <f>IF(AND(Audit_Data[[#This Row],[Recency]]&gt;=0,Audit_Data[[#This Row],[Recency]]&lt;=100),"Valid","Invalid")</f>
        <v>Valid</v>
      </c>
      <c r="AM2164" t="str">
        <f t="shared" si="435"/>
        <v>Valid</v>
      </c>
      <c r="AN2164" t="str">
        <f t="shared" si="436"/>
        <v>Valid</v>
      </c>
      <c r="AO2164" t="str">
        <f t="shared" si="437"/>
        <v>Valid</v>
      </c>
      <c r="AP2164" t="str">
        <f t="shared" si="438"/>
        <v>Valid</v>
      </c>
      <c r="AQ2164" t="str">
        <f>IF(Audit_Data[[#This Row],[Z_CostContact]]=3,"Valid","Invalid")</f>
        <v>Valid</v>
      </c>
      <c r="AR2164" t="str">
        <f t="shared" si="439"/>
        <v>Valid</v>
      </c>
      <c r="AS2164" t="str">
        <f t="shared" si="440"/>
        <v>Valid</v>
      </c>
    </row>
    <row r="2165" spans="1:45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 t="str">
        <f t="shared" si="429"/>
        <v>Ok</v>
      </c>
      <c r="AE2165" t="str">
        <f>IF(AND(Audit_Data[[#This Row],[Year_Birth]]&gt;=1900,Audit_Data[[#This Row],[Year_Birth]]&lt;=2010),"OK","Invalid")</f>
        <v>OK</v>
      </c>
      <c r="AF2165" t="str">
        <f t="shared" si="430"/>
        <v>Valid</v>
      </c>
      <c r="AG2165" t="str">
        <f t="shared" si="431"/>
        <v>Valid</v>
      </c>
      <c r="AH2165" t="str">
        <f t="shared" si="432"/>
        <v>Valid</v>
      </c>
      <c r="AI2165" t="str">
        <f t="shared" si="433"/>
        <v>Valid</v>
      </c>
      <c r="AJ2165" t="str">
        <f t="shared" si="434"/>
        <v>Valid</v>
      </c>
      <c r="AK2165" t="str">
        <f t="shared" si="441"/>
        <v xml:space="preserve">Valid </v>
      </c>
      <c r="AL2165" t="str">
        <f>IF(AND(Audit_Data[[#This Row],[Recency]]&gt;=0,Audit_Data[[#This Row],[Recency]]&lt;=100),"Valid","Invalid")</f>
        <v>Valid</v>
      </c>
      <c r="AM2165" t="str">
        <f t="shared" si="435"/>
        <v>Valid</v>
      </c>
      <c r="AN2165" t="str">
        <f t="shared" si="436"/>
        <v>Valid</v>
      </c>
      <c r="AO2165" t="str">
        <f t="shared" si="437"/>
        <v>Valid</v>
      </c>
      <c r="AP2165" t="str">
        <f t="shared" si="438"/>
        <v>Valid</v>
      </c>
      <c r="AQ2165" t="str">
        <f>IF(Audit_Data[[#This Row],[Z_CostContact]]=3,"Valid","Invalid")</f>
        <v>Valid</v>
      </c>
      <c r="AR2165" t="str">
        <f t="shared" si="439"/>
        <v>Valid</v>
      </c>
      <c r="AS2165" t="str">
        <f t="shared" si="440"/>
        <v>Valid</v>
      </c>
    </row>
    <row r="2166" spans="1:45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 t="str">
        <f t="shared" si="429"/>
        <v>Ok</v>
      </c>
      <c r="AE2166" t="str">
        <f>IF(AND(Audit_Data[[#This Row],[Year_Birth]]&gt;=1900,Audit_Data[[#This Row],[Year_Birth]]&lt;=2010),"OK","Invalid")</f>
        <v>OK</v>
      </c>
      <c r="AF2166" t="str">
        <f t="shared" si="430"/>
        <v>Valid</v>
      </c>
      <c r="AG2166" t="str">
        <f t="shared" si="431"/>
        <v>Valid</v>
      </c>
      <c r="AH2166" t="str">
        <f t="shared" si="432"/>
        <v>Valid</v>
      </c>
      <c r="AI2166" t="str">
        <f t="shared" si="433"/>
        <v>Valid</v>
      </c>
      <c r="AJ2166" t="str">
        <f t="shared" si="434"/>
        <v>Valid</v>
      </c>
      <c r="AK2166" t="str">
        <f t="shared" si="441"/>
        <v xml:space="preserve">Valid </v>
      </c>
      <c r="AL2166" t="str">
        <f>IF(AND(Audit_Data[[#This Row],[Recency]]&gt;=0,Audit_Data[[#This Row],[Recency]]&lt;=100),"Valid","Invalid")</f>
        <v>Valid</v>
      </c>
      <c r="AM2166" t="str">
        <f t="shared" si="435"/>
        <v>Valid</v>
      </c>
      <c r="AN2166" t="str">
        <f t="shared" si="436"/>
        <v>Valid</v>
      </c>
      <c r="AO2166" t="str">
        <f t="shared" si="437"/>
        <v>Valid</v>
      </c>
      <c r="AP2166" t="str">
        <f t="shared" si="438"/>
        <v>Valid</v>
      </c>
      <c r="AQ2166" t="str">
        <f>IF(Audit_Data[[#This Row],[Z_CostContact]]=3,"Valid","Invalid")</f>
        <v>Valid</v>
      </c>
      <c r="AR2166" t="str">
        <f t="shared" si="439"/>
        <v>Valid</v>
      </c>
      <c r="AS2166" t="str">
        <f t="shared" si="440"/>
        <v>Valid</v>
      </c>
    </row>
    <row r="2167" spans="1:45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 t="str">
        <f t="shared" si="429"/>
        <v>Ok</v>
      </c>
      <c r="AE2167" t="str">
        <f>IF(AND(Audit_Data[[#This Row],[Year_Birth]]&gt;=1900,Audit_Data[[#This Row],[Year_Birth]]&lt;=2010),"OK","Invalid")</f>
        <v>OK</v>
      </c>
      <c r="AF2167" t="str">
        <f t="shared" si="430"/>
        <v>Valid</v>
      </c>
      <c r="AG2167" t="str">
        <f t="shared" si="431"/>
        <v>Valid</v>
      </c>
      <c r="AH2167" t="str">
        <f t="shared" si="432"/>
        <v>Valid</v>
      </c>
      <c r="AI2167" t="str">
        <f t="shared" si="433"/>
        <v>Valid</v>
      </c>
      <c r="AJ2167" t="str">
        <f t="shared" si="434"/>
        <v>Valid</v>
      </c>
      <c r="AK2167" t="str">
        <f t="shared" si="441"/>
        <v xml:space="preserve">Valid </v>
      </c>
      <c r="AL2167" t="str">
        <f>IF(AND(Audit_Data[[#This Row],[Recency]]&gt;=0,Audit_Data[[#This Row],[Recency]]&lt;=100),"Valid","Invalid")</f>
        <v>Valid</v>
      </c>
      <c r="AM2167" t="str">
        <f t="shared" si="435"/>
        <v>Valid</v>
      </c>
      <c r="AN2167" t="str">
        <f t="shared" si="436"/>
        <v>Valid</v>
      </c>
      <c r="AO2167" t="str">
        <f t="shared" si="437"/>
        <v>Valid</v>
      </c>
      <c r="AP2167" t="str">
        <f t="shared" si="438"/>
        <v>Valid</v>
      </c>
      <c r="AQ2167" t="str">
        <f>IF(Audit_Data[[#This Row],[Z_CostContact]]=3,"Valid","Invalid")</f>
        <v>Valid</v>
      </c>
      <c r="AR2167" t="str">
        <f t="shared" si="439"/>
        <v>Valid</v>
      </c>
      <c r="AS2167" t="str">
        <f t="shared" si="440"/>
        <v>Valid</v>
      </c>
    </row>
    <row r="2168" spans="1:45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 t="str">
        <f t="shared" si="429"/>
        <v>Ok</v>
      </c>
      <c r="AE2168" t="str">
        <f>IF(AND(Audit_Data[[#This Row],[Year_Birth]]&gt;=1900,Audit_Data[[#This Row],[Year_Birth]]&lt;=2010),"OK","Invalid")</f>
        <v>OK</v>
      </c>
      <c r="AF2168" t="str">
        <f t="shared" si="430"/>
        <v>Valid</v>
      </c>
      <c r="AG2168" t="str">
        <f t="shared" si="431"/>
        <v>Valid</v>
      </c>
      <c r="AH2168" t="str">
        <f t="shared" si="432"/>
        <v>Valid</v>
      </c>
      <c r="AI2168" t="str">
        <f t="shared" si="433"/>
        <v>Valid</v>
      </c>
      <c r="AJ2168" t="str">
        <f t="shared" si="434"/>
        <v>Valid</v>
      </c>
      <c r="AK2168" t="str">
        <f t="shared" si="441"/>
        <v xml:space="preserve">Valid </v>
      </c>
      <c r="AL2168" t="str">
        <f>IF(AND(Audit_Data[[#This Row],[Recency]]&gt;=0,Audit_Data[[#This Row],[Recency]]&lt;=100),"Valid","Invalid")</f>
        <v>Valid</v>
      </c>
      <c r="AM2168" t="str">
        <f t="shared" si="435"/>
        <v>Valid</v>
      </c>
      <c r="AN2168" t="str">
        <f t="shared" si="436"/>
        <v>Valid</v>
      </c>
      <c r="AO2168" t="str">
        <f t="shared" si="437"/>
        <v>Valid</v>
      </c>
      <c r="AP2168" t="str">
        <f t="shared" si="438"/>
        <v>Valid</v>
      </c>
      <c r="AQ2168" t="str">
        <f>IF(Audit_Data[[#This Row],[Z_CostContact]]=3,"Valid","Invalid")</f>
        <v>Valid</v>
      </c>
      <c r="AR2168" t="str">
        <f t="shared" si="439"/>
        <v>Valid</v>
      </c>
      <c r="AS2168" t="str">
        <f t="shared" si="440"/>
        <v>Valid</v>
      </c>
    </row>
    <row r="2169" spans="1:45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 t="str">
        <f t="shared" si="429"/>
        <v>Ok</v>
      </c>
      <c r="AE2169" t="str">
        <f>IF(AND(Audit_Data[[#This Row],[Year_Birth]]&gt;=1900,Audit_Data[[#This Row],[Year_Birth]]&lt;=2010),"OK","Invalid")</f>
        <v>OK</v>
      </c>
      <c r="AF2169" t="str">
        <f t="shared" si="430"/>
        <v>Valid</v>
      </c>
      <c r="AG2169" t="str">
        <f t="shared" si="431"/>
        <v>Valid</v>
      </c>
      <c r="AH2169" t="str">
        <f t="shared" si="432"/>
        <v>Valid</v>
      </c>
      <c r="AI2169" t="str">
        <f t="shared" si="433"/>
        <v>Valid</v>
      </c>
      <c r="AJ2169" t="str">
        <f t="shared" si="434"/>
        <v>Valid</v>
      </c>
      <c r="AK2169" t="str">
        <f t="shared" si="441"/>
        <v xml:space="preserve">Valid </v>
      </c>
      <c r="AL2169" t="str">
        <f>IF(AND(Audit_Data[[#This Row],[Recency]]&gt;=0,Audit_Data[[#This Row],[Recency]]&lt;=100),"Valid","Invalid")</f>
        <v>Valid</v>
      </c>
      <c r="AM2169" t="str">
        <f t="shared" si="435"/>
        <v>Valid</v>
      </c>
      <c r="AN2169" t="str">
        <f t="shared" si="436"/>
        <v>Valid</v>
      </c>
      <c r="AO2169" t="str">
        <f t="shared" si="437"/>
        <v>Valid</v>
      </c>
      <c r="AP2169" t="str">
        <f t="shared" si="438"/>
        <v>Valid</v>
      </c>
      <c r="AQ2169" t="str">
        <f>IF(Audit_Data[[#This Row],[Z_CostContact]]=3,"Valid","Invalid")</f>
        <v>Valid</v>
      </c>
      <c r="AR2169" t="str">
        <f t="shared" si="439"/>
        <v>Valid</v>
      </c>
      <c r="AS2169" t="str">
        <f t="shared" si="440"/>
        <v>Valid</v>
      </c>
    </row>
    <row r="2170" spans="1:45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 t="str">
        <f t="shared" si="429"/>
        <v>Ok</v>
      </c>
      <c r="AE2170" t="str">
        <f>IF(AND(Audit_Data[[#This Row],[Year_Birth]]&gt;=1900,Audit_Data[[#This Row],[Year_Birth]]&lt;=2010),"OK","Invalid")</f>
        <v>OK</v>
      </c>
      <c r="AF2170" t="str">
        <f t="shared" si="430"/>
        <v>Valid</v>
      </c>
      <c r="AG2170" t="str">
        <f t="shared" si="431"/>
        <v>Valid</v>
      </c>
      <c r="AH2170" t="str">
        <f t="shared" si="432"/>
        <v>Valid</v>
      </c>
      <c r="AI2170" t="str">
        <f t="shared" si="433"/>
        <v>Valid</v>
      </c>
      <c r="AJ2170" t="str">
        <f t="shared" si="434"/>
        <v>Valid</v>
      </c>
      <c r="AK2170" t="str">
        <f t="shared" si="441"/>
        <v xml:space="preserve">Valid </v>
      </c>
      <c r="AL2170" t="str">
        <f>IF(AND(Audit_Data[[#This Row],[Recency]]&gt;=0,Audit_Data[[#This Row],[Recency]]&lt;=100),"Valid","Invalid")</f>
        <v>Valid</v>
      </c>
      <c r="AM2170" t="str">
        <f t="shared" si="435"/>
        <v>Valid</v>
      </c>
      <c r="AN2170" t="str">
        <f t="shared" si="436"/>
        <v>Valid</v>
      </c>
      <c r="AO2170" t="str">
        <f t="shared" si="437"/>
        <v>Valid</v>
      </c>
      <c r="AP2170" t="str">
        <f t="shared" si="438"/>
        <v>Valid</v>
      </c>
      <c r="AQ2170" t="str">
        <f>IF(Audit_Data[[#This Row],[Z_CostContact]]=3,"Valid","Invalid")</f>
        <v>Valid</v>
      </c>
      <c r="AR2170" t="str">
        <f t="shared" si="439"/>
        <v>Valid</v>
      </c>
      <c r="AS2170" t="str">
        <f t="shared" si="440"/>
        <v>Valid</v>
      </c>
    </row>
    <row r="2171" spans="1:45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 t="str">
        <f t="shared" si="429"/>
        <v>Ok</v>
      </c>
      <c r="AE2171" t="str">
        <f>IF(AND(Audit_Data[[#This Row],[Year_Birth]]&gt;=1900,Audit_Data[[#This Row],[Year_Birth]]&lt;=2010),"OK","Invalid")</f>
        <v>OK</v>
      </c>
      <c r="AF2171" t="str">
        <f t="shared" si="430"/>
        <v>Valid</v>
      </c>
      <c r="AG2171" t="str">
        <f t="shared" si="431"/>
        <v>Valid</v>
      </c>
      <c r="AH2171" t="str">
        <f t="shared" si="432"/>
        <v>Valid</v>
      </c>
      <c r="AI2171" t="str">
        <f t="shared" si="433"/>
        <v>Valid</v>
      </c>
      <c r="AJ2171" t="str">
        <f t="shared" si="434"/>
        <v>Valid</v>
      </c>
      <c r="AK2171" t="str">
        <f t="shared" si="441"/>
        <v xml:space="preserve">Valid </v>
      </c>
      <c r="AL2171" t="str">
        <f>IF(AND(Audit_Data[[#This Row],[Recency]]&gt;=0,Audit_Data[[#This Row],[Recency]]&lt;=100),"Valid","Invalid")</f>
        <v>Valid</v>
      </c>
      <c r="AM2171" t="str">
        <f t="shared" si="435"/>
        <v>Valid</v>
      </c>
      <c r="AN2171" t="str">
        <f t="shared" si="436"/>
        <v>Valid</v>
      </c>
      <c r="AO2171" t="str">
        <f t="shared" si="437"/>
        <v>Valid</v>
      </c>
      <c r="AP2171" t="str">
        <f t="shared" si="438"/>
        <v>Valid</v>
      </c>
      <c r="AQ2171" t="str">
        <f>IF(Audit_Data[[#This Row],[Z_CostContact]]=3,"Valid","Invalid")</f>
        <v>Valid</v>
      </c>
      <c r="AR2171" t="str">
        <f t="shared" si="439"/>
        <v>Valid</v>
      </c>
      <c r="AS2171" t="str">
        <f t="shared" si="440"/>
        <v>Valid</v>
      </c>
    </row>
    <row r="2172" spans="1:45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 t="str">
        <f t="shared" si="429"/>
        <v>Ok</v>
      </c>
      <c r="AE2172" t="str">
        <f>IF(AND(Audit_Data[[#This Row],[Year_Birth]]&gt;=1900,Audit_Data[[#This Row],[Year_Birth]]&lt;=2010),"OK","Invalid")</f>
        <v>OK</v>
      </c>
      <c r="AF2172" t="str">
        <f t="shared" si="430"/>
        <v>Valid</v>
      </c>
      <c r="AG2172" t="str">
        <f t="shared" si="431"/>
        <v>Valid</v>
      </c>
      <c r="AH2172" t="str">
        <f t="shared" si="432"/>
        <v>Valid</v>
      </c>
      <c r="AI2172" t="str">
        <f t="shared" si="433"/>
        <v>Valid</v>
      </c>
      <c r="AJ2172" t="str">
        <f t="shared" si="434"/>
        <v>Valid</v>
      </c>
      <c r="AK2172" t="str">
        <f t="shared" si="441"/>
        <v xml:space="preserve">Valid </v>
      </c>
      <c r="AL2172" t="str">
        <f>IF(AND(Audit_Data[[#This Row],[Recency]]&gt;=0,Audit_Data[[#This Row],[Recency]]&lt;=100),"Valid","Invalid")</f>
        <v>Valid</v>
      </c>
      <c r="AM2172" t="str">
        <f t="shared" si="435"/>
        <v>Valid</v>
      </c>
      <c r="AN2172" t="str">
        <f t="shared" si="436"/>
        <v>Valid</v>
      </c>
      <c r="AO2172" t="str">
        <f t="shared" si="437"/>
        <v>Valid</v>
      </c>
      <c r="AP2172" t="str">
        <f t="shared" si="438"/>
        <v>Valid</v>
      </c>
      <c r="AQ2172" t="str">
        <f>IF(Audit_Data[[#This Row],[Z_CostContact]]=3,"Valid","Invalid")</f>
        <v>Valid</v>
      </c>
      <c r="AR2172" t="str">
        <f t="shared" si="439"/>
        <v>Valid</v>
      </c>
      <c r="AS2172" t="str">
        <f t="shared" si="440"/>
        <v>Valid</v>
      </c>
    </row>
    <row r="2173" spans="1:45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 t="str">
        <f t="shared" si="429"/>
        <v>Ok</v>
      </c>
      <c r="AE2173" t="str">
        <f>IF(AND(Audit_Data[[#This Row],[Year_Birth]]&gt;=1900,Audit_Data[[#This Row],[Year_Birth]]&lt;=2010),"OK","Invalid")</f>
        <v>OK</v>
      </c>
      <c r="AF2173" t="str">
        <f t="shared" si="430"/>
        <v>Valid</v>
      </c>
      <c r="AG2173" t="str">
        <f t="shared" si="431"/>
        <v>Valid</v>
      </c>
      <c r="AH2173" t="str">
        <f t="shared" si="432"/>
        <v>Valid</v>
      </c>
      <c r="AI2173" t="str">
        <f t="shared" si="433"/>
        <v>Valid</v>
      </c>
      <c r="AJ2173" t="str">
        <f t="shared" si="434"/>
        <v>Valid</v>
      </c>
      <c r="AK2173" t="str">
        <f t="shared" si="441"/>
        <v xml:space="preserve">Valid </v>
      </c>
      <c r="AL2173" t="str">
        <f>IF(AND(Audit_Data[[#This Row],[Recency]]&gt;=0,Audit_Data[[#This Row],[Recency]]&lt;=100),"Valid","Invalid")</f>
        <v>Valid</v>
      </c>
      <c r="AM2173" t="str">
        <f t="shared" si="435"/>
        <v>Valid</v>
      </c>
      <c r="AN2173" t="str">
        <f t="shared" si="436"/>
        <v>Valid</v>
      </c>
      <c r="AO2173" t="str">
        <f t="shared" si="437"/>
        <v>Valid</v>
      </c>
      <c r="AP2173" t="str">
        <f t="shared" si="438"/>
        <v>Valid</v>
      </c>
      <c r="AQ2173" t="str">
        <f>IF(Audit_Data[[#This Row],[Z_CostContact]]=3,"Valid","Invalid")</f>
        <v>Valid</v>
      </c>
      <c r="AR2173" t="str">
        <f t="shared" si="439"/>
        <v>Valid</v>
      </c>
      <c r="AS2173" t="str">
        <f t="shared" si="440"/>
        <v>Valid</v>
      </c>
    </row>
    <row r="2174" spans="1:45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 t="str">
        <f t="shared" si="429"/>
        <v>Ok</v>
      </c>
      <c r="AE2174" t="str">
        <f>IF(AND(Audit_Data[[#This Row],[Year_Birth]]&gt;=1900,Audit_Data[[#This Row],[Year_Birth]]&lt;=2010),"OK","Invalid")</f>
        <v>OK</v>
      </c>
      <c r="AF2174" t="str">
        <f t="shared" si="430"/>
        <v>Valid</v>
      </c>
      <c r="AG2174" t="str">
        <f t="shared" si="431"/>
        <v>Valid</v>
      </c>
      <c r="AH2174" t="str">
        <f t="shared" si="432"/>
        <v>Valid</v>
      </c>
      <c r="AI2174" t="str">
        <f t="shared" si="433"/>
        <v>Valid</v>
      </c>
      <c r="AJ2174" t="str">
        <f t="shared" si="434"/>
        <v>Valid</v>
      </c>
      <c r="AK2174" t="str">
        <f t="shared" si="441"/>
        <v xml:space="preserve">Valid </v>
      </c>
      <c r="AL2174" t="str">
        <f>IF(AND(Audit_Data[[#This Row],[Recency]]&gt;=0,Audit_Data[[#This Row],[Recency]]&lt;=100),"Valid","Invalid")</f>
        <v>Valid</v>
      </c>
      <c r="AM2174" t="str">
        <f t="shared" si="435"/>
        <v>Valid</v>
      </c>
      <c r="AN2174" t="str">
        <f t="shared" si="436"/>
        <v>Valid</v>
      </c>
      <c r="AO2174" t="str">
        <f t="shared" si="437"/>
        <v>Valid</v>
      </c>
      <c r="AP2174" t="str">
        <f t="shared" si="438"/>
        <v>Valid</v>
      </c>
      <c r="AQ2174" t="str">
        <f>IF(Audit_Data[[#This Row],[Z_CostContact]]=3,"Valid","Invalid")</f>
        <v>Valid</v>
      </c>
      <c r="AR2174" t="str">
        <f t="shared" si="439"/>
        <v>Valid</v>
      </c>
      <c r="AS2174" t="str">
        <f t="shared" si="440"/>
        <v>Valid</v>
      </c>
    </row>
    <row r="2175" spans="1:45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 t="str">
        <f t="shared" si="429"/>
        <v>Ok</v>
      </c>
      <c r="AE2175" t="str">
        <f>IF(AND(Audit_Data[[#This Row],[Year_Birth]]&gt;=1900,Audit_Data[[#This Row],[Year_Birth]]&lt;=2010),"OK","Invalid")</f>
        <v>OK</v>
      </c>
      <c r="AF2175" t="str">
        <f t="shared" si="430"/>
        <v>Valid</v>
      </c>
      <c r="AG2175" t="str">
        <f t="shared" si="431"/>
        <v>Valid</v>
      </c>
      <c r="AH2175" t="str">
        <f t="shared" si="432"/>
        <v>Valid</v>
      </c>
      <c r="AI2175" t="str">
        <f t="shared" si="433"/>
        <v>Valid</v>
      </c>
      <c r="AJ2175" t="str">
        <f t="shared" si="434"/>
        <v>Valid</v>
      </c>
      <c r="AK2175" t="str">
        <f t="shared" si="441"/>
        <v xml:space="preserve">Valid </v>
      </c>
      <c r="AL2175" t="str">
        <f>IF(AND(Audit_Data[[#This Row],[Recency]]&gt;=0,Audit_Data[[#This Row],[Recency]]&lt;=100),"Valid","Invalid")</f>
        <v>Valid</v>
      </c>
      <c r="AM2175" t="str">
        <f t="shared" si="435"/>
        <v>Valid</v>
      </c>
      <c r="AN2175" t="str">
        <f t="shared" si="436"/>
        <v>Valid</v>
      </c>
      <c r="AO2175" t="str">
        <f t="shared" si="437"/>
        <v>Valid</v>
      </c>
      <c r="AP2175" t="str">
        <f t="shared" si="438"/>
        <v>Valid</v>
      </c>
      <c r="AQ2175" t="str">
        <f>IF(Audit_Data[[#This Row],[Z_CostContact]]=3,"Valid","Invalid")</f>
        <v>Valid</v>
      </c>
      <c r="AR2175" t="str">
        <f t="shared" si="439"/>
        <v>Valid</v>
      </c>
      <c r="AS2175" t="str">
        <f t="shared" si="440"/>
        <v>Valid</v>
      </c>
    </row>
    <row r="2176" spans="1:45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 t="str">
        <f t="shared" si="429"/>
        <v>Ok</v>
      </c>
      <c r="AE2176" t="str">
        <f>IF(AND(Audit_Data[[#This Row],[Year_Birth]]&gt;=1900,Audit_Data[[#This Row],[Year_Birth]]&lt;=2010),"OK","Invalid")</f>
        <v>OK</v>
      </c>
      <c r="AF2176" t="str">
        <f t="shared" si="430"/>
        <v>Valid</v>
      </c>
      <c r="AG2176" t="str">
        <f t="shared" si="431"/>
        <v>Valid</v>
      </c>
      <c r="AH2176" t="str">
        <f t="shared" si="432"/>
        <v>Valid</v>
      </c>
      <c r="AI2176" t="str">
        <f t="shared" si="433"/>
        <v>Valid</v>
      </c>
      <c r="AJ2176" t="str">
        <f t="shared" si="434"/>
        <v>Valid</v>
      </c>
      <c r="AK2176" t="str">
        <f t="shared" si="441"/>
        <v xml:space="preserve">Valid </v>
      </c>
      <c r="AL2176" t="str">
        <f>IF(AND(Audit_Data[[#This Row],[Recency]]&gt;=0,Audit_Data[[#This Row],[Recency]]&lt;=100),"Valid","Invalid")</f>
        <v>Valid</v>
      </c>
      <c r="AM2176" t="str">
        <f t="shared" si="435"/>
        <v>Valid</v>
      </c>
      <c r="AN2176" t="str">
        <f t="shared" si="436"/>
        <v>Valid</v>
      </c>
      <c r="AO2176" t="str">
        <f t="shared" si="437"/>
        <v>Valid</v>
      </c>
      <c r="AP2176" t="str">
        <f t="shared" si="438"/>
        <v>Valid</v>
      </c>
      <c r="AQ2176" t="str">
        <f>IF(Audit_Data[[#This Row],[Z_CostContact]]=3,"Valid","Invalid")</f>
        <v>Valid</v>
      </c>
      <c r="AR2176" t="str">
        <f t="shared" si="439"/>
        <v>Valid</v>
      </c>
      <c r="AS2176" t="str">
        <f t="shared" si="440"/>
        <v>Valid</v>
      </c>
    </row>
    <row r="2177" spans="1:45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 t="str">
        <f t="shared" si="429"/>
        <v>Ok</v>
      </c>
      <c r="AE2177" t="str">
        <f>IF(AND(Audit_Data[[#This Row],[Year_Birth]]&gt;=1900,Audit_Data[[#This Row],[Year_Birth]]&lt;=2010),"OK","Invalid")</f>
        <v>OK</v>
      </c>
      <c r="AF2177" t="str">
        <f t="shared" si="430"/>
        <v>Valid</v>
      </c>
      <c r="AG2177" t="str">
        <f t="shared" si="431"/>
        <v>Valid</v>
      </c>
      <c r="AH2177" t="str">
        <f t="shared" si="432"/>
        <v>Valid</v>
      </c>
      <c r="AI2177" t="str">
        <f t="shared" si="433"/>
        <v>Valid</v>
      </c>
      <c r="AJ2177" t="str">
        <f t="shared" si="434"/>
        <v>Valid</v>
      </c>
      <c r="AK2177" t="str">
        <f t="shared" si="441"/>
        <v xml:space="preserve">Valid </v>
      </c>
      <c r="AL2177" t="str">
        <f>IF(AND(Audit_Data[[#This Row],[Recency]]&gt;=0,Audit_Data[[#This Row],[Recency]]&lt;=100),"Valid","Invalid")</f>
        <v>Valid</v>
      </c>
      <c r="AM2177" t="str">
        <f t="shared" si="435"/>
        <v>Valid</v>
      </c>
      <c r="AN2177" t="str">
        <f t="shared" si="436"/>
        <v>Valid</v>
      </c>
      <c r="AO2177" t="str">
        <f t="shared" si="437"/>
        <v>Valid</v>
      </c>
      <c r="AP2177" t="str">
        <f t="shared" si="438"/>
        <v>Valid</v>
      </c>
      <c r="AQ2177" t="str">
        <f>IF(Audit_Data[[#This Row],[Z_CostContact]]=3,"Valid","Invalid")</f>
        <v>Valid</v>
      </c>
      <c r="AR2177" t="str">
        <f t="shared" si="439"/>
        <v>Valid</v>
      </c>
      <c r="AS2177" t="str">
        <f t="shared" si="440"/>
        <v>Valid</v>
      </c>
    </row>
    <row r="2178" spans="1:45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 t="str">
        <f t="shared" ref="AD2178:AD2241" si="442">IF(COUNTIF(A:A,A2178)&gt;1,"Duplicate","Ok")</f>
        <v>Ok</v>
      </c>
      <c r="AE2178" t="str">
        <f>IF(AND(Audit_Data[[#This Row],[Year_Birth]]&gt;=1900,Audit_Data[[#This Row],[Year_Birth]]&lt;=2010),"OK","Invalid")</f>
        <v>OK</v>
      </c>
      <c r="AF2178" t="str">
        <f t="shared" ref="AF2178:AF2241" si="443">IF(OR(C2178="Graduation",C2178="phD",C2178="Master",C2178="Basic",C2178="2n Cycle"),"Valid","Invalid")</f>
        <v>Valid</v>
      </c>
      <c r="AG2178" t="str">
        <f t="shared" ref="AG2178:AG2241" si="444">IF(OR(D2178="Single",D2178="Married",D2178="Divorced",D2178="Together",D2178="Widow",D2178="Alone"),"Valid","Invalid")</f>
        <v>Valid</v>
      </c>
      <c r="AH2178" t="str">
        <f t="shared" ref="AH2178:AH2241" si="445">IF(AND(ISNUMBER(E2178),E2178&lt;&gt;""),"Valid","Invalid")</f>
        <v>Valid</v>
      </c>
      <c r="AI2178" t="str">
        <f t="shared" ref="AI2178:AI2241" si="446">IF(AND(F2178&gt;=0,F2178&lt;=2),"Valid","Invalid")</f>
        <v>Valid</v>
      </c>
      <c r="AJ2178" t="str">
        <f t="shared" ref="AJ2178:AJ2241" si="447">IF(AND(G2178&gt;=0,G2178&lt;=2),"Valid","Invalid")</f>
        <v>Valid</v>
      </c>
      <c r="AK2178" t="str">
        <f t="shared" si="441"/>
        <v xml:space="preserve">Valid </v>
      </c>
      <c r="AL2178" t="str">
        <f>IF(AND(Audit_Data[[#This Row],[Recency]]&gt;=0,Audit_Data[[#This Row],[Recency]]&lt;=100),"Valid","Invalid")</f>
        <v>Valid</v>
      </c>
      <c r="AM2178" t="str">
        <f t="shared" ref="AM2178:AM2241" si="448">IF(AND(ISNUMBER(J2178),J2178&gt;=0,ISNUMBER(K2178),K2178&gt;=0,ISNUMBER(L2178),L2178&gt;=0,ISNUMBER(M2178),M2178&gt;=0,ISNUMBER(N2178),N2178&gt;=0,ISNUMBER(O2178),O2178&gt;=0),"Valid","Invalid")</f>
        <v>Valid</v>
      </c>
      <c r="AN2178" t="str">
        <f t="shared" ref="AN2178:AN2241" si="449">IF(AND(ISNUMBER(P2178),P2178&gt;=0,ISNUMBER(Q2178),Q2178&gt;=0,ISNUMBER(R2178),R2178&gt;=0,ISNUMBER(S2178),S2178&gt;=0,ISNUMBER(T2178),T2178&gt;=0),"Valid","Invalid")</f>
        <v>Valid</v>
      </c>
      <c r="AO2178" t="str">
        <f t="shared" ref="AO2178:AO2241" si="450">IF(AND(U2178&lt;=1,V2178&lt;=1,W2178&lt;=1,X2178&lt;=1,Y2178&lt;=1),"Valid","Invalid")</f>
        <v>Valid</v>
      </c>
      <c r="AP2178" t="str">
        <f t="shared" ref="AP2178:AP2241" si="451">IF(OR(Z2178=0,Z2178=1),"Valid","Invalid")</f>
        <v>Valid</v>
      </c>
      <c r="AQ2178" t="str">
        <f>IF(Audit_Data[[#This Row],[Z_CostContact]]=3,"Valid","Invalid")</f>
        <v>Valid</v>
      </c>
      <c r="AR2178" t="str">
        <f t="shared" ref="AR2178:AR2241" si="452">IF(AB2178=11,"Valid","Invalid")</f>
        <v>Valid</v>
      </c>
      <c r="AS2178" t="str">
        <f t="shared" ref="AS2178:AS2241" si="453">IF(OR(AC2178=0,AC2178=1),"Valid","Invalid")</f>
        <v>Valid</v>
      </c>
    </row>
    <row r="2179" spans="1:45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 t="str">
        <f t="shared" si="442"/>
        <v>Ok</v>
      </c>
      <c r="AE2179" t="str">
        <f>IF(AND(Audit_Data[[#This Row],[Year_Birth]]&gt;=1900,Audit_Data[[#This Row],[Year_Birth]]&lt;=2010),"OK","Invalid")</f>
        <v>OK</v>
      </c>
      <c r="AF2179" t="str">
        <f t="shared" si="443"/>
        <v>Valid</v>
      </c>
      <c r="AG2179" t="str">
        <f t="shared" si="444"/>
        <v>Invalid</v>
      </c>
      <c r="AH2179" t="str">
        <f t="shared" si="445"/>
        <v>Valid</v>
      </c>
      <c r="AI2179" t="str">
        <f t="shared" si="446"/>
        <v>Valid</v>
      </c>
      <c r="AJ2179" t="str">
        <f t="shared" si="447"/>
        <v>Valid</v>
      </c>
      <c r="AK2179" t="str">
        <f t="shared" ref="AK2179:AK2241" si="454">IF(AND(ISNUMBER(H2179),H2179&gt;=DATE(2012,1,1),H2179&lt;=DATE(2014,12,31)),"Valid ","Invalid")</f>
        <v xml:space="preserve">Valid </v>
      </c>
      <c r="AL2179" t="str">
        <f>IF(AND(Audit_Data[[#This Row],[Recency]]&gt;=0,Audit_Data[[#This Row],[Recency]]&lt;=100),"Valid","Invalid")</f>
        <v>Valid</v>
      </c>
      <c r="AM2179" t="str">
        <f t="shared" si="448"/>
        <v>Valid</v>
      </c>
      <c r="AN2179" t="str">
        <f t="shared" si="449"/>
        <v>Valid</v>
      </c>
      <c r="AO2179" t="str">
        <f t="shared" si="450"/>
        <v>Valid</v>
      </c>
      <c r="AP2179" t="str">
        <f t="shared" si="451"/>
        <v>Valid</v>
      </c>
      <c r="AQ2179" t="str">
        <f>IF(Audit_Data[[#This Row],[Z_CostContact]]=3,"Valid","Invalid")</f>
        <v>Valid</v>
      </c>
      <c r="AR2179" t="str">
        <f t="shared" si="452"/>
        <v>Valid</v>
      </c>
      <c r="AS2179" t="str">
        <f t="shared" si="453"/>
        <v>Valid</v>
      </c>
    </row>
    <row r="2180" spans="1:45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 t="str">
        <f t="shared" si="442"/>
        <v>Ok</v>
      </c>
      <c r="AE2180" t="str">
        <f>IF(AND(Audit_Data[[#This Row],[Year_Birth]]&gt;=1900,Audit_Data[[#This Row],[Year_Birth]]&lt;=2010),"OK","Invalid")</f>
        <v>OK</v>
      </c>
      <c r="AF2180" t="str">
        <f t="shared" si="443"/>
        <v>Valid</v>
      </c>
      <c r="AG2180" t="str">
        <f t="shared" si="444"/>
        <v>Valid</v>
      </c>
      <c r="AH2180" t="str">
        <f t="shared" si="445"/>
        <v>Valid</v>
      </c>
      <c r="AI2180" t="str">
        <f t="shared" si="446"/>
        <v>Valid</v>
      </c>
      <c r="AJ2180" t="str">
        <f t="shared" si="447"/>
        <v>Valid</v>
      </c>
      <c r="AK2180" t="str">
        <f t="shared" si="454"/>
        <v xml:space="preserve">Valid </v>
      </c>
      <c r="AL2180" t="str">
        <f>IF(AND(Audit_Data[[#This Row],[Recency]]&gt;=0,Audit_Data[[#This Row],[Recency]]&lt;=100),"Valid","Invalid")</f>
        <v>Valid</v>
      </c>
      <c r="AM2180" t="str">
        <f t="shared" si="448"/>
        <v>Valid</v>
      </c>
      <c r="AN2180" t="str">
        <f t="shared" si="449"/>
        <v>Valid</v>
      </c>
      <c r="AO2180" t="str">
        <f t="shared" si="450"/>
        <v>Valid</v>
      </c>
      <c r="AP2180" t="str">
        <f t="shared" si="451"/>
        <v>Valid</v>
      </c>
      <c r="AQ2180" t="str">
        <f>IF(Audit_Data[[#This Row],[Z_CostContact]]=3,"Valid","Invalid")</f>
        <v>Valid</v>
      </c>
      <c r="AR2180" t="str">
        <f t="shared" si="452"/>
        <v>Valid</v>
      </c>
      <c r="AS2180" t="str">
        <f t="shared" si="453"/>
        <v>Valid</v>
      </c>
    </row>
    <row r="2181" spans="1:45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 t="str">
        <f t="shared" si="442"/>
        <v>Ok</v>
      </c>
      <c r="AE2181" t="str">
        <f>IF(AND(Audit_Data[[#This Row],[Year_Birth]]&gt;=1900,Audit_Data[[#This Row],[Year_Birth]]&lt;=2010),"OK","Invalid")</f>
        <v>OK</v>
      </c>
      <c r="AF2181" t="str">
        <f t="shared" si="443"/>
        <v>Valid</v>
      </c>
      <c r="AG2181" t="str">
        <f t="shared" si="444"/>
        <v>Valid</v>
      </c>
      <c r="AH2181" t="str">
        <f t="shared" si="445"/>
        <v>Valid</v>
      </c>
      <c r="AI2181" t="str">
        <f t="shared" si="446"/>
        <v>Valid</v>
      </c>
      <c r="AJ2181" t="str">
        <f t="shared" si="447"/>
        <v>Valid</v>
      </c>
      <c r="AK2181" t="str">
        <f t="shared" si="454"/>
        <v xml:space="preserve">Valid </v>
      </c>
      <c r="AL2181" t="str">
        <f>IF(AND(Audit_Data[[#This Row],[Recency]]&gt;=0,Audit_Data[[#This Row],[Recency]]&lt;=100),"Valid","Invalid")</f>
        <v>Valid</v>
      </c>
      <c r="AM2181" t="str">
        <f t="shared" si="448"/>
        <v>Valid</v>
      </c>
      <c r="AN2181" t="str">
        <f t="shared" si="449"/>
        <v>Valid</v>
      </c>
      <c r="AO2181" t="str">
        <f t="shared" si="450"/>
        <v>Valid</v>
      </c>
      <c r="AP2181" t="str">
        <f t="shared" si="451"/>
        <v>Valid</v>
      </c>
      <c r="AQ2181" t="str">
        <f>IF(Audit_Data[[#This Row],[Z_CostContact]]=3,"Valid","Invalid")</f>
        <v>Valid</v>
      </c>
      <c r="AR2181" t="str">
        <f t="shared" si="452"/>
        <v>Valid</v>
      </c>
      <c r="AS2181" t="str">
        <f t="shared" si="453"/>
        <v>Valid</v>
      </c>
    </row>
    <row r="2182" spans="1:45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 t="str">
        <f t="shared" si="442"/>
        <v>Ok</v>
      </c>
      <c r="AE2182" t="str">
        <f>IF(AND(Audit_Data[[#This Row],[Year_Birth]]&gt;=1900,Audit_Data[[#This Row],[Year_Birth]]&lt;=2010),"OK","Invalid")</f>
        <v>OK</v>
      </c>
      <c r="AF2182" t="str">
        <f t="shared" si="443"/>
        <v>Valid</v>
      </c>
      <c r="AG2182" t="str">
        <f t="shared" si="444"/>
        <v>Valid</v>
      </c>
      <c r="AH2182" t="str">
        <f t="shared" si="445"/>
        <v>Valid</v>
      </c>
      <c r="AI2182" t="str">
        <f t="shared" si="446"/>
        <v>Valid</v>
      </c>
      <c r="AJ2182" t="str">
        <f t="shared" si="447"/>
        <v>Valid</v>
      </c>
      <c r="AK2182" t="str">
        <f t="shared" si="454"/>
        <v xml:space="preserve">Valid </v>
      </c>
      <c r="AL2182" t="str">
        <f>IF(AND(Audit_Data[[#This Row],[Recency]]&gt;=0,Audit_Data[[#This Row],[Recency]]&lt;=100),"Valid","Invalid")</f>
        <v>Valid</v>
      </c>
      <c r="AM2182" t="str">
        <f t="shared" si="448"/>
        <v>Valid</v>
      </c>
      <c r="AN2182" t="str">
        <f t="shared" si="449"/>
        <v>Valid</v>
      </c>
      <c r="AO2182" t="str">
        <f t="shared" si="450"/>
        <v>Valid</v>
      </c>
      <c r="AP2182" t="str">
        <f t="shared" si="451"/>
        <v>Valid</v>
      </c>
      <c r="AQ2182" t="str">
        <f>IF(Audit_Data[[#This Row],[Z_CostContact]]=3,"Valid","Invalid")</f>
        <v>Valid</v>
      </c>
      <c r="AR2182" t="str">
        <f t="shared" si="452"/>
        <v>Valid</v>
      </c>
      <c r="AS2182" t="str">
        <f t="shared" si="453"/>
        <v>Valid</v>
      </c>
    </row>
    <row r="2183" spans="1:45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 t="str">
        <f t="shared" si="442"/>
        <v>Ok</v>
      </c>
      <c r="AE2183" t="str">
        <f>IF(AND(Audit_Data[[#This Row],[Year_Birth]]&gt;=1900,Audit_Data[[#This Row],[Year_Birth]]&lt;=2010),"OK","Invalid")</f>
        <v>OK</v>
      </c>
      <c r="AF2183" t="str">
        <f t="shared" si="443"/>
        <v>Valid</v>
      </c>
      <c r="AG2183" t="str">
        <f t="shared" si="444"/>
        <v>Valid</v>
      </c>
      <c r="AH2183" t="str">
        <f t="shared" si="445"/>
        <v>Valid</v>
      </c>
      <c r="AI2183" t="str">
        <f t="shared" si="446"/>
        <v>Valid</v>
      </c>
      <c r="AJ2183" t="str">
        <f t="shared" si="447"/>
        <v>Valid</v>
      </c>
      <c r="AK2183" t="str">
        <f t="shared" si="454"/>
        <v xml:space="preserve">Valid </v>
      </c>
      <c r="AL2183" t="str">
        <f>IF(AND(Audit_Data[[#This Row],[Recency]]&gt;=0,Audit_Data[[#This Row],[Recency]]&lt;=100),"Valid","Invalid")</f>
        <v>Valid</v>
      </c>
      <c r="AM2183" t="str">
        <f t="shared" si="448"/>
        <v>Valid</v>
      </c>
      <c r="AN2183" t="str">
        <f t="shared" si="449"/>
        <v>Valid</v>
      </c>
      <c r="AO2183" t="str">
        <f t="shared" si="450"/>
        <v>Valid</v>
      </c>
      <c r="AP2183" t="str">
        <f t="shared" si="451"/>
        <v>Valid</v>
      </c>
      <c r="AQ2183" t="str">
        <f>IF(Audit_Data[[#This Row],[Z_CostContact]]=3,"Valid","Invalid")</f>
        <v>Valid</v>
      </c>
      <c r="AR2183" t="str">
        <f t="shared" si="452"/>
        <v>Valid</v>
      </c>
      <c r="AS2183" t="str">
        <f t="shared" si="453"/>
        <v>Valid</v>
      </c>
    </row>
    <row r="2184" spans="1:45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 t="str">
        <f t="shared" si="442"/>
        <v>Ok</v>
      </c>
      <c r="AE2184" t="str">
        <f>IF(AND(Audit_Data[[#This Row],[Year_Birth]]&gt;=1900,Audit_Data[[#This Row],[Year_Birth]]&lt;=2010),"OK","Invalid")</f>
        <v>OK</v>
      </c>
      <c r="AF2184" t="str">
        <f t="shared" si="443"/>
        <v>Valid</v>
      </c>
      <c r="AG2184" t="str">
        <f t="shared" si="444"/>
        <v>Valid</v>
      </c>
      <c r="AH2184" t="str">
        <f t="shared" si="445"/>
        <v>Valid</v>
      </c>
      <c r="AI2184" t="str">
        <f t="shared" si="446"/>
        <v>Valid</v>
      </c>
      <c r="AJ2184" t="str">
        <f t="shared" si="447"/>
        <v>Valid</v>
      </c>
      <c r="AK2184" t="str">
        <f t="shared" si="454"/>
        <v xml:space="preserve">Valid </v>
      </c>
      <c r="AL2184" t="str">
        <f>IF(AND(Audit_Data[[#This Row],[Recency]]&gt;=0,Audit_Data[[#This Row],[Recency]]&lt;=100),"Valid","Invalid")</f>
        <v>Valid</v>
      </c>
      <c r="AM2184" t="str">
        <f t="shared" si="448"/>
        <v>Valid</v>
      </c>
      <c r="AN2184" t="str">
        <f t="shared" si="449"/>
        <v>Valid</v>
      </c>
      <c r="AO2184" t="str">
        <f t="shared" si="450"/>
        <v>Valid</v>
      </c>
      <c r="AP2184" t="str">
        <f t="shared" si="451"/>
        <v>Valid</v>
      </c>
      <c r="AQ2184" t="str">
        <f>IF(Audit_Data[[#This Row],[Z_CostContact]]=3,"Valid","Invalid")</f>
        <v>Valid</v>
      </c>
      <c r="AR2184" t="str">
        <f t="shared" si="452"/>
        <v>Valid</v>
      </c>
      <c r="AS2184" t="str">
        <f t="shared" si="453"/>
        <v>Valid</v>
      </c>
    </row>
    <row r="2185" spans="1:45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 t="str">
        <f t="shared" si="442"/>
        <v>Ok</v>
      </c>
      <c r="AE2185" t="str">
        <f>IF(AND(Audit_Data[[#This Row],[Year_Birth]]&gt;=1900,Audit_Data[[#This Row],[Year_Birth]]&lt;=2010),"OK","Invalid")</f>
        <v>OK</v>
      </c>
      <c r="AF2185" t="str">
        <f t="shared" si="443"/>
        <v>Valid</v>
      </c>
      <c r="AG2185" t="str">
        <f t="shared" si="444"/>
        <v>Valid</v>
      </c>
      <c r="AH2185" t="str">
        <f t="shared" si="445"/>
        <v>Valid</v>
      </c>
      <c r="AI2185" t="str">
        <f t="shared" si="446"/>
        <v>Valid</v>
      </c>
      <c r="AJ2185" t="str">
        <f t="shared" si="447"/>
        <v>Valid</v>
      </c>
      <c r="AK2185" t="str">
        <f t="shared" si="454"/>
        <v xml:space="preserve">Valid </v>
      </c>
      <c r="AL2185" t="str">
        <f>IF(AND(Audit_Data[[#This Row],[Recency]]&gt;=0,Audit_Data[[#This Row],[Recency]]&lt;=100),"Valid","Invalid")</f>
        <v>Valid</v>
      </c>
      <c r="AM2185" t="str">
        <f t="shared" si="448"/>
        <v>Valid</v>
      </c>
      <c r="AN2185" t="str">
        <f t="shared" si="449"/>
        <v>Valid</v>
      </c>
      <c r="AO2185" t="str">
        <f t="shared" si="450"/>
        <v>Valid</v>
      </c>
      <c r="AP2185" t="str">
        <f t="shared" si="451"/>
        <v>Valid</v>
      </c>
      <c r="AQ2185" t="str">
        <f>IF(Audit_Data[[#This Row],[Z_CostContact]]=3,"Valid","Invalid")</f>
        <v>Valid</v>
      </c>
      <c r="AR2185" t="str">
        <f t="shared" si="452"/>
        <v>Valid</v>
      </c>
      <c r="AS2185" t="str">
        <f t="shared" si="453"/>
        <v>Valid</v>
      </c>
    </row>
    <row r="2186" spans="1:45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 t="str">
        <f t="shared" si="442"/>
        <v>Ok</v>
      </c>
      <c r="AE2186" t="str">
        <f>IF(AND(Audit_Data[[#This Row],[Year_Birth]]&gt;=1900,Audit_Data[[#This Row],[Year_Birth]]&lt;=2010),"OK","Invalid")</f>
        <v>OK</v>
      </c>
      <c r="AF2186" t="str">
        <f t="shared" si="443"/>
        <v>Valid</v>
      </c>
      <c r="AG2186" t="str">
        <f t="shared" si="444"/>
        <v>Valid</v>
      </c>
      <c r="AH2186" t="str">
        <f t="shared" si="445"/>
        <v>Valid</v>
      </c>
      <c r="AI2186" t="str">
        <f t="shared" si="446"/>
        <v>Valid</v>
      </c>
      <c r="AJ2186" t="str">
        <f t="shared" si="447"/>
        <v>Valid</v>
      </c>
      <c r="AK2186" t="str">
        <f t="shared" si="454"/>
        <v xml:space="preserve">Valid </v>
      </c>
      <c r="AL2186" t="str">
        <f>IF(AND(Audit_Data[[#This Row],[Recency]]&gt;=0,Audit_Data[[#This Row],[Recency]]&lt;=100),"Valid","Invalid")</f>
        <v>Valid</v>
      </c>
      <c r="AM2186" t="str">
        <f t="shared" si="448"/>
        <v>Valid</v>
      </c>
      <c r="AN2186" t="str">
        <f t="shared" si="449"/>
        <v>Valid</v>
      </c>
      <c r="AO2186" t="str">
        <f t="shared" si="450"/>
        <v>Valid</v>
      </c>
      <c r="AP2186" t="str">
        <f t="shared" si="451"/>
        <v>Valid</v>
      </c>
      <c r="AQ2186" t="str">
        <f>IF(Audit_Data[[#This Row],[Z_CostContact]]=3,"Valid","Invalid")</f>
        <v>Valid</v>
      </c>
      <c r="AR2186" t="str">
        <f t="shared" si="452"/>
        <v>Valid</v>
      </c>
      <c r="AS2186" t="str">
        <f t="shared" si="453"/>
        <v>Valid</v>
      </c>
    </row>
    <row r="2187" spans="1:45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 t="str">
        <f t="shared" si="442"/>
        <v>Ok</v>
      </c>
      <c r="AE2187" t="str">
        <f>IF(AND(Audit_Data[[#This Row],[Year_Birth]]&gt;=1900,Audit_Data[[#This Row],[Year_Birth]]&lt;=2010),"OK","Invalid")</f>
        <v>OK</v>
      </c>
      <c r="AF2187" t="str">
        <f t="shared" si="443"/>
        <v>Valid</v>
      </c>
      <c r="AG2187" t="str">
        <f t="shared" si="444"/>
        <v>Valid</v>
      </c>
      <c r="AH2187" t="str">
        <f t="shared" si="445"/>
        <v>Valid</v>
      </c>
      <c r="AI2187" t="str">
        <f t="shared" si="446"/>
        <v>Valid</v>
      </c>
      <c r="AJ2187" t="str">
        <f t="shared" si="447"/>
        <v>Valid</v>
      </c>
      <c r="AK2187" t="str">
        <f t="shared" si="454"/>
        <v xml:space="preserve">Valid </v>
      </c>
      <c r="AL2187" t="str">
        <f>IF(AND(Audit_Data[[#This Row],[Recency]]&gt;=0,Audit_Data[[#This Row],[Recency]]&lt;=100),"Valid","Invalid")</f>
        <v>Valid</v>
      </c>
      <c r="AM2187" t="str">
        <f t="shared" si="448"/>
        <v>Valid</v>
      </c>
      <c r="AN2187" t="str">
        <f t="shared" si="449"/>
        <v>Valid</v>
      </c>
      <c r="AO2187" t="str">
        <f t="shared" si="450"/>
        <v>Valid</v>
      </c>
      <c r="AP2187" t="str">
        <f t="shared" si="451"/>
        <v>Valid</v>
      </c>
      <c r="AQ2187" t="str">
        <f>IF(Audit_Data[[#This Row],[Z_CostContact]]=3,"Valid","Invalid")</f>
        <v>Valid</v>
      </c>
      <c r="AR2187" t="str">
        <f t="shared" si="452"/>
        <v>Valid</v>
      </c>
      <c r="AS2187" t="str">
        <f t="shared" si="453"/>
        <v>Valid</v>
      </c>
    </row>
    <row r="2188" spans="1:45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 t="str">
        <f t="shared" si="442"/>
        <v>Ok</v>
      </c>
      <c r="AE2188" t="str">
        <f>IF(AND(Audit_Data[[#This Row],[Year_Birth]]&gt;=1900,Audit_Data[[#This Row],[Year_Birth]]&lt;=2010),"OK","Invalid")</f>
        <v>OK</v>
      </c>
      <c r="AF2188" t="str">
        <f t="shared" si="443"/>
        <v>Valid</v>
      </c>
      <c r="AG2188" t="str">
        <f t="shared" si="444"/>
        <v>Valid</v>
      </c>
      <c r="AH2188" t="str">
        <f t="shared" si="445"/>
        <v>Valid</v>
      </c>
      <c r="AI2188" t="str">
        <f t="shared" si="446"/>
        <v>Valid</v>
      </c>
      <c r="AJ2188" t="str">
        <f t="shared" si="447"/>
        <v>Valid</v>
      </c>
      <c r="AK2188" t="str">
        <f t="shared" si="454"/>
        <v xml:space="preserve">Valid </v>
      </c>
      <c r="AL2188" t="str">
        <f>IF(AND(Audit_Data[[#This Row],[Recency]]&gt;=0,Audit_Data[[#This Row],[Recency]]&lt;=100),"Valid","Invalid")</f>
        <v>Valid</v>
      </c>
      <c r="AM2188" t="str">
        <f t="shared" si="448"/>
        <v>Valid</v>
      </c>
      <c r="AN2188" t="str">
        <f t="shared" si="449"/>
        <v>Valid</v>
      </c>
      <c r="AO2188" t="str">
        <f t="shared" si="450"/>
        <v>Valid</v>
      </c>
      <c r="AP2188" t="str">
        <f t="shared" si="451"/>
        <v>Valid</v>
      </c>
      <c r="AQ2188" t="str">
        <f>IF(Audit_Data[[#This Row],[Z_CostContact]]=3,"Valid","Invalid")</f>
        <v>Valid</v>
      </c>
      <c r="AR2188" t="str">
        <f t="shared" si="452"/>
        <v>Valid</v>
      </c>
      <c r="AS2188" t="str">
        <f t="shared" si="453"/>
        <v>Valid</v>
      </c>
    </row>
    <row r="2189" spans="1:45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 t="str">
        <f t="shared" si="442"/>
        <v>Ok</v>
      </c>
      <c r="AE2189" t="str">
        <f>IF(AND(Audit_Data[[#This Row],[Year_Birth]]&gt;=1900,Audit_Data[[#This Row],[Year_Birth]]&lt;=2010),"OK","Invalid")</f>
        <v>OK</v>
      </c>
      <c r="AF2189" t="str">
        <f t="shared" si="443"/>
        <v>Valid</v>
      </c>
      <c r="AG2189" t="str">
        <f t="shared" si="444"/>
        <v>Valid</v>
      </c>
      <c r="AH2189" t="str">
        <f t="shared" si="445"/>
        <v>Valid</v>
      </c>
      <c r="AI2189" t="str">
        <f t="shared" si="446"/>
        <v>Valid</v>
      </c>
      <c r="AJ2189" t="str">
        <f t="shared" si="447"/>
        <v>Valid</v>
      </c>
      <c r="AK2189" t="str">
        <f t="shared" si="454"/>
        <v xml:space="preserve">Valid </v>
      </c>
      <c r="AL2189" t="str">
        <f>IF(AND(Audit_Data[[#This Row],[Recency]]&gt;=0,Audit_Data[[#This Row],[Recency]]&lt;=100),"Valid","Invalid")</f>
        <v>Valid</v>
      </c>
      <c r="AM2189" t="str">
        <f t="shared" si="448"/>
        <v>Valid</v>
      </c>
      <c r="AN2189" t="str">
        <f t="shared" si="449"/>
        <v>Valid</v>
      </c>
      <c r="AO2189" t="str">
        <f t="shared" si="450"/>
        <v>Valid</v>
      </c>
      <c r="AP2189" t="str">
        <f t="shared" si="451"/>
        <v>Valid</v>
      </c>
      <c r="AQ2189" t="str">
        <f>IF(Audit_Data[[#This Row],[Z_CostContact]]=3,"Valid","Invalid")</f>
        <v>Valid</v>
      </c>
      <c r="AR2189" t="str">
        <f t="shared" si="452"/>
        <v>Valid</v>
      </c>
      <c r="AS2189" t="str">
        <f t="shared" si="453"/>
        <v>Valid</v>
      </c>
    </row>
    <row r="2190" spans="1:45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 t="str">
        <f t="shared" si="442"/>
        <v>Ok</v>
      </c>
      <c r="AE2190" t="str">
        <f>IF(AND(Audit_Data[[#This Row],[Year_Birth]]&gt;=1900,Audit_Data[[#This Row],[Year_Birth]]&lt;=2010),"OK","Invalid")</f>
        <v>OK</v>
      </c>
      <c r="AF2190" t="str">
        <f t="shared" si="443"/>
        <v>Valid</v>
      </c>
      <c r="AG2190" t="str">
        <f t="shared" si="444"/>
        <v>Valid</v>
      </c>
      <c r="AH2190" t="str">
        <f t="shared" si="445"/>
        <v>Valid</v>
      </c>
      <c r="AI2190" t="str">
        <f t="shared" si="446"/>
        <v>Valid</v>
      </c>
      <c r="AJ2190" t="str">
        <f t="shared" si="447"/>
        <v>Valid</v>
      </c>
      <c r="AK2190" t="str">
        <f t="shared" si="454"/>
        <v xml:space="preserve">Valid </v>
      </c>
      <c r="AL2190" t="str">
        <f>IF(AND(Audit_Data[[#This Row],[Recency]]&gt;=0,Audit_Data[[#This Row],[Recency]]&lt;=100),"Valid","Invalid")</f>
        <v>Valid</v>
      </c>
      <c r="AM2190" t="str">
        <f t="shared" si="448"/>
        <v>Valid</v>
      </c>
      <c r="AN2190" t="str">
        <f t="shared" si="449"/>
        <v>Valid</v>
      </c>
      <c r="AO2190" t="str">
        <f t="shared" si="450"/>
        <v>Valid</v>
      </c>
      <c r="AP2190" t="str">
        <f t="shared" si="451"/>
        <v>Valid</v>
      </c>
      <c r="AQ2190" t="str">
        <f>IF(Audit_Data[[#This Row],[Z_CostContact]]=3,"Valid","Invalid")</f>
        <v>Valid</v>
      </c>
      <c r="AR2190" t="str">
        <f t="shared" si="452"/>
        <v>Valid</v>
      </c>
      <c r="AS2190" t="str">
        <f t="shared" si="453"/>
        <v>Valid</v>
      </c>
    </row>
    <row r="2191" spans="1:45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 t="str">
        <f t="shared" si="442"/>
        <v>Ok</v>
      </c>
      <c r="AE2191" t="str">
        <f>IF(AND(Audit_Data[[#This Row],[Year_Birth]]&gt;=1900,Audit_Data[[#This Row],[Year_Birth]]&lt;=2010),"OK","Invalid")</f>
        <v>OK</v>
      </c>
      <c r="AF2191" t="str">
        <f t="shared" si="443"/>
        <v>Valid</v>
      </c>
      <c r="AG2191" t="str">
        <f t="shared" si="444"/>
        <v>Valid</v>
      </c>
      <c r="AH2191" t="str">
        <f t="shared" si="445"/>
        <v>Valid</v>
      </c>
      <c r="AI2191" t="str">
        <f t="shared" si="446"/>
        <v>Valid</v>
      </c>
      <c r="AJ2191" t="str">
        <f t="shared" si="447"/>
        <v>Valid</v>
      </c>
      <c r="AK2191" t="str">
        <f t="shared" si="454"/>
        <v xml:space="preserve">Valid </v>
      </c>
      <c r="AL2191" t="str">
        <f>IF(AND(Audit_Data[[#This Row],[Recency]]&gt;=0,Audit_Data[[#This Row],[Recency]]&lt;=100),"Valid","Invalid")</f>
        <v>Valid</v>
      </c>
      <c r="AM2191" t="str">
        <f t="shared" si="448"/>
        <v>Valid</v>
      </c>
      <c r="AN2191" t="str">
        <f t="shared" si="449"/>
        <v>Valid</v>
      </c>
      <c r="AO2191" t="str">
        <f t="shared" si="450"/>
        <v>Valid</v>
      </c>
      <c r="AP2191" t="str">
        <f t="shared" si="451"/>
        <v>Valid</v>
      </c>
      <c r="AQ2191" t="str">
        <f>IF(Audit_Data[[#This Row],[Z_CostContact]]=3,"Valid","Invalid")</f>
        <v>Valid</v>
      </c>
      <c r="AR2191" t="str">
        <f t="shared" si="452"/>
        <v>Valid</v>
      </c>
      <c r="AS2191" t="str">
        <f t="shared" si="453"/>
        <v>Valid</v>
      </c>
    </row>
    <row r="2192" spans="1:45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 t="str">
        <f t="shared" si="442"/>
        <v>Ok</v>
      </c>
      <c r="AE2192" t="str">
        <f>IF(AND(Audit_Data[[#This Row],[Year_Birth]]&gt;=1900,Audit_Data[[#This Row],[Year_Birth]]&lt;=2010),"OK","Invalid")</f>
        <v>OK</v>
      </c>
      <c r="AF2192" t="str">
        <f t="shared" si="443"/>
        <v>Valid</v>
      </c>
      <c r="AG2192" t="str">
        <f t="shared" si="444"/>
        <v>Valid</v>
      </c>
      <c r="AH2192" t="str">
        <f t="shared" si="445"/>
        <v>Valid</v>
      </c>
      <c r="AI2192" t="str">
        <f t="shared" si="446"/>
        <v>Valid</v>
      </c>
      <c r="AJ2192" t="str">
        <f t="shared" si="447"/>
        <v>Valid</v>
      </c>
      <c r="AK2192" t="str">
        <f t="shared" si="454"/>
        <v xml:space="preserve">Valid </v>
      </c>
      <c r="AL2192" t="str">
        <f>IF(AND(Audit_Data[[#This Row],[Recency]]&gt;=0,Audit_Data[[#This Row],[Recency]]&lt;=100),"Valid","Invalid")</f>
        <v>Valid</v>
      </c>
      <c r="AM2192" t="str">
        <f t="shared" si="448"/>
        <v>Valid</v>
      </c>
      <c r="AN2192" t="str">
        <f t="shared" si="449"/>
        <v>Valid</v>
      </c>
      <c r="AO2192" t="str">
        <f t="shared" si="450"/>
        <v>Valid</v>
      </c>
      <c r="AP2192" t="str">
        <f t="shared" si="451"/>
        <v>Valid</v>
      </c>
      <c r="AQ2192" t="str">
        <f>IF(Audit_Data[[#This Row],[Z_CostContact]]=3,"Valid","Invalid")</f>
        <v>Valid</v>
      </c>
      <c r="AR2192" t="str">
        <f t="shared" si="452"/>
        <v>Valid</v>
      </c>
      <c r="AS2192" t="str">
        <f t="shared" si="453"/>
        <v>Valid</v>
      </c>
    </row>
    <row r="2193" spans="1:45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 t="str">
        <f t="shared" si="442"/>
        <v>Ok</v>
      </c>
      <c r="AE2193" t="str">
        <f>IF(AND(Audit_Data[[#This Row],[Year_Birth]]&gt;=1900,Audit_Data[[#This Row],[Year_Birth]]&lt;=2010),"OK","Invalid")</f>
        <v>OK</v>
      </c>
      <c r="AF2193" t="str">
        <f t="shared" si="443"/>
        <v>Valid</v>
      </c>
      <c r="AG2193" t="str">
        <f t="shared" si="444"/>
        <v>Valid</v>
      </c>
      <c r="AH2193" t="str">
        <f t="shared" si="445"/>
        <v>Valid</v>
      </c>
      <c r="AI2193" t="str">
        <f t="shared" si="446"/>
        <v>Valid</v>
      </c>
      <c r="AJ2193" t="str">
        <f t="shared" si="447"/>
        <v>Valid</v>
      </c>
      <c r="AK2193" t="str">
        <f t="shared" si="454"/>
        <v xml:space="preserve">Valid </v>
      </c>
      <c r="AL2193" t="str">
        <f>IF(AND(Audit_Data[[#This Row],[Recency]]&gt;=0,Audit_Data[[#This Row],[Recency]]&lt;=100),"Valid","Invalid")</f>
        <v>Valid</v>
      </c>
      <c r="AM2193" t="str">
        <f t="shared" si="448"/>
        <v>Valid</v>
      </c>
      <c r="AN2193" t="str">
        <f t="shared" si="449"/>
        <v>Valid</v>
      </c>
      <c r="AO2193" t="str">
        <f t="shared" si="450"/>
        <v>Valid</v>
      </c>
      <c r="AP2193" t="str">
        <f t="shared" si="451"/>
        <v>Valid</v>
      </c>
      <c r="AQ2193" t="str">
        <f>IF(Audit_Data[[#This Row],[Z_CostContact]]=3,"Valid","Invalid")</f>
        <v>Valid</v>
      </c>
      <c r="AR2193" t="str">
        <f t="shared" si="452"/>
        <v>Valid</v>
      </c>
      <c r="AS2193" t="str">
        <f t="shared" si="453"/>
        <v>Valid</v>
      </c>
    </row>
    <row r="2194" spans="1:45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 t="str">
        <f t="shared" si="442"/>
        <v>Ok</v>
      </c>
      <c r="AE2194" t="str">
        <f>IF(AND(Audit_Data[[#This Row],[Year_Birth]]&gt;=1900,Audit_Data[[#This Row],[Year_Birth]]&lt;=2010),"OK","Invalid")</f>
        <v>OK</v>
      </c>
      <c r="AF2194" t="str">
        <f t="shared" si="443"/>
        <v>Valid</v>
      </c>
      <c r="AG2194" t="str">
        <f t="shared" si="444"/>
        <v>Valid</v>
      </c>
      <c r="AH2194" t="str">
        <f t="shared" si="445"/>
        <v>Valid</v>
      </c>
      <c r="AI2194" t="str">
        <f t="shared" si="446"/>
        <v>Valid</v>
      </c>
      <c r="AJ2194" t="str">
        <f t="shared" si="447"/>
        <v>Valid</v>
      </c>
      <c r="AK2194" t="str">
        <f t="shared" si="454"/>
        <v xml:space="preserve">Valid </v>
      </c>
      <c r="AL2194" t="str">
        <f>IF(AND(Audit_Data[[#This Row],[Recency]]&gt;=0,Audit_Data[[#This Row],[Recency]]&lt;=100),"Valid","Invalid")</f>
        <v>Valid</v>
      </c>
      <c r="AM2194" t="str">
        <f t="shared" si="448"/>
        <v>Valid</v>
      </c>
      <c r="AN2194" t="str">
        <f t="shared" si="449"/>
        <v>Valid</v>
      </c>
      <c r="AO2194" t="str">
        <f t="shared" si="450"/>
        <v>Valid</v>
      </c>
      <c r="AP2194" t="str">
        <f t="shared" si="451"/>
        <v>Valid</v>
      </c>
      <c r="AQ2194" t="str">
        <f>IF(Audit_Data[[#This Row],[Z_CostContact]]=3,"Valid","Invalid")</f>
        <v>Valid</v>
      </c>
      <c r="AR2194" t="str">
        <f t="shared" si="452"/>
        <v>Valid</v>
      </c>
      <c r="AS2194" t="str">
        <f t="shared" si="453"/>
        <v>Valid</v>
      </c>
    </row>
    <row r="2195" spans="1:45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 t="str">
        <f t="shared" si="442"/>
        <v>Ok</v>
      </c>
      <c r="AE2195" t="str">
        <f>IF(AND(Audit_Data[[#This Row],[Year_Birth]]&gt;=1900,Audit_Data[[#This Row],[Year_Birth]]&lt;=2010),"OK","Invalid")</f>
        <v>OK</v>
      </c>
      <c r="AF2195" t="str">
        <f t="shared" si="443"/>
        <v>Valid</v>
      </c>
      <c r="AG2195" t="str">
        <f t="shared" si="444"/>
        <v>Valid</v>
      </c>
      <c r="AH2195" t="str">
        <f t="shared" si="445"/>
        <v>Valid</v>
      </c>
      <c r="AI2195" t="str">
        <f t="shared" si="446"/>
        <v>Valid</v>
      </c>
      <c r="AJ2195" t="str">
        <f t="shared" si="447"/>
        <v>Valid</v>
      </c>
      <c r="AK2195" t="str">
        <f t="shared" si="454"/>
        <v xml:space="preserve">Valid </v>
      </c>
      <c r="AL2195" t="str">
        <f>IF(AND(Audit_Data[[#This Row],[Recency]]&gt;=0,Audit_Data[[#This Row],[Recency]]&lt;=100),"Valid","Invalid")</f>
        <v>Valid</v>
      </c>
      <c r="AM2195" t="str">
        <f t="shared" si="448"/>
        <v>Valid</v>
      </c>
      <c r="AN2195" t="str">
        <f t="shared" si="449"/>
        <v>Valid</v>
      </c>
      <c r="AO2195" t="str">
        <f t="shared" si="450"/>
        <v>Valid</v>
      </c>
      <c r="AP2195" t="str">
        <f t="shared" si="451"/>
        <v>Valid</v>
      </c>
      <c r="AQ2195" t="str">
        <f>IF(Audit_Data[[#This Row],[Z_CostContact]]=3,"Valid","Invalid")</f>
        <v>Valid</v>
      </c>
      <c r="AR2195" t="str">
        <f t="shared" si="452"/>
        <v>Valid</v>
      </c>
      <c r="AS2195" t="str">
        <f t="shared" si="453"/>
        <v>Valid</v>
      </c>
    </row>
    <row r="2196" spans="1:45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 t="str">
        <f t="shared" si="442"/>
        <v>Ok</v>
      </c>
      <c r="AE2196" t="str">
        <f>IF(AND(Audit_Data[[#This Row],[Year_Birth]]&gt;=1900,Audit_Data[[#This Row],[Year_Birth]]&lt;=2010),"OK","Invalid")</f>
        <v>OK</v>
      </c>
      <c r="AF2196" t="str">
        <f t="shared" si="443"/>
        <v>Valid</v>
      </c>
      <c r="AG2196" t="str">
        <f t="shared" si="444"/>
        <v>Valid</v>
      </c>
      <c r="AH2196" t="str">
        <f t="shared" si="445"/>
        <v>Valid</v>
      </c>
      <c r="AI2196" t="str">
        <f t="shared" si="446"/>
        <v>Valid</v>
      </c>
      <c r="AJ2196" t="str">
        <f t="shared" si="447"/>
        <v>Valid</v>
      </c>
      <c r="AK2196" t="str">
        <f t="shared" si="454"/>
        <v xml:space="preserve">Valid </v>
      </c>
      <c r="AL2196" t="str">
        <f>IF(AND(Audit_Data[[#This Row],[Recency]]&gt;=0,Audit_Data[[#This Row],[Recency]]&lt;=100),"Valid","Invalid")</f>
        <v>Valid</v>
      </c>
      <c r="AM2196" t="str">
        <f t="shared" si="448"/>
        <v>Valid</v>
      </c>
      <c r="AN2196" t="str">
        <f t="shared" si="449"/>
        <v>Valid</v>
      </c>
      <c r="AO2196" t="str">
        <f t="shared" si="450"/>
        <v>Valid</v>
      </c>
      <c r="AP2196" t="str">
        <f t="shared" si="451"/>
        <v>Valid</v>
      </c>
      <c r="AQ2196" t="str">
        <f>IF(Audit_Data[[#This Row],[Z_CostContact]]=3,"Valid","Invalid")</f>
        <v>Valid</v>
      </c>
      <c r="AR2196" t="str">
        <f t="shared" si="452"/>
        <v>Valid</v>
      </c>
      <c r="AS2196" t="str">
        <f t="shared" si="453"/>
        <v>Valid</v>
      </c>
    </row>
    <row r="2197" spans="1:45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 t="str">
        <f t="shared" si="442"/>
        <v>Ok</v>
      </c>
      <c r="AE2197" t="str">
        <f>IF(AND(Audit_Data[[#This Row],[Year_Birth]]&gt;=1900,Audit_Data[[#This Row],[Year_Birth]]&lt;=2010),"OK","Invalid")</f>
        <v>OK</v>
      </c>
      <c r="AF2197" t="str">
        <f t="shared" si="443"/>
        <v>Valid</v>
      </c>
      <c r="AG2197" t="str">
        <f t="shared" si="444"/>
        <v>Valid</v>
      </c>
      <c r="AH2197" t="str">
        <f t="shared" si="445"/>
        <v>Valid</v>
      </c>
      <c r="AI2197" t="str">
        <f t="shared" si="446"/>
        <v>Valid</v>
      </c>
      <c r="AJ2197" t="str">
        <f t="shared" si="447"/>
        <v>Valid</v>
      </c>
      <c r="AK2197" t="str">
        <f t="shared" si="454"/>
        <v xml:space="preserve">Valid </v>
      </c>
      <c r="AL2197" t="str">
        <f>IF(AND(Audit_Data[[#This Row],[Recency]]&gt;=0,Audit_Data[[#This Row],[Recency]]&lt;=100),"Valid","Invalid")</f>
        <v>Valid</v>
      </c>
      <c r="AM2197" t="str">
        <f t="shared" si="448"/>
        <v>Valid</v>
      </c>
      <c r="AN2197" t="str">
        <f t="shared" si="449"/>
        <v>Valid</v>
      </c>
      <c r="AO2197" t="str">
        <f t="shared" si="450"/>
        <v>Valid</v>
      </c>
      <c r="AP2197" t="str">
        <f t="shared" si="451"/>
        <v>Valid</v>
      </c>
      <c r="AQ2197" t="str">
        <f>IF(Audit_Data[[#This Row],[Z_CostContact]]=3,"Valid","Invalid")</f>
        <v>Valid</v>
      </c>
      <c r="AR2197" t="str">
        <f t="shared" si="452"/>
        <v>Valid</v>
      </c>
      <c r="AS2197" t="str">
        <f t="shared" si="453"/>
        <v>Valid</v>
      </c>
    </row>
    <row r="2198" spans="1:45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 t="str">
        <f t="shared" si="442"/>
        <v>Ok</v>
      </c>
      <c r="AE2198" t="str">
        <f>IF(AND(Audit_Data[[#This Row],[Year_Birth]]&gt;=1900,Audit_Data[[#This Row],[Year_Birth]]&lt;=2010),"OK","Invalid")</f>
        <v>OK</v>
      </c>
      <c r="AF2198" t="str">
        <f t="shared" si="443"/>
        <v>Valid</v>
      </c>
      <c r="AG2198" t="str">
        <f t="shared" si="444"/>
        <v>Valid</v>
      </c>
      <c r="AH2198" t="str">
        <f t="shared" si="445"/>
        <v>Valid</v>
      </c>
      <c r="AI2198" t="str">
        <f t="shared" si="446"/>
        <v>Valid</v>
      </c>
      <c r="AJ2198" t="str">
        <f t="shared" si="447"/>
        <v>Valid</v>
      </c>
      <c r="AK2198" t="str">
        <f t="shared" si="454"/>
        <v xml:space="preserve">Valid </v>
      </c>
      <c r="AL2198" t="str">
        <f>IF(AND(Audit_Data[[#This Row],[Recency]]&gt;=0,Audit_Data[[#This Row],[Recency]]&lt;=100),"Valid","Invalid")</f>
        <v>Valid</v>
      </c>
      <c r="AM2198" t="str">
        <f t="shared" si="448"/>
        <v>Valid</v>
      </c>
      <c r="AN2198" t="str">
        <f t="shared" si="449"/>
        <v>Valid</v>
      </c>
      <c r="AO2198" t="str">
        <f t="shared" si="450"/>
        <v>Valid</v>
      </c>
      <c r="AP2198" t="str">
        <f t="shared" si="451"/>
        <v>Valid</v>
      </c>
      <c r="AQ2198" t="str">
        <f>IF(Audit_Data[[#This Row],[Z_CostContact]]=3,"Valid","Invalid")</f>
        <v>Valid</v>
      </c>
      <c r="AR2198" t="str">
        <f t="shared" si="452"/>
        <v>Valid</v>
      </c>
      <c r="AS2198" t="str">
        <f t="shared" si="453"/>
        <v>Valid</v>
      </c>
    </row>
    <row r="2199" spans="1:45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 t="str">
        <f t="shared" si="442"/>
        <v>Ok</v>
      </c>
      <c r="AE2199" t="str">
        <f>IF(AND(Audit_Data[[#This Row],[Year_Birth]]&gt;=1900,Audit_Data[[#This Row],[Year_Birth]]&lt;=2010),"OK","Invalid")</f>
        <v>OK</v>
      </c>
      <c r="AF2199" t="str">
        <f t="shared" si="443"/>
        <v>Valid</v>
      </c>
      <c r="AG2199" t="str">
        <f t="shared" si="444"/>
        <v>Valid</v>
      </c>
      <c r="AH2199" t="str">
        <f t="shared" si="445"/>
        <v>Valid</v>
      </c>
      <c r="AI2199" t="str">
        <f t="shared" si="446"/>
        <v>Valid</v>
      </c>
      <c r="AJ2199" t="str">
        <f t="shared" si="447"/>
        <v>Valid</v>
      </c>
      <c r="AK2199" t="str">
        <f t="shared" si="454"/>
        <v xml:space="preserve">Valid </v>
      </c>
      <c r="AL2199" t="str">
        <f>IF(AND(Audit_Data[[#This Row],[Recency]]&gt;=0,Audit_Data[[#This Row],[Recency]]&lt;=100),"Valid","Invalid")</f>
        <v>Valid</v>
      </c>
      <c r="AM2199" t="str">
        <f t="shared" si="448"/>
        <v>Valid</v>
      </c>
      <c r="AN2199" t="str">
        <f t="shared" si="449"/>
        <v>Valid</v>
      </c>
      <c r="AO2199" t="str">
        <f t="shared" si="450"/>
        <v>Valid</v>
      </c>
      <c r="AP2199" t="str">
        <f t="shared" si="451"/>
        <v>Valid</v>
      </c>
      <c r="AQ2199" t="str">
        <f>IF(Audit_Data[[#This Row],[Z_CostContact]]=3,"Valid","Invalid")</f>
        <v>Valid</v>
      </c>
      <c r="AR2199" t="str">
        <f t="shared" si="452"/>
        <v>Valid</v>
      </c>
      <c r="AS2199" t="str">
        <f t="shared" si="453"/>
        <v>Valid</v>
      </c>
    </row>
    <row r="2200" spans="1:45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 t="str">
        <f t="shared" si="442"/>
        <v>Ok</v>
      </c>
      <c r="AE2200" t="str">
        <f>IF(AND(Audit_Data[[#This Row],[Year_Birth]]&gt;=1900,Audit_Data[[#This Row],[Year_Birth]]&lt;=2010),"OK","Invalid")</f>
        <v>OK</v>
      </c>
      <c r="AF2200" t="str">
        <f t="shared" si="443"/>
        <v>Valid</v>
      </c>
      <c r="AG2200" t="str">
        <f t="shared" si="444"/>
        <v>Valid</v>
      </c>
      <c r="AH2200" t="str">
        <f t="shared" si="445"/>
        <v>Valid</v>
      </c>
      <c r="AI2200" t="str">
        <f t="shared" si="446"/>
        <v>Valid</v>
      </c>
      <c r="AJ2200" t="str">
        <f t="shared" si="447"/>
        <v>Valid</v>
      </c>
      <c r="AK2200" t="str">
        <f t="shared" si="454"/>
        <v xml:space="preserve">Valid </v>
      </c>
      <c r="AL2200" t="str">
        <f>IF(AND(Audit_Data[[#This Row],[Recency]]&gt;=0,Audit_Data[[#This Row],[Recency]]&lt;=100),"Valid","Invalid")</f>
        <v>Valid</v>
      </c>
      <c r="AM2200" t="str">
        <f t="shared" si="448"/>
        <v>Valid</v>
      </c>
      <c r="AN2200" t="str">
        <f t="shared" si="449"/>
        <v>Valid</v>
      </c>
      <c r="AO2200" t="str">
        <f t="shared" si="450"/>
        <v>Valid</v>
      </c>
      <c r="AP2200" t="str">
        <f t="shared" si="451"/>
        <v>Valid</v>
      </c>
      <c r="AQ2200" t="str">
        <f>IF(Audit_Data[[#This Row],[Z_CostContact]]=3,"Valid","Invalid")</f>
        <v>Valid</v>
      </c>
      <c r="AR2200" t="str">
        <f t="shared" si="452"/>
        <v>Valid</v>
      </c>
      <c r="AS2200" t="str">
        <f t="shared" si="453"/>
        <v>Valid</v>
      </c>
    </row>
    <row r="2201" spans="1:45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 t="str">
        <f t="shared" si="442"/>
        <v>Ok</v>
      </c>
      <c r="AE2201" t="str">
        <f>IF(AND(Audit_Data[[#This Row],[Year_Birth]]&gt;=1900,Audit_Data[[#This Row],[Year_Birth]]&lt;=2010),"OK","Invalid")</f>
        <v>OK</v>
      </c>
      <c r="AF2201" t="str">
        <f t="shared" si="443"/>
        <v>Valid</v>
      </c>
      <c r="AG2201" t="str">
        <f t="shared" si="444"/>
        <v>Valid</v>
      </c>
      <c r="AH2201" t="str">
        <f t="shared" si="445"/>
        <v>Valid</v>
      </c>
      <c r="AI2201" t="str">
        <f t="shared" si="446"/>
        <v>Valid</v>
      </c>
      <c r="AJ2201" t="str">
        <f t="shared" si="447"/>
        <v>Valid</v>
      </c>
      <c r="AK2201" t="str">
        <f t="shared" si="454"/>
        <v xml:space="preserve">Valid </v>
      </c>
      <c r="AL2201" t="str">
        <f>IF(AND(Audit_Data[[#This Row],[Recency]]&gt;=0,Audit_Data[[#This Row],[Recency]]&lt;=100),"Valid","Invalid")</f>
        <v>Valid</v>
      </c>
      <c r="AM2201" t="str">
        <f t="shared" si="448"/>
        <v>Valid</v>
      </c>
      <c r="AN2201" t="str">
        <f t="shared" si="449"/>
        <v>Valid</v>
      </c>
      <c r="AO2201" t="str">
        <f t="shared" si="450"/>
        <v>Valid</v>
      </c>
      <c r="AP2201" t="str">
        <f t="shared" si="451"/>
        <v>Valid</v>
      </c>
      <c r="AQ2201" t="str">
        <f>IF(Audit_Data[[#This Row],[Z_CostContact]]=3,"Valid","Invalid")</f>
        <v>Valid</v>
      </c>
      <c r="AR2201" t="str">
        <f t="shared" si="452"/>
        <v>Valid</v>
      </c>
      <c r="AS2201" t="str">
        <f t="shared" si="453"/>
        <v>Valid</v>
      </c>
    </row>
    <row r="2202" spans="1:45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 t="str">
        <f t="shared" si="442"/>
        <v>Ok</v>
      </c>
      <c r="AE2202" t="str">
        <f>IF(AND(Audit_Data[[#This Row],[Year_Birth]]&gt;=1900,Audit_Data[[#This Row],[Year_Birth]]&lt;=2010),"OK","Invalid")</f>
        <v>OK</v>
      </c>
      <c r="AF2202" t="str">
        <f t="shared" si="443"/>
        <v>Valid</v>
      </c>
      <c r="AG2202" t="str">
        <f t="shared" si="444"/>
        <v>Valid</v>
      </c>
      <c r="AH2202" t="str">
        <f t="shared" si="445"/>
        <v>Valid</v>
      </c>
      <c r="AI2202" t="str">
        <f t="shared" si="446"/>
        <v>Valid</v>
      </c>
      <c r="AJ2202" t="str">
        <f t="shared" si="447"/>
        <v>Valid</v>
      </c>
      <c r="AK2202" t="str">
        <f t="shared" si="454"/>
        <v xml:space="preserve">Valid </v>
      </c>
      <c r="AL2202" t="str">
        <f>IF(AND(Audit_Data[[#This Row],[Recency]]&gt;=0,Audit_Data[[#This Row],[Recency]]&lt;=100),"Valid","Invalid")</f>
        <v>Valid</v>
      </c>
      <c r="AM2202" t="str">
        <f t="shared" si="448"/>
        <v>Valid</v>
      </c>
      <c r="AN2202" t="str">
        <f t="shared" si="449"/>
        <v>Valid</v>
      </c>
      <c r="AO2202" t="str">
        <f t="shared" si="450"/>
        <v>Valid</v>
      </c>
      <c r="AP2202" t="str">
        <f t="shared" si="451"/>
        <v>Valid</v>
      </c>
      <c r="AQ2202" t="str">
        <f>IF(Audit_Data[[#This Row],[Z_CostContact]]=3,"Valid","Invalid")</f>
        <v>Valid</v>
      </c>
      <c r="AR2202" t="str">
        <f t="shared" si="452"/>
        <v>Valid</v>
      </c>
      <c r="AS2202" t="str">
        <f t="shared" si="453"/>
        <v>Valid</v>
      </c>
    </row>
    <row r="2203" spans="1:45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 t="str">
        <f t="shared" si="442"/>
        <v>Ok</v>
      </c>
      <c r="AE2203" t="str">
        <f>IF(AND(Audit_Data[[#This Row],[Year_Birth]]&gt;=1900,Audit_Data[[#This Row],[Year_Birth]]&lt;=2010),"OK","Invalid")</f>
        <v>OK</v>
      </c>
      <c r="AF2203" t="str">
        <f t="shared" si="443"/>
        <v>Valid</v>
      </c>
      <c r="AG2203" t="str">
        <f t="shared" si="444"/>
        <v>Valid</v>
      </c>
      <c r="AH2203" t="str">
        <f t="shared" si="445"/>
        <v>Valid</v>
      </c>
      <c r="AI2203" t="str">
        <f t="shared" si="446"/>
        <v>Valid</v>
      </c>
      <c r="AJ2203" t="str">
        <f t="shared" si="447"/>
        <v>Valid</v>
      </c>
      <c r="AK2203" t="str">
        <f t="shared" si="454"/>
        <v xml:space="preserve">Valid </v>
      </c>
      <c r="AL2203" t="str">
        <f>IF(AND(Audit_Data[[#This Row],[Recency]]&gt;=0,Audit_Data[[#This Row],[Recency]]&lt;=100),"Valid","Invalid")</f>
        <v>Valid</v>
      </c>
      <c r="AM2203" t="str">
        <f t="shared" si="448"/>
        <v>Valid</v>
      </c>
      <c r="AN2203" t="str">
        <f t="shared" si="449"/>
        <v>Valid</v>
      </c>
      <c r="AO2203" t="str">
        <f t="shared" si="450"/>
        <v>Valid</v>
      </c>
      <c r="AP2203" t="str">
        <f t="shared" si="451"/>
        <v>Valid</v>
      </c>
      <c r="AQ2203" t="str">
        <f>IF(Audit_Data[[#This Row],[Z_CostContact]]=3,"Valid","Invalid")</f>
        <v>Valid</v>
      </c>
      <c r="AR2203" t="str">
        <f t="shared" si="452"/>
        <v>Valid</v>
      </c>
      <c r="AS2203" t="str">
        <f t="shared" si="453"/>
        <v>Valid</v>
      </c>
    </row>
    <row r="2204" spans="1:45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 t="str">
        <f t="shared" si="442"/>
        <v>Ok</v>
      </c>
      <c r="AE2204" t="str">
        <f>IF(AND(Audit_Data[[#This Row],[Year_Birth]]&gt;=1900,Audit_Data[[#This Row],[Year_Birth]]&lt;=2010),"OK","Invalid")</f>
        <v>OK</v>
      </c>
      <c r="AF2204" t="str">
        <f t="shared" si="443"/>
        <v>Valid</v>
      </c>
      <c r="AG2204" t="str">
        <f t="shared" si="444"/>
        <v>Invalid</v>
      </c>
      <c r="AH2204" t="str">
        <f t="shared" si="445"/>
        <v>Valid</v>
      </c>
      <c r="AI2204" t="str">
        <f t="shared" si="446"/>
        <v>Valid</v>
      </c>
      <c r="AJ2204" t="str">
        <f t="shared" si="447"/>
        <v>Valid</v>
      </c>
      <c r="AK2204" t="str">
        <f t="shared" si="454"/>
        <v xml:space="preserve">Valid </v>
      </c>
      <c r="AL2204" t="str">
        <f>IF(AND(Audit_Data[[#This Row],[Recency]]&gt;=0,Audit_Data[[#This Row],[Recency]]&lt;=100),"Valid","Invalid")</f>
        <v>Valid</v>
      </c>
      <c r="AM2204" t="str">
        <f t="shared" si="448"/>
        <v>Valid</v>
      </c>
      <c r="AN2204" t="str">
        <f t="shared" si="449"/>
        <v>Valid</v>
      </c>
      <c r="AO2204" t="str">
        <f t="shared" si="450"/>
        <v>Valid</v>
      </c>
      <c r="AP2204" t="str">
        <f t="shared" si="451"/>
        <v>Valid</v>
      </c>
      <c r="AQ2204" t="str">
        <f>IF(Audit_Data[[#This Row],[Z_CostContact]]=3,"Valid","Invalid")</f>
        <v>Valid</v>
      </c>
      <c r="AR2204" t="str">
        <f t="shared" si="452"/>
        <v>Valid</v>
      </c>
      <c r="AS2204" t="str">
        <f t="shared" si="453"/>
        <v>Valid</v>
      </c>
    </row>
    <row r="2205" spans="1:45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 t="str">
        <f t="shared" si="442"/>
        <v>Ok</v>
      </c>
      <c r="AE2205" t="str">
        <f>IF(AND(Audit_Data[[#This Row],[Year_Birth]]&gt;=1900,Audit_Data[[#This Row],[Year_Birth]]&lt;=2010),"OK","Invalid")</f>
        <v>OK</v>
      </c>
      <c r="AF2205" t="str">
        <f t="shared" si="443"/>
        <v>Valid</v>
      </c>
      <c r="AG2205" t="str">
        <f t="shared" si="444"/>
        <v>Valid</v>
      </c>
      <c r="AH2205" t="str">
        <f t="shared" si="445"/>
        <v>Valid</v>
      </c>
      <c r="AI2205" t="str">
        <f t="shared" si="446"/>
        <v>Valid</v>
      </c>
      <c r="AJ2205" t="str">
        <f t="shared" si="447"/>
        <v>Valid</v>
      </c>
      <c r="AK2205" t="str">
        <f t="shared" si="454"/>
        <v xml:space="preserve">Valid </v>
      </c>
      <c r="AL2205" t="str">
        <f>IF(AND(Audit_Data[[#This Row],[Recency]]&gt;=0,Audit_Data[[#This Row],[Recency]]&lt;=100),"Valid","Invalid")</f>
        <v>Valid</v>
      </c>
      <c r="AM2205" t="str">
        <f t="shared" si="448"/>
        <v>Valid</v>
      </c>
      <c r="AN2205" t="str">
        <f t="shared" si="449"/>
        <v>Valid</v>
      </c>
      <c r="AO2205" t="str">
        <f t="shared" si="450"/>
        <v>Valid</v>
      </c>
      <c r="AP2205" t="str">
        <f t="shared" si="451"/>
        <v>Valid</v>
      </c>
      <c r="AQ2205" t="str">
        <f>IF(Audit_Data[[#This Row],[Z_CostContact]]=3,"Valid","Invalid")</f>
        <v>Valid</v>
      </c>
      <c r="AR2205" t="str">
        <f t="shared" si="452"/>
        <v>Valid</v>
      </c>
      <c r="AS2205" t="str">
        <f t="shared" si="453"/>
        <v>Valid</v>
      </c>
    </row>
    <row r="2206" spans="1:45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 t="str">
        <f t="shared" si="442"/>
        <v>Ok</v>
      </c>
      <c r="AE2206" t="str">
        <f>IF(AND(Audit_Data[[#This Row],[Year_Birth]]&gt;=1900,Audit_Data[[#This Row],[Year_Birth]]&lt;=2010),"OK","Invalid")</f>
        <v>OK</v>
      </c>
      <c r="AF2206" t="str">
        <f t="shared" si="443"/>
        <v>Valid</v>
      </c>
      <c r="AG2206" t="str">
        <f t="shared" si="444"/>
        <v>Valid</v>
      </c>
      <c r="AH2206" t="str">
        <f t="shared" si="445"/>
        <v>Valid</v>
      </c>
      <c r="AI2206" t="str">
        <f t="shared" si="446"/>
        <v>Valid</v>
      </c>
      <c r="AJ2206" t="str">
        <f t="shared" si="447"/>
        <v>Valid</v>
      </c>
      <c r="AK2206" t="str">
        <f t="shared" si="454"/>
        <v xml:space="preserve">Valid </v>
      </c>
      <c r="AL2206" t="str">
        <f>IF(AND(Audit_Data[[#This Row],[Recency]]&gt;=0,Audit_Data[[#This Row],[Recency]]&lt;=100),"Valid","Invalid")</f>
        <v>Valid</v>
      </c>
      <c r="AM2206" t="str">
        <f t="shared" si="448"/>
        <v>Valid</v>
      </c>
      <c r="AN2206" t="str">
        <f t="shared" si="449"/>
        <v>Valid</v>
      </c>
      <c r="AO2206" t="str">
        <f t="shared" si="450"/>
        <v>Valid</v>
      </c>
      <c r="AP2206" t="str">
        <f t="shared" si="451"/>
        <v>Valid</v>
      </c>
      <c r="AQ2206" t="str">
        <f>IF(Audit_Data[[#This Row],[Z_CostContact]]=3,"Valid","Invalid")</f>
        <v>Valid</v>
      </c>
      <c r="AR2206" t="str">
        <f t="shared" si="452"/>
        <v>Valid</v>
      </c>
      <c r="AS2206" t="str">
        <f t="shared" si="453"/>
        <v>Valid</v>
      </c>
    </row>
    <row r="2207" spans="1:45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 t="str">
        <f t="shared" si="442"/>
        <v>Ok</v>
      </c>
      <c r="AE2207" t="str">
        <f>IF(AND(Audit_Data[[#This Row],[Year_Birth]]&gt;=1900,Audit_Data[[#This Row],[Year_Birth]]&lt;=2010),"OK","Invalid")</f>
        <v>OK</v>
      </c>
      <c r="AF2207" t="str">
        <f t="shared" si="443"/>
        <v>Valid</v>
      </c>
      <c r="AG2207" t="str">
        <f t="shared" si="444"/>
        <v>Valid</v>
      </c>
      <c r="AH2207" t="str">
        <f t="shared" si="445"/>
        <v>Valid</v>
      </c>
      <c r="AI2207" t="str">
        <f t="shared" si="446"/>
        <v>Valid</v>
      </c>
      <c r="AJ2207" t="str">
        <f t="shared" si="447"/>
        <v>Valid</v>
      </c>
      <c r="AK2207" t="str">
        <f t="shared" si="454"/>
        <v xml:space="preserve">Valid </v>
      </c>
      <c r="AL2207" t="str">
        <f>IF(AND(Audit_Data[[#This Row],[Recency]]&gt;=0,Audit_Data[[#This Row],[Recency]]&lt;=100),"Valid","Invalid")</f>
        <v>Valid</v>
      </c>
      <c r="AM2207" t="str">
        <f t="shared" si="448"/>
        <v>Valid</v>
      </c>
      <c r="AN2207" t="str">
        <f t="shared" si="449"/>
        <v>Valid</v>
      </c>
      <c r="AO2207" t="str">
        <f t="shared" si="450"/>
        <v>Valid</v>
      </c>
      <c r="AP2207" t="str">
        <f t="shared" si="451"/>
        <v>Valid</v>
      </c>
      <c r="AQ2207" t="str">
        <f>IF(Audit_Data[[#This Row],[Z_CostContact]]=3,"Valid","Invalid")</f>
        <v>Valid</v>
      </c>
      <c r="AR2207" t="str">
        <f t="shared" si="452"/>
        <v>Valid</v>
      </c>
      <c r="AS2207" t="str">
        <f t="shared" si="453"/>
        <v>Valid</v>
      </c>
    </row>
    <row r="2208" spans="1:45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 t="str">
        <f t="shared" si="442"/>
        <v>Ok</v>
      </c>
      <c r="AE2208" t="str">
        <f>IF(AND(Audit_Data[[#This Row],[Year_Birth]]&gt;=1900,Audit_Data[[#This Row],[Year_Birth]]&lt;=2010),"OK","Invalid")</f>
        <v>OK</v>
      </c>
      <c r="AF2208" t="str">
        <f t="shared" si="443"/>
        <v>Valid</v>
      </c>
      <c r="AG2208" t="str">
        <f t="shared" si="444"/>
        <v>Valid</v>
      </c>
      <c r="AH2208" t="str">
        <f t="shared" si="445"/>
        <v>Valid</v>
      </c>
      <c r="AI2208" t="str">
        <f t="shared" si="446"/>
        <v>Valid</v>
      </c>
      <c r="AJ2208" t="str">
        <f t="shared" si="447"/>
        <v>Valid</v>
      </c>
      <c r="AK2208" t="str">
        <f t="shared" si="454"/>
        <v xml:space="preserve">Valid </v>
      </c>
      <c r="AL2208" t="str">
        <f>IF(AND(Audit_Data[[#This Row],[Recency]]&gt;=0,Audit_Data[[#This Row],[Recency]]&lt;=100),"Valid","Invalid")</f>
        <v>Valid</v>
      </c>
      <c r="AM2208" t="str">
        <f t="shared" si="448"/>
        <v>Valid</v>
      </c>
      <c r="AN2208" t="str">
        <f t="shared" si="449"/>
        <v>Valid</v>
      </c>
      <c r="AO2208" t="str">
        <f t="shared" si="450"/>
        <v>Valid</v>
      </c>
      <c r="AP2208" t="str">
        <f t="shared" si="451"/>
        <v>Valid</v>
      </c>
      <c r="AQ2208" t="str">
        <f>IF(Audit_Data[[#This Row],[Z_CostContact]]=3,"Valid","Invalid")</f>
        <v>Valid</v>
      </c>
      <c r="AR2208" t="str">
        <f t="shared" si="452"/>
        <v>Valid</v>
      </c>
      <c r="AS2208" t="str">
        <f t="shared" si="453"/>
        <v>Valid</v>
      </c>
    </row>
    <row r="2209" spans="1:45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 t="str">
        <f t="shared" si="442"/>
        <v>Ok</v>
      </c>
      <c r="AE2209" t="str">
        <f>IF(AND(Audit_Data[[#This Row],[Year_Birth]]&gt;=1900,Audit_Data[[#This Row],[Year_Birth]]&lt;=2010),"OK","Invalid")</f>
        <v>OK</v>
      </c>
      <c r="AF2209" t="str">
        <f t="shared" si="443"/>
        <v>Valid</v>
      </c>
      <c r="AG2209" t="str">
        <f t="shared" si="444"/>
        <v>Valid</v>
      </c>
      <c r="AH2209" t="str">
        <f t="shared" si="445"/>
        <v>Valid</v>
      </c>
      <c r="AI2209" t="str">
        <f t="shared" si="446"/>
        <v>Valid</v>
      </c>
      <c r="AJ2209" t="str">
        <f t="shared" si="447"/>
        <v>Valid</v>
      </c>
      <c r="AK2209" t="str">
        <f t="shared" si="454"/>
        <v xml:space="preserve">Valid </v>
      </c>
      <c r="AL2209" t="str">
        <f>IF(AND(Audit_Data[[#This Row],[Recency]]&gt;=0,Audit_Data[[#This Row],[Recency]]&lt;=100),"Valid","Invalid")</f>
        <v>Valid</v>
      </c>
      <c r="AM2209" t="str">
        <f t="shared" si="448"/>
        <v>Valid</v>
      </c>
      <c r="AN2209" t="str">
        <f t="shared" si="449"/>
        <v>Valid</v>
      </c>
      <c r="AO2209" t="str">
        <f t="shared" si="450"/>
        <v>Valid</v>
      </c>
      <c r="AP2209" t="str">
        <f t="shared" si="451"/>
        <v>Valid</v>
      </c>
      <c r="AQ2209" t="str">
        <f>IF(Audit_Data[[#This Row],[Z_CostContact]]=3,"Valid","Invalid")</f>
        <v>Valid</v>
      </c>
      <c r="AR2209" t="str">
        <f t="shared" si="452"/>
        <v>Valid</v>
      </c>
      <c r="AS2209" t="str">
        <f t="shared" si="453"/>
        <v>Valid</v>
      </c>
    </row>
    <row r="2210" spans="1:45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 t="str">
        <f t="shared" si="442"/>
        <v>Ok</v>
      </c>
      <c r="AE2210" t="str">
        <f>IF(AND(Audit_Data[[#This Row],[Year_Birth]]&gt;=1900,Audit_Data[[#This Row],[Year_Birth]]&lt;=2010),"OK","Invalid")</f>
        <v>OK</v>
      </c>
      <c r="AF2210" t="str">
        <f t="shared" si="443"/>
        <v>Valid</v>
      </c>
      <c r="AG2210" t="str">
        <f t="shared" si="444"/>
        <v>Valid</v>
      </c>
      <c r="AH2210" t="str">
        <f t="shared" si="445"/>
        <v>Valid</v>
      </c>
      <c r="AI2210" t="str">
        <f t="shared" si="446"/>
        <v>Valid</v>
      </c>
      <c r="AJ2210" t="str">
        <f t="shared" si="447"/>
        <v>Valid</v>
      </c>
      <c r="AK2210" t="str">
        <f t="shared" si="454"/>
        <v xml:space="preserve">Valid </v>
      </c>
      <c r="AL2210" t="str">
        <f>IF(AND(Audit_Data[[#This Row],[Recency]]&gt;=0,Audit_Data[[#This Row],[Recency]]&lt;=100),"Valid","Invalid")</f>
        <v>Valid</v>
      </c>
      <c r="AM2210" t="str">
        <f t="shared" si="448"/>
        <v>Valid</v>
      </c>
      <c r="AN2210" t="str">
        <f t="shared" si="449"/>
        <v>Valid</v>
      </c>
      <c r="AO2210" t="str">
        <f t="shared" si="450"/>
        <v>Valid</v>
      </c>
      <c r="AP2210" t="str">
        <f t="shared" si="451"/>
        <v>Valid</v>
      </c>
      <c r="AQ2210" t="str">
        <f>IF(Audit_Data[[#This Row],[Z_CostContact]]=3,"Valid","Invalid")</f>
        <v>Valid</v>
      </c>
      <c r="AR2210" t="str">
        <f t="shared" si="452"/>
        <v>Valid</v>
      </c>
      <c r="AS2210" t="str">
        <f t="shared" si="453"/>
        <v>Valid</v>
      </c>
    </row>
    <row r="2211" spans="1:45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 t="str">
        <f t="shared" si="442"/>
        <v>Ok</v>
      </c>
      <c r="AE2211" t="str">
        <f>IF(AND(Audit_Data[[#This Row],[Year_Birth]]&gt;=1900,Audit_Data[[#This Row],[Year_Birth]]&lt;=2010),"OK","Invalid")</f>
        <v>OK</v>
      </c>
      <c r="AF2211" t="str">
        <f t="shared" si="443"/>
        <v>Valid</v>
      </c>
      <c r="AG2211" t="str">
        <f t="shared" si="444"/>
        <v>Valid</v>
      </c>
      <c r="AH2211" t="str">
        <f t="shared" si="445"/>
        <v>Valid</v>
      </c>
      <c r="AI2211" t="str">
        <f t="shared" si="446"/>
        <v>Valid</v>
      </c>
      <c r="AJ2211" t="str">
        <f t="shared" si="447"/>
        <v>Valid</v>
      </c>
      <c r="AK2211" t="str">
        <f t="shared" si="454"/>
        <v xml:space="preserve">Valid </v>
      </c>
      <c r="AL2211" t="str">
        <f>IF(AND(Audit_Data[[#This Row],[Recency]]&gt;=0,Audit_Data[[#This Row],[Recency]]&lt;=100),"Valid","Invalid")</f>
        <v>Valid</v>
      </c>
      <c r="AM2211" t="str">
        <f t="shared" si="448"/>
        <v>Valid</v>
      </c>
      <c r="AN2211" t="str">
        <f t="shared" si="449"/>
        <v>Valid</v>
      </c>
      <c r="AO2211" t="str">
        <f t="shared" si="450"/>
        <v>Valid</v>
      </c>
      <c r="AP2211" t="str">
        <f t="shared" si="451"/>
        <v>Valid</v>
      </c>
      <c r="AQ2211" t="str">
        <f>IF(Audit_Data[[#This Row],[Z_CostContact]]=3,"Valid","Invalid")</f>
        <v>Valid</v>
      </c>
      <c r="AR2211" t="str">
        <f t="shared" si="452"/>
        <v>Valid</v>
      </c>
      <c r="AS2211" t="str">
        <f t="shared" si="453"/>
        <v>Valid</v>
      </c>
    </row>
    <row r="2212" spans="1:45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 t="str">
        <f t="shared" si="442"/>
        <v>Ok</v>
      </c>
      <c r="AE2212" t="str">
        <f>IF(AND(Audit_Data[[#This Row],[Year_Birth]]&gt;=1900,Audit_Data[[#This Row],[Year_Birth]]&lt;=2010),"OK","Invalid")</f>
        <v>OK</v>
      </c>
      <c r="AF2212" t="str">
        <f t="shared" si="443"/>
        <v>Valid</v>
      </c>
      <c r="AG2212" t="str">
        <f t="shared" si="444"/>
        <v>Valid</v>
      </c>
      <c r="AH2212" t="str">
        <f t="shared" si="445"/>
        <v>Valid</v>
      </c>
      <c r="AI2212" t="str">
        <f t="shared" si="446"/>
        <v>Valid</v>
      </c>
      <c r="AJ2212" t="str">
        <f t="shared" si="447"/>
        <v>Valid</v>
      </c>
      <c r="AK2212" t="str">
        <f t="shared" si="454"/>
        <v xml:space="preserve">Valid </v>
      </c>
      <c r="AL2212" t="str">
        <f>IF(AND(Audit_Data[[#This Row],[Recency]]&gt;=0,Audit_Data[[#This Row],[Recency]]&lt;=100),"Valid","Invalid")</f>
        <v>Valid</v>
      </c>
      <c r="AM2212" t="str">
        <f t="shared" si="448"/>
        <v>Valid</v>
      </c>
      <c r="AN2212" t="str">
        <f t="shared" si="449"/>
        <v>Valid</v>
      </c>
      <c r="AO2212" t="str">
        <f t="shared" si="450"/>
        <v>Valid</v>
      </c>
      <c r="AP2212" t="str">
        <f t="shared" si="451"/>
        <v>Valid</v>
      </c>
      <c r="AQ2212" t="str">
        <f>IF(Audit_Data[[#This Row],[Z_CostContact]]=3,"Valid","Invalid")</f>
        <v>Valid</v>
      </c>
      <c r="AR2212" t="str">
        <f t="shared" si="452"/>
        <v>Valid</v>
      </c>
      <c r="AS2212" t="str">
        <f t="shared" si="453"/>
        <v>Valid</v>
      </c>
    </row>
    <row r="2213" spans="1:45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 t="str">
        <f t="shared" si="442"/>
        <v>Ok</v>
      </c>
      <c r="AE2213" t="str">
        <f>IF(AND(Audit_Data[[#This Row],[Year_Birth]]&gt;=1900,Audit_Data[[#This Row],[Year_Birth]]&lt;=2010),"OK","Invalid")</f>
        <v>OK</v>
      </c>
      <c r="AF2213" t="str">
        <f t="shared" si="443"/>
        <v>Valid</v>
      </c>
      <c r="AG2213" t="str">
        <f t="shared" si="444"/>
        <v>Valid</v>
      </c>
      <c r="AH2213" t="str">
        <f t="shared" si="445"/>
        <v>Valid</v>
      </c>
      <c r="AI2213" t="str">
        <f t="shared" si="446"/>
        <v>Valid</v>
      </c>
      <c r="AJ2213" t="str">
        <f t="shared" si="447"/>
        <v>Valid</v>
      </c>
      <c r="AK2213" t="str">
        <f t="shared" si="454"/>
        <v xml:space="preserve">Valid </v>
      </c>
      <c r="AL2213" t="str">
        <f>IF(AND(Audit_Data[[#This Row],[Recency]]&gt;=0,Audit_Data[[#This Row],[Recency]]&lt;=100),"Valid","Invalid")</f>
        <v>Valid</v>
      </c>
      <c r="AM2213" t="str">
        <f t="shared" si="448"/>
        <v>Valid</v>
      </c>
      <c r="AN2213" t="str">
        <f t="shared" si="449"/>
        <v>Valid</v>
      </c>
      <c r="AO2213" t="str">
        <f t="shared" si="450"/>
        <v>Valid</v>
      </c>
      <c r="AP2213" t="str">
        <f t="shared" si="451"/>
        <v>Valid</v>
      </c>
      <c r="AQ2213" t="str">
        <f>IF(Audit_Data[[#This Row],[Z_CostContact]]=3,"Valid","Invalid")</f>
        <v>Valid</v>
      </c>
      <c r="AR2213" t="str">
        <f t="shared" si="452"/>
        <v>Valid</v>
      </c>
      <c r="AS2213" t="str">
        <f t="shared" si="453"/>
        <v>Valid</v>
      </c>
    </row>
    <row r="2214" spans="1:45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 t="str">
        <f t="shared" si="442"/>
        <v>Ok</v>
      </c>
      <c r="AE2214" t="str">
        <f>IF(AND(Audit_Data[[#This Row],[Year_Birth]]&gt;=1900,Audit_Data[[#This Row],[Year_Birth]]&lt;=2010),"OK","Invalid")</f>
        <v>OK</v>
      </c>
      <c r="AF2214" t="str">
        <f t="shared" si="443"/>
        <v>Valid</v>
      </c>
      <c r="AG2214" t="str">
        <f t="shared" si="444"/>
        <v>Valid</v>
      </c>
      <c r="AH2214" t="str">
        <f t="shared" si="445"/>
        <v>Valid</v>
      </c>
      <c r="AI2214" t="str">
        <f t="shared" si="446"/>
        <v>Valid</v>
      </c>
      <c r="AJ2214" t="str">
        <f t="shared" si="447"/>
        <v>Valid</v>
      </c>
      <c r="AK2214" t="str">
        <f t="shared" si="454"/>
        <v xml:space="preserve">Valid </v>
      </c>
      <c r="AL2214" t="str">
        <f>IF(AND(Audit_Data[[#This Row],[Recency]]&gt;=0,Audit_Data[[#This Row],[Recency]]&lt;=100),"Valid","Invalid")</f>
        <v>Valid</v>
      </c>
      <c r="AM2214" t="str">
        <f t="shared" si="448"/>
        <v>Valid</v>
      </c>
      <c r="AN2214" t="str">
        <f t="shared" si="449"/>
        <v>Valid</v>
      </c>
      <c r="AO2214" t="str">
        <f t="shared" si="450"/>
        <v>Valid</v>
      </c>
      <c r="AP2214" t="str">
        <f t="shared" si="451"/>
        <v>Valid</v>
      </c>
      <c r="AQ2214" t="str">
        <f>IF(Audit_Data[[#This Row],[Z_CostContact]]=3,"Valid","Invalid")</f>
        <v>Valid</v>
      </c>
      <c r="AR2214" t="str">
        <f t="shared" si="452"/>
        <v>Valid</v>
      </c>
      <c r="AS2214" t="str">
        <f t="shared" si="453"/>
        <v>Valid</v>
      </c>
    </row>
    <row r="2215" spans="1:45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 t="str">
        <f t="shared" si="442"/>
        <v>Ok</v>
      </c>
      <c r="AE2215" t="str">
        <f>IF(AND(Audit_Data[[#This Row],[Year_Birth]]&gt;=1900,Audit_Data[[#This Row],[Year_Birth]]&lt;=2010),"OK","Invalid")</f>
        <v>OK</v>
      </c>
      <c r="AF2215" t="str">
        <f t="shared" si="443"/>
        <v>Valid</v>
      </c>
      <c r="AG2215" t="str">
        <f t="shared" si="444"/>
        <v>Valid</v>
      </c>
      <c r="AH2215" t="str">
        <f t="shared" si="445"/>
        <v>Valid</v>
      </c>
      <c r="AI2215" t="str">
        <f t="shared" si="446"/>
        <v>Valid</v>
      </c>
      <c r="AJ2215" t="str">
        <f t="shared" si="447"/>
        <v>Valid</v>
      </c>
      <c r="AK2215" t="str">
        <f t="shared" si="454"/>
        <v xml:space="preserve">Valid </v>
      </c>
      <c r="AL2215" t="str">
        <f>IF(AND(Audit_Data[[#This Row],[Recency]]&gt;=0,Audit_Data[[#This Row],[Recency]]&lt;=100),"Valid","Invalid")</f>
        <v>Valid</v>
      </c>
      <c r="AM2215" t="str">
        <f t="shared" si="448"/>
        <v>Valid</v>
      </c>
      <c r="AN2215" t="str">
        <f t="shared" si="449"/>
        <v>Valid</v>
      </c>
      <c r="AO2215" t="str">
        <f t="shared" si="450"/>
        <v>Valid</v>
      </c>
      <c r="AP2215" t="str">
        <f t="shared" si="451"/>
        <v>Valid</v>
      </c>
      <c r="AQ2215" t="str">
        <f>IF(Audit_Data[[#This Row],[Z_CostContact]]=3,"Valid","Invalid")</f>
        <v>Valid</v>
      </c>
      <c r="AR2215" t="str">
        <f t="shared" si="452"/>
        <v>Valid</v>
      </c>
      <c r="AS2215" t="str">
        <f t="shared" si="453"/>
        <v>Valid</v>
      </c>
    </row>
    <row r="2216" spans="1:45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 t="str">
        <f t="shared" si="442"/>
        <v>Ok</v>
      </c>
      <c r="AE2216" t="str">
        <f>IF(AND(Audit_Data[[#This Row],[Year_Birth]]&gt;=1900,Audit_Data[[#This Row],[Year_Birth]]&lt;=2010),"OK","Invalid")</f>
        <v>OK</v>
      </c>
      <c r="AF2216" t="str">
        <f t="shared" si="443"/>
        <v>Valid</v>
      </c>
      <c r="AG2216" t="str">
        <f t="shared" si="444"/>
        <v>Valid</v>
      </c>
      <c r="AH2216" t="str">
        <f t="shared" si="445"/>
        <v>Valid</v>
      </c>
      <c r="AI2216" t="str">
        <f t="shared" si="446"/>
        <v>Valid</v>
      </c>
      <c r="AJ2216" t="str">
        <f t="shared" si="447"/>
        <v>Valid</v>
      </c>
      <c r="AK2216" t="str">
        <f t="shared" si="454"/>
        <v xml:space="preserve">Valid </v>
      </c>
      <c r="AL2216" t="str">
        <f>IF(AND(Audit_Data[[#This Row],[Recency]]&gt;=0,Audit_Data[[#This Row],[Recency]]&lt;=100),"Valid","Invalid")</f>
        <v>Valid</v>
      </c>
      <c r="AM2216" t="str">
        <f t="shared" si="448"/>
        <v>Valid</v>
      </c>
      <c r="AN2216" t="str">
        <f t="shared" si="449"/>
        <v>Valid</v>
      </c>
      <c r="AO2216" t="str">
        <f t="shared" si="450"/>
        <v>Valid</v>
      </c>
      <c r="AP2216" t="str">
        <f t="shared" si="451"/>
        <v>Valid</v>
      </c>
      <c r="AQ2216" t="str">
        <f>IF(Audit_Data[[#This Row],[Z_CostContact]]=3,"Valid","Invalid")</f>
        <v>Valid</v>
      </c>
      <c r="AR2216" t="str">
        <f t="shared" si="452"/>
        <v>Valid</v>
      </c>
      <c r="AS2216" t="str">
        <f t="shared" si="453"/>
        <v>Valid</v>
      </c>
    </row>
    <row r="2217" spans="1:45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 t="str">
        <f t="shared" si="442"/>
        <v>Ok</v>
      </c>
      <c r="AE2217" t="str">
        <f>IF(AND(Audit_Data[[#This Row],[Year_Birth]]&gt;=1900,Audit_Data[[#This Row],[Year_Birth]]&lt;=2010),"OK","Invalid")</f>
        <v>OK</v>
      </c>
      <c r="AF2217" t="str">
        <f t="shared" si="443"/>
        <v>Valid</v>
      </c>
      <c r="AG2217" t="str">
        <f t="shared" si="444"/>
        <v>Valid</v>
      </c>
      <c r="AH2217" t="str">
        <f t="shared" si="445"/>
        <v>Valid</v>
      </c>
      <c r="AI2217" t="str">
        <f t="shared" si="446"/>
        <v>Valid</v>
      </c>
      <c r="AJ2217" t="str">
        <f t="shared" si="447"/>
        <v>Valid</v>
      </c>
      <c r="AK2217" t="str">
        <f t="shared" si="454"/>
        <v xml:space="preserve">Valid </v>
      </c>
      <c r="AL2217" t="str">
        <f>IF(AND(Audit_Data[[#This Row],[Recency]]&gt;=0,Audit_Data[[#This Row],[Recency]]&lt;=100),"Valid","Invalid")</f>
        <v>Valid</v>
      </c>
      <c r="AM2217" t="str">
        <f t="shared" si="448"/>
        <v>Valid</v>
      </c>
      <c r="AN2217" t="str">
        <f t="shared" si="449"/>
        <v>Valid</v>
      </c>
      <c r="AO2217" t="str">
        <f t="shared" si="450"/>
        <v>Valid</v>
      </c>
      <c r="AP2217" t="str">
        <f t="shared" si="451"/>
        <v>Valid</v>
      </c>
      <c r="AQ2217" t="str">
        <f>IF(Audit_Data[[#This Row],[Z_CostContact]]=3,"Valid","Invalid")</f>
        <v>Valid</v>
      </c>
      <c r="AR2217" t="str">
        <f t="shared" si="452"/>
        <v>Valid</v>
      </c>
      <c r="AS2217" t="str">
        <f t="shared" si="453"/>
        <v>Valid</v>
      </c>
    </row>
    <row r="2218" spans="1:45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 t="str">
        <f t="shared" si="442"/>
        <v>Ok</v>
      </c>
      <c r="AE2218" t="str">
        <f>IF(AND(Audit_Data[[#This Row],[Year_Birth]]&gt;=1900,Audit_Data[[#This Row],[Year_Birth]]&lt;=2010),"OK","Invalid")</f>
        <v>OK</v>
      </c>
      <c r="AF2218" t="str">
        <f t="shared" si="443"/>
        <v>Valid</v>
      </c>
      <c r="AG2218" t="str">
        <f t="shared" si="444"/>
        <v>Valid</v>
      </c>
      <c r="AH2218" t="str">
        <f t="shared" si="445"/>
        <v>Valid</v>
      </c>
      <c r="AI2218" t="str">
        <f t="shared" si="446"/>
        <v>Valid</v>
      </c>
      <c r="AJ2218" t="str">
        <f t="shared" si="447"/>
        <v>Valid</v>
      </c>
      <c r="AK2218" t="str">
        <f t="shared" si="454"/>
        <v xml:space="preserve">Valid </v>
      </c>
      <c r="AL2218" t="str">
        <f>IF(AND(Audit_Data[[#This Row],[Recency]]&gt;=0,Audit_Data[[#This Row],[Recency]]&lt;=100),"Valid","Invalid")</f>
        <v>Valid</v>
      </c>
      <c r="AM2218" t="str">
        <f t="shared" si="448"/>
        <v>Valid</v>
      </c>
      <c r="AN2218" t="str">
        <f t="shared" si="449"/>
        <v>Valid</v>
      </c>
      <c r="AO2218" t="str">
        <f t="shared" si="450"/>
        <v>Valid</v>
      </c>
      <c r="AP2218" t="str">
        <f t="shared" si="451"/>
        <v>Valid</v>
      </c>
      <c r="AQ2218" t="str">
        <f>IF(Audit_Data[[#This Row],[Z_CostContact]]=3,"Valid","Invalid")</f>
        <v>Valid</v>
      </c>
      <c r="AR2218" t="str">
        <f t="shared" si="452"/>
        <v>Valid</v>
      </c>
      <c r="AS2218" t="str">
        <f t="shared" si="453"/>
        <v>Valid</v>
      </c>
    </row>
    <row r="2219" spans="1:45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 t="str">
        <f t="shared" si="442"/>
        <v>Ok</v>
      </c>
      <c r="AE2219" t="str">
        <f>IF(AND(Audit_Data[[#This Row],[Year_Birth]]&gt;=1900,Audit_Data[[#This Row],[Year_Birth]]&lt;=2010),"OK","Invalid")</f>
        <v>OK</v>
      </c>
      <c r="AF2219" t="str">
        <f t="shared" si="443"/>
        <v>Valid</v>
      </c>
      <c r="AG2219" t="str">
        <f t="shared" si="444"/>
        <v>Valid</v>
      </c>
      <c r="AH2219" t="str">
        <f t="shared" si="445"/>
        <v>Valid</v>
      </c>
      <c r="AI2219" t="str">
        <f t="shared" si="446"/>
        <v>Valid</v>
      </c>
      <c r="AJ2219" t="str">
        <f t="shared" si="447"/>
        <v>Valid</v>
      </c>
      <c r="AK2219" t="str">
        <f t="shared" si="454"/>
        <v xml:space="preserve">Valid </v>
      </c>
      <c r="AL2219" t="str">
        <f>IF(AND(Audit_Data[[#This Row],[Recency]]&gt;=0,Audit_Data[[#This Row],[Recency]]&lt;=100),"Valid","Invalid")</f>
        <v>Valid</v>
      </c>
      <c r="AM2219" t="str">
        <f t="shared" si="448"/>
        <v>Valid</v>
      </c>
      <c r="AN2219" t="str">
        <f t="shared" si="449"/>
        <v>Valid</v>
      </c>
      <c r="AO2219" t="str">
        <f t="shared" si="450"/>
        <v>Valid</v>
      </c>
      <c r="AP2219" t="str">
        <f t="shared" si="451"/>
        <v>Valid</v>
      </c>
      <c r="AQ2219" t="str">
        <f>IF(Audit_Data[[#This Row],[Z_CostContact]]=3,"Valid","Invalid")</f>
        <v>Valid</v>
      </c>
      <c r="AR2219" t="str">
        <f t="shared" si="452"/>
        <v>Valid</v>
      </c>
      <c r="AS2219" t="str">
        <f t="shared" si="453"/>
        <v>Valid</v>
      </c>
    </row>
    <row r="2220" spans="1:45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 t="str">
        <f t="shared" si="442"/>
        <v>Ok</v>
      </c>
      <c r="AE2220" t="str">
        <f>IF(AND(Audit_Data[[#This Row],[Year_Birth]]&gt;=1900,Audit_Data[[#This Row],[Year_Birth]]&lt;=2010),"OK","Invalid")</f>
        <v>OK</v>
      </c>
      <c r="AF2220" t="str">
        <f t="shared" si="443"/>
        <v>Valid</v>
      </c>
      <c r="AG2220" t="str">
        <f t="shared" si="444"/>
        <v>Valid</v>
      </c>
      <c r="AH2220" t="str">
        <f t="shared" si="445"/>
        <v>Valid</v>
      </c>
      <c r="AI2220" t="str">
        <f t="shared" si="446"/>
        <v>Valid</v>
      </c>
      <c r="AJ2220" t="str">
        <f t="shared" si="447"/>
        <v>Valid</v>
      </c>
      <c r="AK2220" t="str">
        <f t="shared" si="454"/>
        <v xml:space="preserve">Valid </v>
      </c>
      <c r="AL2220" t="str">
        <f>IF(AND(Audit_Data[[#This Row],[Recency]]&gt;=0,Audit_Data[[#This Row],[Recency]]&lt;=100),"Valid","Invalid")</f>
        <v>Valid</v>
      </c>
      <c r="AM2220" t="str">
        <f t="shared" si="448"/>
        <v>Valid</v>
      </c>
      <c r="AN2220" t="str">
        <f t="shared" si="449"/>
        <v>Valid</v>
      </c>
      <c r="AO2220" t="str">
        <f t="shared" si="450"/>
        <v>Valid</v>
      </c>
      <c r="AP2220" t="str">
        <f t="shared" si="451"/>
        <v>Valid</v>
      </c>
      <c r="AQ2220" t="str">
        <f>IF(Audit_Data[[#This Row],[Z_CostContact]]=3,"Valid","Invalid")</f>
        <v>Valid</v>
      </c>
      <c r="AR2220" t="str">
        <f t="shared" si="452"/>
        <v>Valid</v>
      </c>
      <c r="AS2220" t="str">
        <f t="shared" si="453"/>
        <v>Valid</v>
      </c>
    </row>
    <row r="2221" spans="1:45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 t="str">
        <f t="shared" si="442"/>
        <v>Ok</v>
      </c>
      <c r="AE2221" t="str">
        <f>IF(AND(Audit_Data[[#This Row],[Year_Birth]]&gt;=1900,Audit_Data[[#This Row],[Year_Birth]]&lt;=2010),"OK","Invalid")</f>
        <v>OK</v>
      </c>
      <c r="AF2221" t="str">
        <f t="shared" si="443"/>
        <v>Valid</v>
      </c>
      <c r="AG2221" t="str">
        <f t="shared" si="444"/>
        <v>Valid</v>
      </c>
      <c r="AH2221" t="str">
        <f t="shared" si="445"/>
        <v>Valid</v>
      </c>
      <c r="AI2221" t="str">
        <f t="shared" si="446"/>
        <v>Valid</v>
      </c>
      <c r="AJ2221" t="str">
        <f t="shared" si="447"/>
        <v>Valid</v>
      </c>
      <c r="AK2221" t="str">
        <f t="shared" si="454"/>
        <v xml:space="preserve">Valid </v>
      </c>
      <c r="AL2221" t="str">
        <f>IF(AND(Audit_Data[[#This Row],[Recency]]&gt;=0,Audit_Data[[#This Row],[Recency]]&lt;=100),"Valid","Invalid")</f>
        <v>Valid</v>
      </c>
      <c r="AM2221" t="str">
        <f t="shared" si="448"/>
        <v>Valid</v>
      </c>
      <c r="AN2221" t="str">
        <f t="shared" si="449"/>
        <v>Valid</v>
      </c>
      <c r="AO2221" t="str">
        <f t="shared" si="450"/>
        <v>Valid</v>
      </c>
      <c r="AP2221" t="str">
        <f t="shared" si="451"/>
        <v>Valid</v>
      </c>
      <c r="AQ2221" t="str">
        <f>IF(Audit_Data[[#This Row],[Z_CostContact]]=3,"Valid","Invalid")</f>
        <v>Valid</v>
      </c>
      <c r="AR2221" t="str">
        <f t="shared" si="452"/>
        <v>Valid</v>
      </c>
      <c r="AS2221" t="str">
        <f t="shared" si="453"/>
        <v>Valid</v>
      </c>
    </row>
    <row r="2222" spans="1:45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 t="str">
        <f t="shared" si="442"/>
        <v>Ok</v>
      </c>
      <c r="AE2222" t="str">
        <f>IF(AND(Audit_Data[[#This Row],[Year_Birth]]&gt;=1900,Audit_Data[[#This Row],[Year_Birth]]&lt;=2010),"OK","Invalid")</f>
        <v>OK</v>
      </c>
      <c r="AF2222" t="str">
        <f t="shared" si="443"/>
        <v>Valid</v>
      </c>
      <c r="AG2222" t="str">
        <f t="shared" si="444"/>
        <v>Valid</v>
      </c>
      <c r="AH2222" t="str">
        <f t="shared" si="445"/>
        <v>Valid</v>
      </c>
      <c r="AI2222" t="str">
        <f t="shared" si="446"/>
        <v>Valid</v>
      </c>
      <c r="AJ2222" t="str">
        <f t="shared" si="447"/>
        <v>Valid</v>
      </c>
      <c r="AK2222" t="str">
        <f t="shared" si="454"/>
        <v xml:space="preserve">Valid </v>
      </c>
      <c r="AL2222" t="str">
        <f>IF(AND(Audit_Data[[#This Row],[Recency]]&gt;=0,Audit_Data[[#This Row],[Recency]]&lt;=100),"Valid","Invalid")</f>
        <v>Valid</v>
      </c>
      <c r="AM2222" t="str">
        <f t="shared" si="448"/>
        <v>Valid</v>
      </c>
      <c r="AN2222" t="str">
        <f t="shared" si="449"/>
        <v>Valid</v>
      </c>
      <c r="AO2222" t="str">
        <f t="shared" si="450"/>
        <v>Valid</v>
      </c>
      <c r="AP2222" t="str">
        <f t="shared" si="451"/>
        <v>Valid</v>
      </c>
      <c r="AQ2222" t="str">
        <f>IF(Audit_Data[[#This Row],[Z_CostContact]]=3,"Valid","Invalid")</f>
        <v>Valid</v>
      </c>
      <c r="AR2222" t="str">
        <f t="shared" si="452"/>
        <v>Valid</v>
      </c>
      <c r="AS2222" t="str">
        <f t="shared" si="453"/>
        <v>Valid</v>
      </c>
    </row>
    <row r="2223" spans="1:45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 t="str">
        <f t="shared" si="442"/>
        <v>Ok</v>
      </c>
      <c r="AE2223" t="str">
        <f>IF(AND(Audit_Data[[#This Row],[Year_Birth]]&gt;=1900,Audit_Data[[#This Row],[Year_Birth]]&lt;=2010),"OK","Invalid")</f>
        <v>OK</v>
      </c>
      <c r="AF2223" t="str">
        <f t="shared" si="443"/>
        <v>Valid</v>
      </c>
      <c r="AG2223" t="str">
        <f t="shared" si="444"/>
        <v>Valid</v>
      </c>
      <c r="AH2223" t="str">
        <f t="shared" si="445"/>
        <v>Valid</v>
      </c>
      <c r="AI2223" t="str">
        <f t="shared" si="446"/>
        <v>Valid</v>
      </c>
      <c r="AJ2223" t="str">
        <f t="shared" si="447"/>
        <v>Valid</v>
      </c>
      <c r="AK2223" t="str">
        <f t="shared" si="454"/>
        <v xml:space="preserve">Valid </v>
      </c>
      <c r="AL2223" t="str">
        <f>IF(AND(Audit_Data[[#This Row],[Recency]]&gt;=0,Audit_Data[[#This Row],[Recency]]&lt;=100),"Valid","Invalid")</f>
        <v>Valid</v>
      </c>
      <c r="AM2223" t="str">
        <f t="shared" si="448"/>
        <v>Valid</v>
      </c>
      <c r="AN2223" t="str">
        <f t="shared" si="449"/>
        <v>Valid</v>
      </c>
      <c r="AO2223" t="str">
        <f t="shared" si="450"/>
        <v>Valid</v>
      </c>
      <c r="AP2223" t="str">
        <f t="shared" si="451"/>
        <v>Valid</v>
      </c>
      <c r="AQ2223" t="str">
        <f>IF(Audit_Data[[#This Row],[Z_CostContact]]=3,"Valid","Invalid")</f>
        <v>Valid</v>
      </c>
      <c r="AR2223" t="str">
        <f t="shared" si="452"/>
        <v>Valid</v>
      </c>
      <c r="AS2223" t="str">
        <f t="shared" si="453"/>
        <v>Valid</v>
      </c>
    </row>
    <row r="2224" spans="1:45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 t="str">
        <f t="shared" si="442"/>
        <v>Ok</v>
      </c>
      <c r="AE2224" t="str">
        <f>IF(AND(Audit_Data[[#This Row],[Year_Birth]]&gt;=1900,Audit_Data[[#This Row],[Year_Birth]]&lt;=2010),"OK","Invalid")</f>
        <v>OK</v>
      </c>
      <c r="AF2224" t="str">
        <f t="shared" si="443"/>
        <v>Valid</v>
      </c>
      <c r="AG2224" t="str">
        <f t="shared" si="444"/>
        <v>Valid</v>
      </c>
      <c r="AH2224" t="str">
        <f t="shared" si="445"/>
        <v>Valid</v>
      </c>
      <c r="AI2224" t="str">
        <f t="shared" si="446"/>
        <v>Valid</v>
      </c>
      <c r="AJ2224" t="str">
        <f t="shared" si="447"/>
        <v>Valid</v>
      </c>
      <c r="AK2224" t="str">
        <f t="shared" si="454"/>
        <v xml:space="preserve">Valid </v>
      </c>
      <c r="AL2224" t="str">
        <f>IF(AND(Audit_Data[[#This Row],[Recency]]&gt;=0,Audit_Data[[#This Row],[Recency]]&lt;=100),"Valid","Invalid")</f>
        <v>Valid</v>
      </c>
      <c r="AM2224" t="str">
        <f t="shared" si="448"/>
        <v>Valid</v>
      </c>
      <c r="AN2224" t="str">
        <f t="shared" si="449"/>
        <v>Valid</v>
      </c>
      <c r="AO2224" t="str">
        <f t="shared" si="450"/>
        <v>Valid</v>
      </c>
      <c r="AP2224" t="str">
        <f t="shared" si="451"/>
        <v>Valid</v>
      </c>
      <c r="AQ2224" t="str">
        <f>IF(Audit_Data[[#This Row],[Z_CostContact]]=3,"Valid","Invalid")</f>
        <v>Valid</v>
      </c>
      <c r="AR2224" t="str">
        <f t="shared" si="452"/>
        <v>Valid</v>
      </c>
      <c r="AS2224" t="str">
        <f t="shared" si="453"/>
        <v>Valid</v>
      </c>
    </row>
    <row r="2225" spans="1:45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 t="str">
        <f t="shared" si="442"/>
        <v>Ok</v>
      </c>
      <c r="AE2225" t="str">
        <f>IF(AND(Audit_Data[[#This Row],[Year_Birth]]&gt;=1900,Audit_Data[[#This Row],[Year_Birth]]&lt;=2010),"OK","Invalid")</f>
        <v>OK</v>
      </c>
      <c r="AF2225" t="str">
        <f t="shared" si="443"/>
        <v>Valid</v>
      </c>
      <c r="AG2225" t="str">
        <f t="shared" si="444"/>
        <v>Valid</v>
      </c>
      <c r="AH2225" t="str">
        <f t="shared" si="445"/>
        <v>Valid</v>
      </c>
      <c r="AI2225" t="str">
        <f t="shared" si="446"/>
        <v>Valid</v>
      </c>
      <c r="AJ2225" t="str">
        <f t="shared" si="447"/>
        <v>Valid</v>
      </c>
      <c r="AK2225" t="str">
        <f t="shared" si="454"/>
        <v xml:space="preserve">Valid </v>
      </c>
      <c r="AL2225" t="str">
        <f>IF(AND(Audit_Data[[#This Row],[Recency]]&gt;=0,Audit_Data[[#This Row],[Recency]]&lt;=100),"Valid","Invalid")</f>
        <v>Valid</v>
      </c>
      <c r="AM2225" t="str">
        <f t="shared" si="448"/>
        <v>Valid</v>
      </c>
      <c r="AN2225" t="str">
        <f t="shared" si="449"/>
        <v>Valid</v>
      </c>
      <c r="AO2225" t="str">
        <f t="shared" si="450"/>
        <v>Valid</v>
      </c>
      <c r="AP2225" t="str">
        <f t="shared" si="451"/>
        <v>Valid</v>
      </c>
      <c r="AQ2225" t="str">
        <f>IF(Audit_Data[[#This Row],[Z_CostContact]]=3,"Valid","Invalid")</f>
        <v>Valid</v>
      </c>
      <c r="AR2225" t="str">
        <f t="shared" si="452"/>
        <v>Valid</v>
      </c>
      <c r="AS2225" t="str">
        <f t="shared" si="453"/>
        <v>Valid</v>
      </c>
    </row>
    <row r="2226" spans="1:45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 t="str">
        <f t="shared" si="442"/>
        <v>Ok</v>
      </c>
      <c r="AE2226" t="str">
        <f>IF(AND(Audit_Data[[#This Row],[Year_Birth]]&gt;=1900,Audit_Data[[#This Row],[Year_Birth]]&lt;=2010),"OK","Invalid")</f>
        <v>OK</v>
      </c>
      <c r="AF2226" t="str">
        <f t="shared" si="443"/>
        <v>Valid</v>
      </c>
      <c r="AG2226" t="str">
        <f t="shared" si="444"/>
        <v>Valid</v>
      </c>
      <c r="AH2226" t="str">
        <f t="shared" si="445"/>
        <v>Valid</v>
      </c>
      <c r="AI2226" t="str">
        <f t="shared" si="446"/>
        <v>Valid</v>
      </c>
      <c r="AJ2226" t="str">
        <f t="shared" si="447"/>
        <v>Valid</v>
      </c>
      <c r="AK2226" t="str">
        <f t="shared" si="454"/>
        <v xml:space="preserve">Valid </v>
      </c>
      <c r="AL2226" t="str">
        <f>IF(AND(Audit_Data[[#This Row],[Recency]]&gt;=0,Audit_Data[[#This Row],[Recency]]&lt;=100),"Valid","Invalid")</f>
        <v>Valid</v>
      </c>
      <c r="AM2226" t="str">
        <f t="shared" si="448"/>
        <v>Valid</v>
      </c>
      <c r="AN2226" t="str">
        <f t="shared" si="449"/>
        <v>Valid</v>
      </c>
      <c r="AO2226" t="str">
        <f t="shared" si="450"/>
        <v>Valid</v>
      </c>
      <c r="AP2226" t="str">
        <f t="shared" si="451"/>
        <v>Valid</v>
      </c>
      <c r="AQ2226" t="str">
        <f>IF(Audit_Data[[#This Row],[Z_CostContact]]=3,"Valid","Invalid")</f>
        <v>Valid</v>
      </c>
      <c r="AR2226" t="str">
        <f t="shared" si="452"/>
        <v>Valid</v>
      </c>
      <c r="AS2226" t="str">
        <f t="shared" si="453"/>
        <v>Valid</v>
      </c>
    </row>
    <row r="2227" spans="1:45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 t="str">
        <f t="shared" si="442"/>
        <v>Ok</v>
      </c>
      <c r="AE2227" t="str">
        <f>IF(AND(Audit_Data[[#This Row],[Year_Birth]]&gt;=1900,Audit_Data[[#This Row],[Year_Birth]]&lt;=2010),"OK","Invalid")</f>
        <v>OK</v>
      </c>
      <c r="AF2227" t="str">
        <f t="shared" si="443"/>
        <v>Valid</v>
      </c>
      <c r="AG2227" t="str">
        <f t="shared" si="444"/>
        <v>Valid</v>
      </c>
      <c r="AH2227" t="str">
        <f t="shared" si="445"/>
        <v>Valid</v>
      </c>
      <c r="AI2227" t="str">
        <f t="shared" si="446"/>
        <v>Valid</v>
      </c>
      <c r="AJ2227" t="str">
        <f t="shared" si="447"/>
        <v>Valid</v>
      </c>
      <c r="AK2227" t="str">
        <f t="shared" si="454"/>
        <v xml:space="preserve">Valid </v>
      </c>
      <c r="AL2227" t="str">
        <f>IF(AND(Audit_Data[[#This Row],[Recency]]&gt;=0,Audit_Data[[#This Row],[Recency]]&lt;=100),"Valid","Invalid")</f>
        <v>Valid</v>
      </c>
      <c r="AM2227" t="str">
        <f t="shared" si="448"/>
        <v>Valid</v>
      </c>
      <c r="AN2227" t="str">
        <f t="shared" si="449"/>
        <v>Valid</v>
      </c>
      <c r="AO2227" t="str">
        <f t="shared" si="450"/>
        <v>Valid</v>
      </c>
      <c r="AP2227" t="str">
        <f t="shared" si="451"/>
        <v>Valid</v>
      </c>
      <c r="AQ2227" t="str">
        <f>IF(Audit_Data[[#This Row],[Z_CostContact]]=3,"Valid","Invalid")</f>
        <v>Valid</v>
      </c>
      <c r="AR2227" t="str">
        <f t="shared" si="452"/>
        <v>Valid</v>
      </c>
      <c r="AS2227" t="str">
        <f t="shared" si="453"/>
        <v>Valid</v>
      </c>
    </row>
    <row r="2228" spans="1:45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 t="str">
        <f t="shared" si="442"/>
        <v>Ok</v>
      </c>
      <c r="AE2228" t="str">
        <f>IF(AND(Audit_Data[[#This Row],[Year_Birth]]&gt;=1900,Audit_Data[[#This Row],[Year_Birth]]&lt;=2010),"OK","Invalid")</f>
        <v>OK</v>
      </c>
      <c r="AF2228" t="str">
        <f t="shared" si="443"/>
        <v>Valid</v>
      </c>
      <c r="AG2228" t="str">
        <f t="shared" si="444"/>
        <v>Valid</v>
      </c>
      <c r="AH2228" t="str">
        <f t="shared" si="445"/>
        <v>Valid</v>
      </c>
      <c r="AI2228" t="str">
        <f t="shared" si="446"/>
        <v>Valid</v>
      </c>
      <c r="AJ2228" t="str">
        <f t="shared" si="447"/>
        <v>Valid</v>
      </c>
      <c r="AK2228" t="str">
        <f t="shared" si="454"/>
        <v xml:space="preserve">Valid </v>
      </c>
      <c r="AL2228" t="str">
        <f>IF(AND(Audit_Data[[#This Row],[Recency]]&gt;=0,Audit_Data[[#This Row],[Recency]]&lt;=100),"Valid","Invalid")</f>
        <v>Valid</v>
      </c>
      <c r="AM2228" t="str">
        <f t="shared" si="448"/>
        <v>Valid</v>
      </c>
      <c r="AN2228" t="str">
        <f t="shared" si="449"/>
        <v>Valid</v>
      </c>
      <c r="AO2228" t="str">
        <f t="shared" si="450"/>
        <v>Valid</v>
      </c>
      <c r="AP2228" t="str">
        <f t="shared" si="451"/>
        <v>Valid</v>
      </c>
      <c r="AQ2228" t="str">
        <f>IF(Audit_Data[[#This Row],[Z_CostContact]]=3,"Valid","Invalid")</f>
        <v>Valid</v>
      </c>
      <c r="AR2228" t="str">
        <f t="shared" si="452"/>
        <v>Valid</v>
      </c>
      <c r="AS2228" t="str">
        <f t="shared" si="453"/>
        <v>Valid</v>
      </c>
    </row>
    <row r="2229" spans="1:45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 t="str">
        <f t="shared" si="442"/>
        <v>Ok</v>
      </c>
      <c r="AE2229" t="str">
        <f>IF(AND(Audit_Data[[#This Row],[Year_Birth]]&gt;=1900,Audit_Data[[#This Row],[Year_Birth]]&lt;=2010),"OK","Invalid")</f>
        <v>OK</v>
      </c>
      <c r="AF2229" t="str">
        <f t="shared" si="443"/>
        <v>Valid</v>
      </c>
      <c r="AG2229" t="str">
        <f t="shared" si="444"/>
        <v>Valid</v>
      </c>
      <c r="AH2229" t="str">
        <f t="shared" si="445"/>
        <v>Valid</v>
      </c>
      <c r="AI2229" t="str">
        <f t="shared" si="446"/>
        <v>Valid</v>
      </c>
      <c r="AJ2229" t="str">
        <f t="shared" si="447"/>
        <v>Valid</v>
      </c>
      <c r="AK2229" t="str">
        <f t="shared" si="454"/>
        <v xml:space="preserve">Valid </v>
      </c>
      <c r="AL2229" t="str">
        <f>IF(AND(Audit_Data[[#This Row],[Recency]]&gt;=0,Audit_Data[[#This Row],[Recency]]&lt;=100),"Valid","Invalid")</f>
        <v>Valid</v>
      </c>
      <c r="AM2229" t="str">
        <f t="shared" si="448"/>
        <v>Valid</v>
      </c>
      <c r="AN2229" t="str">
        <f t="shared" si="449"/>
        <v>Valid</v>
      </c>
      <c r="AO2229" t="str">
        <f t="shared" si="450"/>
        <v>Valid</v>
      </c>
      <c r="AP2229" t="str">
        <f t="shared" si="451"/>
        <v>Valid</v>
      </c>
      <c r="AQ2229" t="str">
        <f>IF(Audit_Data[[#This Row],[Z_CostContact]]=3,"Valid","Invalid")</f>
        <v>Valid</v>
      </c>
      <c r="AR2229" t="str">
        <f t="shared" si="452"/>
        <v>Valid</v>
      </c>
      <c r="AS2229" t="str">
        <f t="shared" si="453"/>
        <v>Valid</v>
      </c>
    </row>
    <row r="2230" spans="1:45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 t="str">
        <f t="shared" si="442"/>
        <v>Ok</v>
      </c>
      <c r="AE2230" t="str">
        <f>IF(AND(Audit_Data[[#This Row],[Year_Birth]]&gt;=1900,Audit_Data[[#This Row],[Year_Birth]]&lt;=2010),"OK","Invalid")</f>
        <v>OK</v>
      </c>
      <c r="AF2230" t="str">
        <f t="shared" si="443"/>
        <v>Valid</v>
      </c>
      <c r="AG2230" t="str">
        <f t="shared" si="444"/>
        <v>Valid</v>
      </c>
      <c r="AH2230" t="str">
        <f t="shared" si="445"/>
        <v>Invalid</v>
      </c>
      <c r="AI2230" t="str">
        <f t="shared" si="446"/>
        <v>Valid</v>
      </c>
      <c r="AJ2230" t="str">
        <f t="shared" si="447"/>
        <v>Valid</v>
      </c>
      <c r="AK2230" t="str">
        <f t="shared" si="454"/>
        <v xml:space="preserve">Valid </v>
      </c>
      <c r="AL2230" t="str">
        <f>IF(AND(Audit_Data[[#This Row],[Recency]]&gt;=0,Audit_Data[[#This Row],[Recency]]&lt;=100),"Valid","Invalid")</f>
        <v>Valid</v>
      </c>
      <c r="AM2230" t="str">
        <f t="shared" si="448"/>
        <v>Valid</v>
      </c>
      <c r="AN2230" t="str">
        <f t="shared" si="449"/>
        <v>Valid</v>
      </c>
      <c r="AO2230" t="str">
        <f t="shared" si="450"/>
        <v>Valid</v>
      </c>
      <c r="AP2230" t="str">
        <f t="shared" si="451"/>
        <v>Valid</v>
      </c>
      <c r="AQ2230" t="str">
        <f>IF(Audit_Data[[#This Row],[Z_CostContact]]=3,"Valid","Invalid")</f>
        <v>Valid</v>
      </c>
      <c r="AR2230" t="str">
        <f t="shared" si="452"/>
        <v>Valid</v>
      </c>
      <c r="AS2230" t="str">
        <f t="shared" si="453"/>
        <v>Valid</v>
      </c>
    </row>
    <row r="2231" spans="1:45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 t="str">
        <f t="shared" si="442"/>
        <v>Ok</v>
      </c>
      <c r="AE2231" t="str">
        <f>IF(AND(Audit_Data[[#This Row],[Year_Birth]]&gt;=1900,Audit_Data[[#This Row],[Year_Birth]]&lt;=2010),"OK","Invalid")</f>
        <v>OK</v>
      </c>
      <c r="AF2231" t="str">
        <f t="shared" si="443"/>
        <v>Valid</v>
      </c>
      <c r="AG2231" t="str">
        <f t="shared" si="444"/>
        <v>Valid</v>
      </c>
      <c r="AH2231" t="str">
        <f t="shared" si="445"/>
        <v>Valid</v>
      </c>
      <c r="AI2231" t="str">
        <f t="shared" si="446"/>
        <v>Valid</v>
      </c>
      <c r="AJ2231" t="str">
        <f t="shared" si="447"/>
        <v>Valid</v>
      </c>
      <c r="AK2231" t="str">
        <f t="shared" si="454"/>
        <v xml:space="preserve">Valid </v>
      </c>
      <c r="AL2231" t="str">
        <f>IF(AND(Audit_Data[[#This Row],[Recency]]&gt;=0,Audit_Data[[#This Row],[Recency]]&lt;=100),"Valid","Invalid")</f>
        <v>Valid</v>
      </c>
      <c r="AM2231" t="str">
        <f t="shared" si="448"/>
        <v>Valid</v>
      </c>
      <c r="AN2231" t="str">
        <f t="shared" si="449"/>
        <v>Valid</v>
      </c>
      <c r="AO2231" t="str">
        <f t="shared" si="450"/>
        <v>Valid</v>
      </c>
      <c r="AP2231" t="str">
        <f t="shared" si="451"/>
        <v>Valid</v>
      </c>
      <c r="AQ2231" t="str">
        <f>IF(Audit_Data[[#This Row],[Z_CostContact]]=3,"Valid","Invalid")</f>
        <v>Valid</v>
      </c>
      <c r="AR2231" t="str">
        <f t="shared" si="452"/>
        <v>Valid</v>
      </c>
      <c r="AS2231" t="str">
        <f t="shared" si="453"/>
        <v>Valid</v>
      </c>
    </row>
    <row r="2232" spans="1:45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 t="str">
        <f t="shared" si="442"/>
        <v>Ok</v>
      </c>
      <c r="AE2232" t="str">
        <f>IF(AND(Audit_Data[[#This Row],[Year_Birth]]&gt;=1900,Audit_Data[[#This Row],[Year_Birth]]&lt;=2010),"OK","Invalid")</f>
        <v>OK</v>
      </c>
      <c r="AF2232" t="str">
        <f t="shared" si="443"/>
        <v>Valid</v>
      </c>
      <c r="AG2232" t="str">
        <f t="shared" si="444"/>
        <v>Valid</v>
      </c>
      <c r="AH2232" t="str">
        <f t="shared" si="445"/>
        <v>Valid</v>
      </c>
      <c r="AI2232" t="str">
        <f t="shared" si="446"/>
        <v>Valid</v>
      </c>
      <c r="AJ2232" t="str">
        <f t="shared" si="447"/>
        <v>Valid</v>
      </c>
      <c r="AK2232" t="str">
        <f t="shared" si="454"/>
        <v xml:space="preserve">Valid </v>
      </c>
      <c r="AL2232" t="str">
        <f>IF(AND(Audit_Data[[#This Row],[Recency]]&gt;=0,Audit_Data[[#This Row],[Recency]]&lt;=100),"Valid","Invalid")</f>
        <v>Valid</v>
      </c>
      <c r="AM2232" t="str">
        <f t="shared" si="448"/>
        <v>Valid</v>
      </c>
      <c r="AN2232" t="str">
        <f t="shared" si="449"/>
        <v>Valid</v>
      </c>
      <c r="AO2232" t="str">
        <f t="shared" si="450"/>
        <v>Valid</v>
      </c>
      <c r="AP2232" t="str">
        <f t="shared" si="451"/>
        <v>Valid</v>
      </c>
      <c r="AQ2232" t="str">
        <f>IF(Audit_Data[[#This Row],[Z_CostContact]]=3,"Valid","Invalid")</f>
        <v>Valid</v>
      </c>
      <c r="AR2232" t="str">
        <f t="shared" si="452"/>
        <v>Valid</v>
      </c>
      <c r="AS2232" t="str">
        <f t="shared" si="453"/>
        <v>Valid</v>
      </c>
    </row>
    <row r="2233" spans="1:45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 t="str">
        <f t="shared" si="442"/>
        <v>Ok</v>
      </c>
      <c r="AE2233" t="str">
        <f>IF(AND(Audit_Data[[#This Row],[Year_Birth]]&gt;=1900,Audit_Data[[#This Row],[Year_Birth]]&lt;=2010),"OK","Invalid")</f>
        <v>OK</v>
      </c>
      <c r="AF2233" t="str">
        <f t="shared" si="443"/>
        <v>Valid</v>
      </c>
      <c r="AG2233" t="str">
        <f t="shared" si="444"/>
        <v>Valid</v>
      </c>
      <c r="AH2233" t="str">
        <f t="shared" si="445"/>
        <v>Valid</v>
      </c>
      <c r="AI2233" t="str">
        <f t="shared" si="446"/>
        <v>Valid</v>
      </c>
      <c r="AJ2233" t="str">
        <f t="shared" si="447"/>
        <v>Valid</v>
      </c>
      <c r="AK2233" t="str">
        <f t="shared" si="454"/>
        <v xml:space="preserve">Valid </v>
      </c>
      <c r="AL2233" t="str">
        <f>IF(AND(Audit_Data[[#This Row],[Recency]]&gt;=0,Audit_Data[[#This Row],[Recency]]&lt;=100),"Valid","Invalid")</f>
        <v>Valid</v>
      </c>
      <c r="AM2233" t="str">
        <f t="shared" si="448"/>
        <v>Valid</v>
      </c>
      <c r="AN2233" t="str">
        <f t="shared" si="449"/>
        <v>Valid</v>
      </c>
      <c r="AO2233" t="str">
        <f t="shared" si="450"/>
        <v>Valid</v>
      </c>
      <c r="AP2233" t="str">
        <f t="shared" si="451"/>
        <v>Valid</v>
      </c>
      <c r="AQ2233" t="str">
        <f>IF(Audit_Data[[#This Row],[Z_CostContact]]=3,"Valid","Invalid")</f>
        <v>Valid</v>
      </c>
      <c r="AR2233" t="str">
        <f t="shared" si="452"/>
        <v>Valid</v>
      </c>
      <c r="AS2233" t="str">
        <f t="shared" si="453"/>
        <v>Valid</v>
      </c>
    </row>
    <row r="2234" spans="1:45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 t="str">
        <f t="shared" si="442"/>
        <v>Ok</v>
      </c>
      <c r="AE2234" t="str">
        <f>IF(AND(Audit_Data[[#This Row],[Year_Birth]]&gt;=1900,Audit_Data[[#This Row],[Year_Birth]]&lt;=2010),"OK","Invalid")</f>
        <v>OK</v>
      </c>
      <c r="AF2234" t="str">
        <f t="shared" si="443"/>
        <v>Valid</v>
      </c>
      <c r="AG2234" t="str">
        <f t="shared" si="444"/>
        <v>Valid</v>
      </c>
      <c r="AH2234" t="str">
        <f t="shared" si="445"/>
        <v>Valid</v>
      </c>
      <c r="AI2234" t="str">
        <f t="shared" si="446"/>
        <v>Valid</v>
      </c>
      <c r="AJ2234" t="str">
        <f t="shared" si="447"/>
        <v>Valid</v>
      </c>
      <c r="AK2234" t="str">
        <f t="shared" si="454"/>
        <v xml:space="preserve">Valid </v>
      </c>
      <c r="AL2234" t="str">
        <f>IF(AND(Audit_Data[[#This Row],[Recency]]&gt;=0,Audit_Data[[#This Row],[Recency]]&lt;=100),"Valid","Invalid")</f>
        <v>Valid</v>
      </c>
      <c r="AM2234" t="str">
        <f t="shared" si="448"/>
        <v>Valid</v>
      </c>
      <c r="AN2234" t="str">
        <f t="shared" si="449"/>
        <v>Valid</v>
      </c>
      <c r="AO2234" t="str">
        <f t="shared" si="450"/>
        <v>Valid</v>
      </c>
      <c r="AP2234" t="str">
        <f t="shared" si="451"/>
        <v>Valid</v>
      </c>
      <c r="AQ2234" t="str">
        <f>IF(Audit_Data[[#This Row],[Z_CostContact]]=3,"Valid","Invalid")</f>
        <v>Valid</v>
      </c>
      <c r="AR2234" t="str">
        <f t="shared" si="452"/>
        <v>Valid</v>
      </c>
      <c r="AS2234" t="str">
        <f t="shared" si="453"/>
        <v>Valid</v>
      </c>
    </row>
    <row r="2235" spans="1:45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 t="str">
        <f t="shared" si="442"/>
        <v>Ok</v>
      </c>
      <c r="AE2235" t="str">
        <f>IF(AND(Audit_Data[[#This Row],[Year_Birth]]&gt;=1900,Audit_Data[[#This Row],[Year_Birth]]&lt;=2010),"OK","Invalid")</f>
        <v>OK</v>
      </c>
      <c r="AF2235" t="str">
        <f t="shared" si="443"/>
        <v>Valid</v>
      </c>
      <c r="AG2235" t="str">
        <f t="shared" si="444"/>
        <v>Valid</v>
      </c>
      <c r="AH2235" t="str">
        <f t="shared" si="445"/>
        <v>Valid</v>
      </c>
      <c r="AI2235" t="str">
        <f t="shared" si="446"/>
        <v>Valid</v>
      </c>
      <c r="AJ2235" t="str">
        <f t="shared" si="447"/>
        <v>Valid</v>
      </c>
      <c r="AK2235" t="str">
        <f t="shared" si="454"/>
        <v xml:space="preserve">Valid </v>
      </c>
      <c r="AL2235" t="str">
        <f>IF(AND(Audit_Data[[#This Row],[Recency]]&gt;=0,Audit_Data[[#This Row],[Recency]]&lt;=100),"Valid","Invalid")</f>
        <v>Valid</v>
      </c>
      <c r="AM2235" t="str">
        <f t="shared" si="448"/>
        <v>Valid</v>
      </c>
      <c r="AN2235" t="str">
        <f t="shared" si="449"/>
        <v>Valid</v>
      </c>
      <c r="AO2235" t="str">
        <f t="shared" si="450"/>
        <v>Valid</v>
      </c>
      <c r="AP2235" t="str">
        <f t="shared" si="451"/>
        <v>Valid</v>
      </c>
      <c r="AQ2235" t="str">
        <f>IF(Audit_Data[[#This Row],[Z_CostContact]]=3,"Valid","Invalid")</f>
        <v>Valid</v>
      </c>
      <c r="AR2235" t="str">
        <f t="shared" si="452"/>
        <v>Valid</v>
      </c>
      <c r="AS2235" t="str">
        <f t="shared" si="453"/>
        <v>Valid</v>
      </c>
    </row>
    <row r="2236" spans="1:45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 t="str">
        <f t="shared" si="442"/>
        <v>Ok</v>
      </c>
      <c r="AE2236" t="str">
        <f>IF(AND(Audit_Data[[#This Row],[Year_Birth]]&gt;=1900,Audit_Data[[#This Row],[Year_Birth]]&lt;=2010),"OK","Invalid")</f>
        <v>OK</v>
      </c>
      <c r="AF2236" t="str">
        <f t="shared" si="443"/>
        <v>Valid</v>
      </c>
      <c r="AG2236" t="str">
        <f t="shared" si="444"/>
        <v>Valid</v>
      </c>
      <c r="AH2236" t="str">
        <f t="shared" si="445"/>
        <v>Valid</v>
      </c>
      <c r="AI2236" t="str">
        <f t="shared" si="446"/>
        <v>Valid</v>
      </c>
      <c r="AJ2236" t="str">
        <f t="shared" si="447"/>
        <v>Valid</v>
      </c>
      <c r="AK2236" t="str">
        <f t="shared" si="454"/>
        <v xml:space="preserve">Valid </v>
      </c>
      <c r="AL2236" t="str">
        <f>IF(AND(Audit_Data[[#This Row],[Recency]]&gt;=0,Audit_Data[[#This Row],[Recency]]&lt;=100),"Valid","Invalid")</f>
        <v>Valid</v>
      </c>
      <c r="AM2236" t="str">
        <f t="shared" si="448"/>
        <v>Valid</v>
      </c>
      <c r="AN2236" t="str">
        <f t="shared" si="449"/>
        <v>Valid</v>
      </c>
      <c r="AO2236" t="str">
        <f t="shared" si="450"/>
        <v>Valid</v>
      </c>
      <c r="AP2236" t="str">
        <f t="shared" si="451"/>
        <v>Valid</v>
      </c>
      <c r="AQ2236" t="str">
        <f>IF(Audit_Data[[#This Row],[Z_CostContact]]=3,"Valid","Invalid")</f>
        <v>Valid</v>
      </c>
      <c r="AR2236" t="str">
        <f t="shared" si="452"/>
        <v>Valid</v>
      </c>
      <c r="AS2236" t="str">
        <f t="shared" si="453"/>
        <v>Valid</v>
      </c>
    </row>
    <row r="2237" spans="1:45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 t="str">
        <f t="shared" si="442"/>
        <v>Ok</v>
      </c>
      <c r="AE2237" t="str">
        <f>IF(AND(Audit_Data[[#This Row],[Year_Birth]]&gt;=1900,Audit_Data[[#This Row],[Year_Birth]]&lt;=2010),"OK","Invalid")</f>
        <v>OK</v>
      </c>
      <c r="AF2237" t="str">
        <f t="shared" si="443"/>
        <v>Valid</v>
      </c>
      <c r="AG2237" t="str">
        <f t="shared" si="444"/>
        <v>Valid</v>
      </c>
      <c r="AH2237" t="str">
        <f t="shared" si="445"/>
        <v>Valid</v>
      </c>
      <c r="AI2237" t="str">
        <f t="shared" si="446"/>
        <v>Valid</v>
      </c>
      <c r="AJ2237" t="str">
        <f t="shared" si="447"/>
        <v>Valid</v>
      </c>
      <c r="AK2237" t="str">
        <f t="shared" si="454"/>
        <v xml:space="preserve">Valid </v>
      </c>
      <c r="AL2237" t="str">
        <f>IF(AND(Audit_Data[[#This Row],[Recency]]&gt;=0,Audit_Data[[#This Row],[Recency]]&lt;=100),"Valid","Invalid")</f>
        <v>Valid</v>
      </c>
      <c r="AM2237" t="str">
        <f t="shared" si="448"/>
        <v>Valid</v>
      </c>
      <c r="AN2237" t="str">
        <f t="shared" si="449"/>
        <v>Valid</v>
      </c>
      <c r="AO2237" t="str">
        <f t="shared" si="450"/>
        <v>Valid</v>
      </c>
      <c r="AP2237" t="str">
        <f t="shared" si="451"/>
        <v>Valid</v>
      </c>
      <c r="AQ2237" t="str">
        <f>IF(Audit_Data[[#This Row],[Z_CostContact]]=3,"Valid","Invalid")</f>
        <v>Valid</v>
      </c>
      <c r="AR2237" t="str">
        <f t="shared" si="452"/>
        <v>Valid</v>
      </c>
      <c r="AS2237" t="str">
        <f t="shared" si="453"/>
        <v>Valid</v>
      </c>
    </row>
    <row r="2238" spans="1:45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 t="str">
        <f t="shared" si="442"/>
        <v>Ok</v>
      </c>
      <c r="AE2238" t="str">
        <f>IF(AND(Audit_Data[[#This Row],[Year_Birth]]&gt;=1900,Audit_Data[[#This Row],[Year_Birth]]&lt;=2010),"OK","Invalid")</f>
        <v>OK</v>
      </c>
      <c r="AF2238" t="str">
        <f t="shared" si="443"/>
        <v>Valid</v>
      </c>
      <c r="AG2238" t="str">
        <f t="shared" si="444"/>
        <v>Valid</v>
      </c>
      <c r="AH2238" t="str">
        <f t="shared" si="445"/>
        <v>Valid</v>
      </c>
      <c r="AI2238" t="str">
        <f t="shared" si="446"/>
        <v>Valid</v>
      </c>
      <c r="AJ2238" t="str">
        <f t="shared" si="447"/>
        <v>Valid</v>
      </c>
      <c r="AK2238" t="str">
        <f t="shared" si="454"/>
        <v xml:space="preserve">Valid </v>
      </c>
      <c r="AL2238" t="str">
        <f>IF(AND(Audit_Data[[#This Row],[Recency]]&gt;=0,Audit_Data[[#This Row],[Recency]]&lt;=100),"Valid","Invalid")</f>
        <v>Valid</v>
      </c>
      <c r="AM2238" t="str">
        <f t="shared" si="448"/>
        <v>Valid</v>
      </c>
      <c r="AN2238" t="str">
        <f t="shared" si="449"/>
        <v>Valid</v>
      </c>
      <c r="AO2238" t="str">
        <f t="shared" si="450"/>
        <v>Valid</v>
      </c>
      <c r="AP2238" t="str">
        <f t="shared" si="451"/>
        <v>Valid</v>
      </c>
      <c r="AQ2238" t="str">
        <f>IF(Audit_Data[[#This Row],[Z_CostContact]]=3,"Valid","Invalid")</f>
        <v>Valid</v>
      </c>
      <c r="AR2238" t="str">
        <f t="shared" si="452"/>
        <v>Valid</v>
      </c>
      <c r="AS2238" t="str">
        <f t="shared" si="453"/>
        <v>Valid</v>
      </c>
    </row>
    <row r="2239" spans="1:45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 t="str">
        <f t="shared" si="442"/>
        <v>Ok</v>
      </c>
      <c r="AE2239" t="str">
        <f>IF(AND(Audit_Data[[#This Row],[Year_Birth]]&gt;=1900,Audit_Data[[#This Row],[Year_Birth]]&lt;=2010),"OK","Invalid")</f>
        <v>OK</v>
      </c>
      <c r="AF2239" t="str">
        <f t="shared" si="443"/>
        <v>Valid</v>
      </c>
      <c r="AG2239" t="str">
        <f t="shared" si="444"/>
        <v>Valid</v>
      </c>
      <c r="AH2239" t="str">
        <f t="shared" si="445"/>
        <v>Valid</v>
      </c>
      <c r="AI2239" t="str">
        <f t="shared" si="446"/>
        <v>Valid</v>
      </c>
      <c r="AJ2239" t="str">
        <f t="shared" si="447"/>
        <v>Valid</v>
      </c>
      <c r="AK2239" t="str">
        <f t="shared" si="454"/>
        <v xml:space="preserve">Valid </v>
      </c>
      <c r="AL2239" t="str">
        <f>IF(AND(Audit_Data[[#This Row],[Recency]]&gt;=0,Audit_Data[[#This Row],[Recency]]&lt;=100),"Valid","Invalid")</f>
        <v>Valid</v>
      </c>
      <c r="AM2239" t="str">
        <f t="shared" si="448"/>
        <v>Valid</v>
      </c>
      <c r="AN2239" t="str">
        <f t="shared" si="449"/>
        <v>Valid</v>
      </c>
      <c r="AO2239" t="str">
        <f t="shared" si="450"/>
        <v>Valid</v>
      </c>
      <c r="AP2239" t="str">
        <f t="shared" si="451"/>
        <v>Valid</v>
      </c>
      <c r="AQ2239" t="str">
        <f>IF(Audit_Data[[#This Row],[Z_CostContact]]=3,"Valid","Invalid")</f>
        <v>Valid</v>
      </c>
      <c r="AR2239" t="str">
        <f t="shared" si="452"/>
        <v>Valid</v>
      </c>
      <c r="AS2239" t="str">
        <f t="shared" si="453"/>
        <v>Valid</v>
      </c>
    </row>
    <row r="2240" spans="1:45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 t="str">
        <f t="shared" si="442"/>
        <v>Ok</v>
      </c>
      <c r="AE2240" t="str">
        <f>IF(AND(Audit_Data[[#This Row],[Year_Birth]]&gt;=1900,Audit_Data[[#This Row],[Year_Birth]]&lt;=2010),"OK","Invalid")</f>
        <v>OK</v>
      </c>
      <c r="AF2240" t="str">
        <f t="shared" si="443"/>
        <v>Valid</v>
      </c>
      <c r="AG2240" t="str">
        <f t="shared" si="444"/>
        <v>Valid</v>
      </c>
      <c r="AH2240" t="str">
        <f t="shared" si="445"/>
        <v>Valid</v>
      </c>
      <c r="AI2240" t="str">
        <f t="shared" si="446"/>
        <v>Valid</v>
      </c>
      <c r="AJ2240" t="str">
        <f t="shared" si="447"/>
        <v>Valid</v>
      </c>
      <c r="AK2240" t="str">
        <f t="shared" si="454"/>
        <v xml:space="preserve">Valid </v>
      </c>
      <c r="AL2240" t="str">
        <f>IF(AND(Audit_Data[[#This Row],[Recency]]&gt;=0,Audit_Data[[#This Row],[Recency]]&lt;=100),"Valid","Invalid")</f>
        <v>Valid</v>
      </c>
      <c r="AM2240" t="str">
        <f t="shared" si="448"/>
        <v>Valid</v>
      </c>
      <c r="AN2240" t="str">
        <f t="shared" si="449"/>
        <v>Valid</v>
      </c>
      <c r="AO2240" t="str">
        <f t="shared" si="450"/>
        <v>Valid</v>
      </c>
      <c r="AP2240" t="str">
        <f t="shared" si="451"/>
        <v>Valid</v>
      </c>
      <c r="AQ2240" t="str">
        <f>IF(Audit_Data[[#This Row],[Z_CostContact]]=3,"Valid","Invalid")</f>
        <v>Valid</v>
      </c>
      <c r="AR2240" t="str">
        <f t="shared" si="452"/>
        <v>Valid</v>
      </c>
      <c r="AS2240" t="str">
        <f t="shared" si="453"/>
        <v>Valid</v>
      </c>
    </row>
    <row r="2241" spans="1:45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 t="str">
        <f t="shared" si="442"/>
        <v>Ok</v>
      </c>
      <c r="AE2241" t="str">
        <f>IF(AND(Audit_Data[[#This Row],[Year_Birth]]&gt;=1900,Audit_Data[[#This Row],[Year_Birth]]&lt;=2010),"OK","Invalid")</f>
        <v>OK</v>
      </c>
      <c r="AF2241" t="str">
        <f t="shared" si="443"/>
        <v>Valid</v>
      </c>
      <c r="AG2241" t="str">
        <f t="shared" si="444"/>
        <v>Valid</v>
      </c>
      <c r="AH2241" t="str">
        <f t="shared" si="445"/>
        <v>Valid</v>
      </c>
      <c r="AI2241" t="str">
        <f t="shared" si="446"/>
        <v>Valid</v>
      </c>
      <c r="AJ2241" t="str">
        <f t="shared" si="447"/>
        <v>Valid</v>
      </c>
      <c r="AK2241" t="str">
        <f t="shared" si="454"/>
        <v xml:space="preserve">Valid </v>
      </c>
      <c r="AL2241" t="str">
        <f>IF(AND(Audit_Data[[#This Row],[Recency]]&gt;=0,Audit_Data[[#This Row],[Recency]]&lt;=100),"Valid","Invalid")</f>
        <v>Valid</v>
      </c>
      <c r="AM2241" t="str">
        <f t="shared" si="448"/>
        <v>Valid</v>
      </c>
      <c r="AN2241" t="str">
        <f t="shared" si="449"/>
        <v>Valid</v>
      </c>
      <c r="AO2241" t="str">
        <f t="shared" si="450"/>
        <v>Valid</v>
      </c>
      <c r="AP2241" t="str">
        <f t="shared" si="451"/>
        <v>Valid</v>
      </c>
      <c r="AQ2241" t="str">
        <f>IF(Audit_Data[[#This Row],[Z_CostContact]]=3,"Valid","Invalid")</f>
        <v>Valid</v>
      </c>
      <c r="AR2241" t="str">
        <f t="shared" si="452"/>
        <v>Valid</v>
      </c>
      <c r="AS2241" t="str">
        <f t="shared" si="453"/>
        <v>Valid</v>
      </c>
    </row>
  </sheetData>
  <conditionalFormatting sqref="AF1:AS1048576">
    <cfRule type="cellIs" dxfId="0" priority="1" operator="equal">
      <formula>"Invalid"</formula>
    </cfRule>
  </conditionalFormatting>
  <pageMargins left="0.7" right="0.7" top="0.75" bottom="0.75" header="0.3" footer="0.3"/>
  <ignoredErrors>
    <ignoredError sqref="AK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447B-A0D6-43CA-A8BE-770E5099A839}">
  <sheetPr>
    <tabColor theme="4" tint="0.39997558519241921"/>
  </sheetPr>
  <dimension ref="A1:D30"/>
  <sheetViews>
    <sheetView topLeftCell="D1" zoomScale="116" workbookViewId="0">
      <selection activeCell="D24" sqref="D24"/>
    </sheetView>
  </sheetViews>
  <sheetFormatPr defaultRowHeight="14.4" x14ac:dyDescent="0.3"/>
  <cols>
    <col min="1" max="1" width="19.44140625" customWidth="1"/>
    <col min="2" max="2" width="16.44140625" customWidth="1"/>
    <col min="3" max="3" width="15.44140625" customWidth="1"/>
    <col min="4" max="4" width="109.5546875" customWidth="1"/>
    <col min="5" max="13" width="10.77734375" bestFit="1" customWidth="1"/>
    <col min="14" max="29" width="11.77734375" bestFit="1" customWidth="1"/>
  </cols>
  <sheetData>
    <row r="1" spans="1:4" ht="15.6" x14ac:dyDescent="0.3">
      <c r="A1" s="2" t="s">
        <v>42</v>
      </c>
      <c r="B1" s="2" t="s">
        <v>43</v>
      </c>
      <c r="C1" s="2" t="s">
        <v>44</v>
      </c>
      <c r="D1" s="2" t="s">
        <v>45</v>
      </c>
    </row>
    <row r="2" spans="1:4" x14ac:dyDescent="0.3">
      <c r="A2" t="s">
        <v>0</v>
      </c>
      <c r="B2" t="s">
        <v>46</v>
      </c>
      <c r="C2" t="s">
        <v>49</v>
      </c>
      <c r="D2" t="s">
        <v>57</v>
      </c>
    </row>
    <row r="3" spans="1:4" x14ac:dyDescent="0.3">
      <c r="A3" t="s">
        <v>1</v>
      </c>
      <c r="B3" t="s">
        <v>46</v>
      </c>
      <c r="C3" t="s">
        <v>50</v>
      </c>
      <c r="D3" t="s">
        <v>58</v>
      </c>
    </row>
    <row r="4" spans="1:4" x14ac:dyDescent="0.3">
      <c r="A4" t="s">
        <v>2</v>
      </c>
      <c r="B4" t="s">
        <v>47</v>
      </c>
      <c r="C4" t="s">
        <v>51</v>
      </c>
      <c r="D4" t="s">
        <v>59</v>
      </c>
    </row>
    <row r="5" spans="1:4" x14ac:dyDescent="0.3">
      <c r="A5" t="s">
        <v>3</v>
      </c>
      <c r="B5" t="s">
        <v>47</v>
      </c>
      <c r="C5" t="s">
        <v>51</v>
      </c>
      <c r="D5" t="s">
        <v>112</v>
      </c>
    </row>
    <row r="6" spans="1:4" x14ac:dyDescent="0.3">
      <c r="A6" t="s">
        <v>4</v>
      </c>
      <c r="B6" t="s">
        <v>46</v>
      </c>
      <c r="C6" t="s">
        <v>52</v>
      </c>
      <c r="D6" t="s">
        <v>111</v>
      </c>
    </row>
    <row r="7" spans="1:4" x14ac:dyDescent="0.3">
      <c r="A7" t="s">
        <v>5</v>
      </c>
      <c r="B7" t="s">
        <v>46</v>
      </c>
      <c r="C7" t="s">
        <v>50</v>
      </c>
      <c r="D7" t="s">
        <v>60</v>
      </c>
    </row>
    <row r="8" spans="1:4" x14ac:dyDescent="0.3">
      <c r="A8" t="s">
        <v>6</v>
      </c>
      <c r="B8" t="s">
        <v>46</v>
      </c>
      <c r="C8" t="s">
        <v>50</v>
      </c>
      <c r="D8" t="s">
        <v>60</v>
      </c>
    </row>
    <row r="9" spans="1:4" x14ac:dyDescent="0.3">
      <c r="A9" t="s">
        <v>7</v>
      </c>
      <c r="B9" t="s">
        <v>48</v>
      </c>
      <c r="C9" t="s">
        <v>53</v>
      </c>
      <c r="D9" t="s">
        <v>113</v>
      </c>
    </row>
    <row r="10" spans="1:4" x14ac:dyDescent="0.3">
      <c r="A10" t="s">
        <v>8</v>
      </c>
      <c r="B10" t="s">
        <v>46</v>
      </c>
      <c r="C10" t="s">
        <v>50</v>
      </c>
      <c r="D10" t="s">
        <v>61</v>
      </c>
    </row>
    <row r="11" spans="1:4" x14ac:dyDescent="0.3">
      <c r="A11" t="s">
        <v>9</v>
      </c>
      <c r="B11" t="s">
        <v>46</v>
      </c>
      <c r="C11" t="s">
        <v>54</v>
      </c>
      <c r="D11" t="s">
        <v>62</v>
      </c>
    </row>
    <row r="12" spans="1:4" x14ac:dyDescent="0.3">
      <c r="A12" t="s">
        <v>10</v>
      </c>
      <c r="B12" t="s">
        <v>46</v>
      </c>
      <c r="C12" t="s">
        <v>54</v>
      </c>
      <c r="D12" t="s">
        <v>62</v>
      </c>
    </row>
    <row r="13" spans="1:4" x14ac:dyDescent="0.3">
      <c r="A13" t="s">
        <v>11</v>
      </c>
      <c r="B13" t="s">
        <v>46</v>
      </c>
      <c r="C13" t="s">
        <v>54</v>
      </c>
      <c r="D13" t="s">
        <v>62</v>
      </c>
    </row>
    <row r="14" spans="1:4" x14ac:dyDescent="0.3">
      <c r="A14" t="s">
        <v>12</v>
      </c>
      <c r="B14" t="s">
        <v>46</v>
      </c>
      <c r="C14" t="s">
        <v>54</v>
      </c>
      <c r="D14" t="s">
        <v>62</v>
      </c>
    </row>
    <row r="15" spans="1:4" x14ac:dyDescent="0.3">
      <c r="A15" t="s">
        <v>13</v>
      </c>
      <c r="B15" t="s">
        <v>46</v>
      </c>
      <c r="C15" t="s">
        <v>54</v>
      </c>
      <c r="D15" t="s">
        <v>62</v>
      </c>
    </row>
    <row r="16" spans="1:4" x14ac:dyDescent="0.3">
      <c r="A16" t="s">
        <v>14</v>
      </c>
      <c r="B16" t="s">
        <v>46</v>
      </c>
      <c r="C16" t="s">
        <v>54</v>
      </c>
      <c r="D16" t="s">
        <v>62</v>
      </c>
    </row>
    <row r="17" spans="1:4" x14ac:dyDescent="0.3">
      <c r="A17" t="s">
        <v>15</v>
      </c>
      <c r="B17" t="s">
        <v>46</v>
      </c>
      <c r="C17" t="s">
        <v>54</v>
      </c>
      <c r="D17" t="s">
        <v>62</v>
      </c>
    </row>
    <row r="18" spans="1:4" x14ac:dyDescent="0.3">
      <c r="A18" t="s">
        <v>16</v>
      </c>
      <c r="B18" t="s">
        <v>46</v>
      </c>
      <c r="C18" t="s">
        <v>54</v>
      </c>
      <c r="D18" t="s">
        <v>62</v>
      </c>
    </row>
    <row r="19" spans="1:4" x14ac:dyDescent="0.3">
      <c r="A19" t="s">
        <v>17</v>
      </c>
      <c r="B19" t="s">
        <v>46</v>
      </c>
      <c r="C19" t="s">
        <v>54</v>
      </c>
      <c r="D19" t="s">
        <v>62</v>
      </c>
    </row>
    <row r="20" spans="1:4" x14ac:dyDescent="0.3">
      <c r="A20" t="s">
        <v>18</v>
      </c>
      <c r="B20" t="s">
        <v>46</v>
      </c>
      <c r="C20" t="s">
        <v>54</v>
      </c>
      <c r="D20" t="s">
        <v>62</v>
      </c>
    </row>
    <row r="21" spans="1:4" x14ac:dyDescent="0.3">
      <c r="A21" t="s">
        <v>19</v>
      </c>
      <c r="B21" t="s">
        <v>46</v>
      </c>
      <c r="C21" t="s">
        <v>54</v>
      </c>
      <c r="D21" t="s">
        <v>62</v>
      </c>
    </row>
    <row r="22" spans="1:4" x14ac:dyDescent="0.3">
      <c r="A22" t="s">
        <v>20</v>
      </c>
      <c r="B22" t="s">
        <v>46</v>
      </c>
      <c r="C22" t="s">
        <v>55</v>
      </c>
      <c r="D22" t="s">
        <v>63</v>
      </c>
    </row>
    <row r="23" spans="1:4" x14ac:dyDescent="0.3">
      <c r="A23" t="s">
        <v>21</v>
      </c>
      <c r="B23" t="s">
        <v>46</v>
      </c>
      <c r="C23" t="s">
        <v>55</v>
      </c>
      <c r="D23" t="s">
        <v>63</v>
      </c>
    </row>
    <row r="24" spans="1:4" x14ac:dyDescent="0.3">
      <c r="A24" t="s">
        <v>22</v>
      </c>
      <c r="B24" t="s">
        <v>46</v>
      </c>
      <c r="C24" t="s">
        <v>55</v>
      </c>
      <c r="D24" t="s">
        <v>63</v>
      </c>
    </row>
    <row r="25" spans="1:4" x14ac:dyDescent="0.3">
      <c r="A25" t="s">
        <v>23</v>
      </c>
      <c r="B25" t="s">
        <v>46</v>
      </c>
      <c r="C25" t="s">
        <v>55</v>
      </c>
      <c r="D25" t="s">
        <v>63</v>
      </c>
    </row>
    <row r="26" spans="1:4" x14ac:dyDescent="0.3">
      <c r="A26" t="s">
        <v>24</v>
      </c>
      <c r="B26" t="s">
        <v>46</v>
      </c>
      <c r="C26" t="s">
        <v>55</v>
      </c>
      <c r="D26" t="s">
        <v>63</v>
      </c>
    </row>
    <row r="27" spans="1:4" x14ac:dyDescent="0.3">
      <c r="A27" t="s">
        <v>25</v>
      </c>
      <c r="B27" t="s">
        <v>46</v>
      </c>
      <c r="C27" t="s">
        <v>55</v>
      </c>
      <c r="D27" t="s">
        <v>63</v>
      </c>
    </row>
    <row r="28" spans="1:4" x14ac:dyDescent="0.3">
      <c r="A28" t="s">
        <v>26</v>
      </c>
      <c r="B28" t="s">
        <v>46</v>
      </c>
      <c r="C28" t="s">
        <v>56</v>
      </c>
      <c r="D28" t="s">
        <v>64</v>
      </c>
    </row>
    <row r="29" spans="1:4" x14ac:dyDescent="0.3">
      <c r="A29" t="s">
        <v>27</v>
      </c>
      <c r="B29" t="s">
        <v>46</v>
      </c>
      <c r="C29" t="s">
        <v>56</v>
      </c>
      <c r="D29" t="s">
        <v>65</v>
      </c>
    </row>
    <row r="30" spans="1:4" x14ac:dyDescent="0.3">
      <c r="A30" t="s">
        <v>28</v>
      </c>
      <c r="B30" t="s">
        <v>46</v>
      </c>
      <c r="C30" t="s">
        <v>55</v>
      </c>
      <c r="D30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AC2241"/>
  <sheetViews>
    <sheetView zoomScaleNormal="100" workbookViewId="0">
      <pane ySplit="1" topLeftCell="A693" activePane="bottomLeft" state="frozen"/>
      <selection pane="bottomLeft"/>
    </sheetView>
  </sheetViews>
  <sheetFormatPr defaultRowHeight="14.4" x14ac:dyDescent="0.3"/>
  <cols>
    <col min="1" max="1" width="6" bestFit="1" customWidth="1"/>
    <col min="2" max="2" width="11.5546875" customWidth="1"/>
    <col min="3" max="3" width="11.33203125" customWidth="1"/>
    <col min="4" max="4" width="15.109375" customWidth="1"/>
    <col min="5" max="5" width="9.21875" customWidth="1"/>
    <col min="6" max="6" width="10.44140625" customWidth="1"/>
    <col min="7" max="7" width="11.88671875" customWidth="1"/>
    <col min="8" max="8" width="13.88671875" customWidth="1"/>
    <col min="9" max="9" width="9.88671875" customWidth="1"/>
    <col min="10" max="10" width="11.5546875" customWidth="1"/>
    <col min="11" max="11" width="11" customWidth="1"/>
    <col min="12" max="12" width="18.33203125" customWidth="1"/>
    <col min="13" max="13" width="17.109375" customWidth="1"/>
    <col min="14" max="14" width="19" customWidth="1"/>
    <col min="15" max="15" width="15.109375" customWidth="1"/>
    <col min="16" max="16" width="19.88671875" customWidth="1"/>
    <col min="17" max="17" width="19.33203125" customWidth="1"/>
    <col min="18" max="18" width="21.77734375" customWidth="1"/>
    <col min="19" max="19" width="19.88671875" customWidth="1"/>
    <col min="20" max="20" width="21" customWidth="1"/>
    <col min="21" max="25" width="15.6640625" customWidth="1"/>
    <col min="26" max="26" width="10.88671875" customWidth="1"/>
    <col min="27" max="27" width="15.109375" customWidth="1"/>
    <col min="28" max="28" width="12.21875" customWidth="1"/>
    <col min="29" max="29" width="10.8867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Summary</vt:lpstr>
      <vt:lpstr>Data_Audit</vt:lpstr>
      <vt:lpstr>Data_Quality_Rules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Maroju</dc:creator>
  <cp:lastModifiedBy>Chandana Maroju</cp:lastModifiedBy>
  <dcterms:created xsi:type="dcterms:W3CDTF">2015-06-05T18:17:20Z</dcterms:created>
  <dcterms:modified xsi:type="dcterms:W3CDTF">2026-03-17T11:13:47Z</dcterms:modified>
</cp:coreProperties>
</file>